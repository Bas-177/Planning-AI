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ivé\VdOM\"/>
    </mc:Choice>
  </mc:AlternateContent>
  <xr:revisionPtr revIDLastSave="0" documentId="13_ncr:1_{E5885EBF-6D7C-4720-9351-0DBC8BD2B636}" xr6:coauthVersionLast="47" xr6:coauthVersionMax="47" xr10:uidLastSave="{00000000-0000-0000-0000-000000000000}"/>
  <bookViews>
    <workbookView xWindow="-120" yWindow="-120" windowWidth="29040" windowHeight="15720" tabRatio="723" activeTab="1" xr2:uid="{638FDB03-7F66-4EC1-A46E-4636AABE43F1}"/>
  </bookViews>
  <sheets>
    <sheet name="Invulblad" sheetId="1" r:id="rId1"/>
    <sheet name="Dashboard" sheetId="3" r:id="rId2"/>
    <sheet name="Uitbesteed" sheetId="22" r:id="rId3"/>
    <sheet name="Invulmogelijkheden" sheetId="2" state="hidden" r:id="rId4"/>
    <sheet name="Ber. st. 1" sheetId="5" state="hidden" r:id="rId5"/>
    <sheet name="Ber. st. 2" sheetId="6" state="hidden" r:id="rId6"/>
    <sheet name="Ber. st. 3" sheetId="7" state="hidden" r:id="rId7"/>
    <sheet name="Ber. st. 4" sheetId="8" state="hidden" r:id="rId8"/>
    <sheet name="Ber. st. 5" sheetId="16" state="hidden" r:id="rId9"/>
    <sheet name="Ber. st. 6" sheetId="9" state="hidden" r:id="rId10"/>
    <sheet name="Ber. st. 7" sheetId="10" state="hidden" r:id="rId11"/>
    <sheet name="Ber. st. 8" sheetId="11" state="hidden" r:id="rId12"/>
    <sheet name="Ber. st. 9" sheetId="12" state="hidden" r:id="rId13"/>
    <sheet name="Ber. Uitbesteed" sheetId="23" state="hidden" r:id="rId14"/>
    <sheet name="Ber. Hulpmateriaal" sheetId="13" state="hidden" r:id="rId15"/>
    <sheet name="Ber. Planning Totaal" sheetId="15" state="hidden" r:id="rId16"/>
    <sheet name="Ber. Planning Tomasz" sheetId="17" state="hidden" r:id="rId17"/>
    <sheet name="Ber. Planning Ed" sheetId="24" state="hidden" r:id="rId18"/>
    <sheet name="Ber. Planning Tomasz F" sheetId="25" state="hidden" r:id="rId19"/>
    <sheet name="Ber. Planning Mark" sheetId="26" state="hidden" r:id="rId20"/>
    <sheet name="Ber. Planning Zoltan" sheetId="27" state="hidden" r:id="rId21"/>
    <sheet name="Ber. Planning Voorbewerk." sheetId="28" state="hidden" r:id="rId22"/>
    <sheet name="Ber. Planning Overig" sheetId="29" state="hidden" r:id="rId23"/>
    <sheet name="Ber. Goed ingevuld" sheetId="21" state="hidden" r:id="rId24"/>
  </sheets>
  <definedNames>
    <definedName name="_xlnm._FilterDatabase" localSheetId="4" hidden="1">'Ber. st. 1'!$B$3:$I$3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65" i="3" l="1"/>
  <c r="AY65" i="3"/>
  <c r="AV65" i="3"/>
  <c r="AO65" i="3"/>
  <c r="AM65" i="3"/>
  <c r="AH65" i="3"/>
  <c r="AF65" i="3"/>
  <c r="AB65" i="3"/>
  <c r="V65" i="3"/>
  <c r="T65" i="3"/>
  <c r="AH64" i="3"/>
  <c r="AI64" i="3" s="1"/>
  <c r="AK64" i="3" s="1"/>
  <c r="AF64" i="3"/>
  <c r="AB64" i="3"/>
  <c r="V64" i="3"/>
  <c r="O65" i="3"/>
  <c r="Q64" i="3" s="1"/>
  <c r="R64" i="3" s="1"/>
  <c r="N65" i="3"/>
  <c r="K65" i="3"/>
  <c r="F65" i="3"/>
  <c r="D65" i="3"/>
  <c r="O64" i="3"/>
  <c r="N64" i="3"/>
  <c r="K64" i="3"/>
  <c r="F64" i="3"/>
  <c r="AZ60" i="3"/>
  <c r="AZ61" i="3"/>
  <c r="AZ62" i="3"/>
  <c r="AZ63" i="3"/>
  <c r="AY60" i="3"/>
  <c r="AY61" i="3"/>
  <c r="AY62" i="3"/>
  <c r="AY63" i="3"/>
  <c r="AV60" i="3"/>
  <c r="AV61" i="3"/>
  <c r="AV62" i="3"/>
  <c r="AV63" i="3"/>
  <c r="AO60" i="3"/>
  <c r="AO61" i="3"/>
  <c r="AO62" i="3"/>
  <c r="AO63" i="3"/>
  <c r="AM60" i="3"/>
  <c r="AM61" i="3"/>
  <c r="AM62" i="3"/>
  <c r="AM63" i="3"/>
  <c r="AH60" i="3"/>
  <c r="AH61" i="3"/>
  <c r="AH62" i="3"/>
  <c r="AH63" i="3"/>
  <c r="AF60" i="3"/>
  <c r="AF61" i="3"/>
  <c r="AF62" i="3"/>
  <c r="AF63" i="3"/>
  <c r="AB60" i="3"/>
  <c r="AB61" i="3"/>
  <c r="AB62" i="3"/>
  <c r="AB63" i="3"/>
  <c r="V60" i="3"/>
  <c r="V61" i="3"/>
  <c r="V62" i="3"/>
  <c r="V63" i="3"/>
  <c r="T60" i="3"/>
  <c r="T61" i="3"/>
  <c r="T62" i="3"/>
  <c r="T63" i="3"/>
  <c r="O60" i="3"/>
  <c r="O61" i="3"/>
  <c r="O62" i="3"/>
  <c r="O63" i="3"/>
  <c r="N60" i="3"/>
  <c r="N61" i="3"/>
  <c r="N62" i="3"/>
  <c r="N63" i="3"/>
  <c r="K60" i="3"/>
  <c r="K61" i="3"/>
  <c r="K62" i="3"/>
  <c r="K63" i="3"/>
  <c r="F60" i="3"/>
  <c r="F61" i="3"/>
  <c r="F62" i="3"/>
  <c r="F63" i="3"/>
  <c r="D60" i="3"/>
  <c r="D61" i="3"/>
  <c r="D62" i="3"/>
  <c r="D63" i="3"/>
  <c r="O59" i="3"/>
  <c r="N59" i="3"/>
  <c r="K59" i="3"/>
  <c r="F59" i="3"/>
  <c r="AZ55" i="3"/>
  <c r="AZ56" i="3"/>
  <c r="AZ57" i="3"/>
  <c r="AZ58" i="3"/>
  <c r="AY55" i="3"/>
  <c r="AY56" i="3"/>
  <c r="AY57" i="3"/>
  <c r="AY58" i="3"/>
  <c r="AV55" i="3"/>
  <c r="AV56" i="3"/>
  <c r="AV57" i="3"/>
  <c r="AV58" i="3"/>
  <c r="AO55" i="3"/>
  <c r="AO56" i="3"/>
  <c r="AO57" i="3"/>
  <c r="AO58" i="3"/>
  <c r="AM55" i="3"/>
  <c r="AM56" i="3"/>
  <c r="AM57" i="3"/>
  <c r="AM58" i="3"/>
  <c r="AZ54" i="3"/>
  <c r="AY54" i="3"/>
  <c r="AV54" i="3"/>
  <c r="AO54" i="3"/>
  <c r="AH55" i="3"/>
  <c r="AH56" i="3"/>
  <c r="AH57" i="3"/>
  <c r="AH58" i="3"/>
  <c r="AF55" i="3"/>
  <c r="AF56" i="3"/>
  <c r="AF57" i="3"/>
  <c r="AF58" i="3"/>
  <c r="AB55" i="3"/>
  <c r="AB56" i="3"/>
  <c r="AB57" i="3"/>
  <c r="AB58" i="3"/>
  <c r="V55" i="3"/>
  <c r="V56" i="3"/>
  <c r="V57" i="3"/>
  <c r="V58" i="3"/>
  <c r="T55" i="3"/>
  <c r="T56" i="3"/>
  <c r="T57" i="3"/>
  <c r="T58" i="3"/>
  <c r="O55" i="3"/>
  <c r="O56" i="3"/>
  <c r="O57" i="3"/>
  <c r="O58" i="3"/>
  <c r="N55" i="3"/>
  <c r="N56" i="3"/>
  <c r="N57" i="3"/>
  <c r="N58" i="3"/>
  <c r="K55" i="3"/>
  <c r="K56" i="3"/>
  <c r="K57" i="3"/>
  <c r="K58" i="3"/>
  <c r="F55" i="3"/>
  <c r="F56" i="3"/>
  <c r="F57" i="3"/>
  <c r="F58" i="3"/>
  <c r="D55" i="3"/>
  <c r="D56" i="3"/>
  <c r="D57" i="3"/>
  <c r="D58" i="3"/>
  <c r="AZ50" i="3"/>
  <c r="AZ51" i="3"/>
  <c r="AZ52" i="3"/>
  <c r="AZ53" i="3"/>
  <c r="AY50" i="3"/>
  <c r="AY51" i="3"/>
  <c r="AY52" i="3"/>
  <c r="AY53" i="3"/>
  <c r="AV50" i="3"/>
  <c r="AV51" i="3"/>
  <c r="AV52" i="3"/>
  <c r="AV53" i="3"/>
  <c r="AO50" i="3"/>
  <c r="AO51" i="3"/>
  <c r="AO52" i="3"/>
  <c r="AO53" i="3"/>
  <c r="AM50" i="3"/>
  <c r="AM51" i="3"/>
  <c r="AM52" i="3"/>
  <c r="AM53" i="3"/>
  <c r="AZ49" i="3"/>
  <c r="BA49" i="3" s="1"/>
  <c r="BC49" i="3" s="1"/>
  <c r="AY49" i="3"/>
  <c r="AV49" i="3"/>
  <c r="AO49" i="3"/>
  <c r="AH50" i="3"/>
  <c r="AH51" i="3"/>
  <c r="AH52" i="3"/>
  <c r="AH53" i="3"/>
  <c r="AF50" i="3"/>
  <c r="AF51" i="3"/>
  <c r="AF52" i="3"/>
  <c r="AF53" i="3"/>
  <c r="AB50" i="3"/>
  <c r="AB51" i="3"/>
  <c r="AB52" i="3"/>
  <c r="AB53" i="3"/>
  <c r="V50" i="3"/>
  <c r="V51" i="3"/>
  <c r="V52" i="3"/>
  <c r="V53" i="3"/>
  <c r="T50" i="3"/>
  <c r="T51" i="3"/>
  <c r="T52" i="3"/>
  <c r="T53" i="3"/>
  <c r="O50" i="3"/>
  <c r="O51" i="3"/>
  <c r="O52" i="3"/>
  <c r="O53" i="3"/>
  <c r="N50" i="3"/>
  <c r="N51" i="3"/>
  <c r="N52" i="3"/>
  <c r="N53" i="3"/>
  <c r="K50" i="3"/>
  <c r="K51" i="3"/>
  <c r="K52" i="3"/>
  <c r="K53" i="3"/>
  <c r="F50" i="3"/>
  <c r="F51" i="3"/>
  <c r="F52" i="3"/>
  <c r="F53" i="3"/>
  <c r="D50" i="3"/>
  <c r="D51" i="3"/>
  <c r="D52" i="3"/>
  <c r="D53" i="3"/>
  <c r="AZ48" i="3"/>
  <c r="AZ47" i="3"/>
  <c r="AZ46" i="3"/>
  <c r="AZ45" i="3"/>
  <c r="AY45" i="3"/>
  <c r="AY46" i="3"/>
  <c r="AY47" i="3"/>
  <c r="AY48" i="3"/>
  <c r="AV45" i="3"/>
  <c r="AV46" i="3"/>
  <c r="AV47" i="3"/>
  <c r="AV48" i="3"/>
  <c r="AO45" i="3"/>
  <c r="AO46" i="3"/>
  <c r="AO47" i="3"/>
  <c r="AO48" i="3"/>
  <c r="AM45" i="3"/>
  <c r="AM46" i="3"/>
  <c r="AM47" i="3"/>
  <c r="AM48" i="3"/>
  <c r="AZ44" i="3"/>
  <c r="AY44" i="3"/>
  <c r="AZ43" i="3"/>
  <c r="AV44" i="3"/>
  <c r="AO44" i="3"/>
  <c r="AH46" i="3"/>
  <c r="AH47" i="3"/>
  <c r="AH48" i="3"/>
  <c r="AF46" i="3"/>
  <c r="AF47" i="3"/>
  <c r="AF48" i="3"/>
  <c r="AB46" i="3"/>
  <c r="AB47" i="3"/>
  <c r="AB48" i="3"/>
  <c r="V46" i="3"/>
  <c r="V47" i="3"/>
  <c r="V48" i="3"/>
  <c r="T46" i="3"/>
  <c r="T47" i="3"/>
  <c r="T48" i="3"/>
  <c r="AA100" i="29"/>
  <c r="Z100" i="29"/>
  <c r="Y100" i="29"/>
  <c r="X100" i="29"/>
  <c r="W100" i="29"/>
  <c r="V100" i="29"/>
  <c r="AA99" i="29"/>
  <c r="Z99" i="29"/>
  <c r="Y99" i="29"/>
  <c r="X99" i="29"/>
  <c r="W99" i="29"/>
  <c r="V99" i="29"/>
  <c r="AA98" i="29"/>
  <c r="Z98" i="29"/>
  <c r="Y98" i="29"/>
  <c r="X98" i="29"/>
  <c r="W98" i="29"/>
  <c r="V98" i="29"/>
  <c r="AA97" i="29"/>
  <c r="Z97" i="29"/>
  <c r="Y97" i="29"/>
  <c r="X97" i="29"/>
  <c r="W97" i="29"/>
  <c r="V97" i="29"/>
  <c r="AA96" i="29"/>
  <c r="Z96" i="29"/>
  <c r="Y96" i="29"/>
  <c r="X96" i="29"/>
  <c r="W96" i="29"/>
  <c r="V96" i="29"/>
  <c r="AA95" i="29"/>
  <c r="Z95" i="29"/>
  <c r="Y95" i="29"/>
  <c r="X95" i="29"/>
  <c r="W95" i="29"/>
  <c r="V95" i="29"/>
  <c r="AA94" i="29"/>
  <c r="Z94" i="29"/>
  <c r="Y94" i="29"/>
  <c r="X94" i="29"/>
  <c r="W94" i="29"/>
  <c r="V94" i="29"/>
  <c r="AA93" i="29"/>
  <c r="Z93" i="29"/>
  <c r="Y93" i="29"/>
  <c r="X93" i="29"/>
  <c r="W93" i="29"/>
  <c r="V93" i="29"/>
  <c r="AA92" i="29"/>
  <c r="Z92" i="29"/>
  <c r="Y92" i="29"/>
  <c r="X92" i="29"/>
  <c r="W92" i="29"/>
  <c r="V92" i="29"/>
  <c r="AA91" i="29"/>
  <c r="Z91" i="29"/>
  <c r="Y91" i="29"/>
  <c r="X91" i="29"/>
  <c r="W91" i="29"/>
  <c r="V91" i="29"/>
  <c r="AA90" i="29"/>
  <c r="Z90" i="29"/>
  <c r="Y90" i="29"/>
  <c r="X90" i="29"/>
  <c r="W90" i="29"/>
  <c r="V90" i="29"/>
  <c r="AA89" i="29"/>
  <c r="Z89" i="29"/>
  <c r="Y89" i="29"/>
  <c r="X89" i="29"/>
  <c r="W89" i="29"/>
  <c r="V89" i="29"/>
  <c r="AA88" i="29"/>
  <c r="Z88" i="29"/>
  <c r="Y88" i="29"/>
  <c r="X88" i="29"/>
  <c r="W88" i="29"/>
  <c r="V88" i="29"/>
  <c r="AA87" i="29"/>
  <c r="Z87" i="29"/>
  <c r="Y87" i="29"/>
  <c r="X87" i="29"/>
  <c r="W87" i="29"/>
  <c r="V87" i="29"/>
  <c r="AA86" i="29"/>
  <c r="Z86" i="29"/>
  <c r="Y86" i="29"/>
  <c r="X86" i="29"/>
  <c r="W86" i="29"/>
  <c r="V86" i="29"/>
  <c r="AA85" i="29"/>
  <c r="Z85" i="29"/>
  <c r="Y85" i="29"/>
  <c r="X85" i="29"/>
  <c r="W85" i="29"/>
  <c r="V85" i="29"/>
  <c r="AA84" i="29"/>
  <c r="Z84" i="29"/>
  <c r="Y84" i="29"/>
  <c r="X84" i="29"/>
  <c r="W84" i="29"/>
  <c r="V84" i="29"/>
  <c r="AA83" i="29"/>
  <c r="Z83" i="29"/>
  <c r="Y83" i="29"/>
  <c r="X83" i="29"/>
  <c r="W83" i="29"/>
  <c r="V83" i="29"/>
  <c r="AA82" i="29"/>
  <c r="Z82" i="29"/>
  <c r="Y82" i="29"/>
  <c r="X82" i="29"/>
  <c r="W82" i="29"/>
  <c r="V82" i="29"/>
  <c r="AA81" i="29"/>
  <c r="Z81" i="29"/>
  <c r="Y81" i="29"/>
  <c r="X81" i="29"/>
  <c r="W81" i="29"/>
  <c r="V81" i="29"/>
  <c r="AA80" i="29"/>
  <c r="Z80" i="29"/>
  <c r="Y80" i="29"/>
  <c r="X80" i="29"/>
  <c r="W80" i="29"/>
  <c r="V80" i="29"/>
  <c r="AA79" i="29"/>
  <c r="Z79" i="29"/>
  <c r="Y79" i="29"/>
  <c r="X79" i="29"/>
  <c r="W79" i="29"/>
  <c r="V79" i="29"/>
  <c r="AA78" i="29"/>
  <c r="Z78" i="29"/>
  <c r="Y78" i="29"/>
  <c r="X78" i="29"/>
  <c r="W78" i="29"/>
  <c r="V78" i="29"/>
  <c r="AA77" i="29"/>
  <c r="Z77" i="29"/>
  <c r="Y77" i="29"/>
  <c r="X77" i="29"/>
  <c r="W77" i="29"/>
  <c r="V77" i="29"/>
  <c r="AA76" i="29"/>
  <c r="Z76" i="29"/>
  <c r="Y76" i="29"/>
  <c r="X76" i="29"/>
  <c r="W76" i="29"/>
  <c r="V76" i="29"/>
  <c r="AA75" i="29"/>
  <c r="Z75" i="29"/>
  <c r="Y75" i="29"/>
  <c r="X75" i="29"/>
  <c r="W75" i="29"/>
  <c r="V75" i="29"/>
  <c r="AA74" i="29"/>
  <c r="Z74" i="29"/>
  <c r="Y74" i="29"/>
  <c r="X74" i="29"/>
  <c r="W74" i="29"/>
  <c r="V74" i="29"/>
  <c r="AA73" i="29"/>
  <c r="Z73" i="29"/>
  <c r="Y73" i="29"/>
  <c r="X73" i="29"/>
  <c r="W73" i="29"/>
  <c r="V73" i="29"/>
  <c r="AA72" i="29"/>
  <c r="Z72" i="29"/>
  <c r="Y72" i="29"/>
  <c r="X72" i="29"/>
  <c r="W72" i="29"/>
  <c r="V72" i="29"/>
  <c r="AA71" i="29"/>
  <c r="Z71" i="29"/>
  <c r="Y71" i="29"/>
  <c r="X71" i="29"/>
  <c r="W71" i="29"/>
  <c r="V71" i="29"/>
  <c r="AA70" i="29"/>
  <c r="Z70" i="29"/>
  <c r="Y70" i="29"/>
  <c r="X70" i="29"/>
  <c r="W70" i="29"/>
  <c r="V70" i="29"/>
  <c r="AA69" i="29"/>
  <c r="Z69" i="29"/>
  <c r="Y69" i="29"/>
  <c r="X69" i="29"/>
  <c r="W69" i="29"/>
  <c r="V69" i="29"/>
  <c r="AA68" i="29"/>
  <c r="Z68" i="29"/>
  <c r="Y68" i="29"/>
  <c r="X68" i="29"/>
  <c r="W68" i="29"/>
  <c r="V68" i="29"/>
  <c r="AA67" i="29"/>
  <c r="Z67" i="29"/>
  <c r="Y67" i="29"/>
  <c r="X67" i="29"/>
  <c r="W67" i="29"/>
  <c r="V67" i="29"/>
  <c r="AA66" i="29"/>
  <c r="Z66" i="29"/>
  <c r="Y66" i="29"/>
  <c r="X66" i="29"/>
  <c r="W66" i="29"/>
  <c r="V66" i="29"/>
  <c r="AA65" i="29"/>
  <c r="Z65" i="29"/>
  <c r="Y65" i="29"/>
  <c r="X65" i="29"/>
  <c r="W65" i="29"/>
  <c r="V65" i="29"/>
  <c r="AA64" i="29"/>
  <c r="Z64" i="29"/>
  <c r="Y64" i="29"/>
  <c r="X64" i="29"/>
  <c r="W64" i="29"/>
  <c r="V64" i="29"/>
  <c r="AA63" i="29"/>
  <c r="Z63" i="29"/>
  <c r="Y63" i="29"/>
  <c r="X63" i="29"/>
  <c r="W63" i="29"/>
  <c r="V63" i="29"/>
  <c r="AA62" i="29"/>
  <c r="Z62" i="29"/>
  <c r="Y62" i="29"/>
  <c r="X62" i="29"/>
  <c r="W62" i="29"/>
  <c r="V62" i="29"/>
  <c r="AA61" i="29"/>
  <c r="Z61" i="29"/>
  <c r="Y61" i="29"/>
  <c r="X61" i="29"/>
  <c r="W61" i="29"/>
  <c r="V61" i="29"/>
  <c r="AA60" i="29"/>
  <c r="Z60" i="29"/>
  <c r="Y60" i="29"/>
  <c r="X60" i="29"/>
  <c r="W60" i="29"/>
  <c r="V60" i="29"/>
  <c r="AA59" i="29"/>
  <c r="Z59" i="29"/>
  <c r="Y59" i="29"/>
  <c r="X59" i="29"/>
  <c r="W59" i="29"/>
  <c r="V59" i="29"/>
  <c r="AA58" i="29"/>
  <c r="Z58" i="29"/>
  <c r="Y58" i="29"/>
  <c r="X58" i="29"/>
  <c r="W58" i="29"/>
  <c r="V58" i="29"/>
  <c r="AA57" i="29"/>
  <c r="Z57" i="29"/>
  <c r="Y57" i="29"/>
  <c r="X57" i="29"/>
  <c r="W57" i="29"/>
  <c r="V57" i="29"/>
  <c r="AA56" i="29"/>
  <c r="Z56" i="29"/>
  <c r="Y56" i="29"/>
  <c r="X56" i="29"/>
  <c r="W56" i="29"/>
  <c r="V56" i="29"/>
  <c r="AA55" i="29"/>
  <c r="Z55" i="29"/>
  <c r="Y55" i="29"/>
  <c r="X55" i="29"/>
  <c r="W55" i="29"/>
  <c r="V55" i="29"/>
  <c r="AA54" i="29"/>
  <c r="Z54" i="29"/>
  <c r="Y54" i="29"/>
  <c r="X54" i="29"/>
  <c r="W54" i="29"/>
  <c r="V54" i="29"/>
  <c r="AA53" i="29"/>
  <c r="Z53" i="29"/>
  <c r="Y53" i="29"/>
  <c r="X53" i="29"/>
  <c r="W53" i="29"/>
  <c r="V53" i="29"/>
  <c r="AA52" i="29"/>
  <c r="Z52" i="29"/>
  <c r="Y52" i="29"/>
  <c r="X52" i="29"/>
  <c r="W52" i="29"/>
  <c r="V52" i="29"/>
  <c r="AA51" i="29"/>
  <c r="Z51" i="29"/>
  <c r="Y51" i="29"/>
  <c r="X51" i="29"/>
  <c r="W51" i="29"/>
  <c r="V51" i="29"/>
  <c r="AA50" i="29"/>
  <c r="Z50" i="29"/>
  <c r="Y50" i="29"/>
  <c r="X50" i="29"/>
  <c r="W50" i="29"/>
  <c r="V50" i="29"/>
  <c r="AA49" i="29"/>
  <c r="Z49" i="29"/>
  <c r="Y49" i="29"/>
  <c r="X49" i="29"/>
  <c r="W49" i="29"/>
  <c r="V49" i="29"/>
  <c r="AA48" i="29"/>
  <c r="Z48" i="29"/>
  <c r="Y48" i="29"/>
  <c r="X48" i="29"/>
  <c r="W48" i="29"/>
  <c r="V48" i="29"/>
  <c r="AA47" i="29"/>
  <c r="Z47" i="29"/>
  <c r="Y47" i="29"/>
  <c r="X47" i="29"/>
  <c r="W47" i="29"/>
  <c r="V47" i="29"/>
  <c r="AA46" i="29"/>
  <c r="Z46" i="29"/>
  <c r="Y46" i="29"/>
  <c r="X46" i="29"/>
  <c r="W46" i="29"/>
  <c r="V46" i="29"/>
  <c r="AA45" i="29"/>
  <c r="Z45" i="29"/>
  <c r="Y45" i="29"/>
  <c r="X45" i="29"/>
  <c r="W45" i="29"/>
  <c r="V45" i="29"/>
  <c r="AA44" i="29"/>
  <c r="Z44" i="29"/>
  <c r="Y44" i="29"/>
  <c r="X44" i="29"/>
  <c r="W44" i="29"/>
  <c r="V44" i="29"/>
  <c r="AA43" i="29"/>
  <c r="Z43" i="29"/>
  <c r="Y43" i="29"/>
  <c r="X43" i="29"/>
  <c r="W43" i="29"/>
  <c r="V43" i="29"/>
  <c r="AA42" i="29"/>
  <c r="Z42" i="29"/>
  <c r="Y42" i="29"/>
  <c r="X42" i="29"/>
  <c r="W42" i="29"/>
  <c r="V42" i="29"/>
  <c r="AA41" i="29"/>
  <c r="Z41" i="29"/>
  <c r="Y41" i="29"/>
  <c r="X41" i="29"/>
  <c r="W41" i="29"/>
  <c r="V41" i="29"/>
  <c r="AA40" i="29"/>
  <c r="Z40" i="29"/>
  <c r="Y40" i="29"/>
  <c r="X40" i="29"/>
  <c r="W40" i="29"/>
  <c r="V40" i="29"/>
  <c r="AA39" i="29"/>
  <c r="Z39" i="29"/>
  <c r="Y39" i="29"/>
  <c r="X39" i="29"/>
  <c r="W39" i="29"/>
  <c r="V39" i="29"/>
  <c r="AA38" i="29"/>
  <c r="Z38" i="29"/>
  <c r="Y38" i="29"/>
  <c r="X38" i="29"/>
  <c r="W38" i="29"/>
  <c r="V38" i="29"/>
  <c r="AA37" i="29"/>
  <c r="Z37" i="29"/>
  <c r="Y37" i="29"/>
  <c r="X37" i="29"/>
  <c r="W37" i="29"/>
  <c r="V37" i="29"/>
  <c r="AA36" i="29"/>
  <c r="Z36" i="29"/>
  <c r="Y36" i="29"/>
  <c r="X36" i="29"/>
  <c r="W36" i="29"/>
  <c r="V36" i="29"/>
  <c r="AA35" i="29"/>
  <c r="Z35" i="29"/>
  <c r="Y35" i="29"/>
  <c r="X35" i="29"/>
  <c r="W35" i="29"/>
  <c r="V35" i="29"/>
  <c r="AA34" i="29"/>
  <c r="Z34" i="29"/>
  <c r="Y34" i="29"/>
  <c r="X34" i="29"/>
  <c r="W34" i="29"/>
  <c r="V34" i="29"/>
  <c r="AA33" i="29"/>
  <c r="Z33" i="29"/>
  <c r="Y33" i="29"/>
  <c r="X33" i="29"/>
  <c r="W33" i="29"/>
  <c r="V33" i="29"/>
  <c r="AA32" i="29"/>
  <c r="Z32" i="29"/>
  <c r="Y32" i="29"/>
  <c r="X32" i="29"/>
  <c r="W32" i="29"/>
  <c r="V32" i="29"/>
  <c r="AA31" i="29"/>
  <c r="Z31" i="29"/>
  <c r="Y31" i="29"/>
  <c r="X31" i="29"/>
  <c r="W31" i="29"/>
  <c r="V31" i="29"/>
  <c r="AA30" i="29"/>
  <c r="Z30" i="29"/>
  <c r="Y30" i="29"/>
  <c r="X30" i="29"/>
  <c r="W30" i="29"/>
  <c r="V30" i="29"/>
  <c r="AA29" i="29"/>
  <c r="Z29" i="29"/>
  <c r="Y29" i="29"/>
  <c r="X29" i="29"/>
  <c r="W29" i="29"/>
  <c r="V29" i="29"/>
  <c r="AA28" i="29"/>
  <c r="Z28" i="29"/>
  <c r="Y28" i="29"/>
  <c r="X28" i="29"/>
  <c r="W28" i="29"/>
  <c r="V28" i="29"/>
  <c r="AA27" i="29"/>
  <c r="Z27" i="29"/>
  <c r="Y27" i="29"/>
  <c r="X27" i="29"/>
  <c r="W27" i="29"/>
  <c r="V27" i="29"/>
  <c r="AA26" i="29"/>
  <c r="Z26" i="29"/>
  <c r="Y26" i="29"/>
  <c r="X26" i="29"/>
  <c r="W26" i="29"/>
  <c r="V26" i="29"/>
  <c r="AA25" i="29"/>
  <c r="Z25" i="29"/>
  <c r="Y25" i="29"/>
  <c r="X25" i="29"/>
  <c r="W25" i="29"/>
  <c r="V25" i="29"/>
  <c r="AA24" i="29"/>
  <c r="Z24" i="29"/>
  <c r="Y24" i="29"/>
  <c r="X24" i="29"/>
  <c r="W24" i="29"/>
  <c r="V24" i="29"/>
  <c r="AA23" i="29"/>
  <c r="Z23" i="29"/>
  <c r="Y23" i="29"/>
  <c r="X23" i="29"/>
  <c r="W23" i="29"/>
  <c r="V23" i="29"/>
  <c r="AA22" i="29"/>
  <c r="Z22" i="29"/>
  <c r="Y22" i="29"/>
  <c r="X22" i="29"/>
  <c r="W22" i="29"/>
  <c r="V22" i="29"/>
  <c r="AA21" i="29"/>
  <c r="Z21" i="29"/>
  <c r="Y21" i="29"/>
  <c r="X21" i="29"/>
  <c r="W21" i="29"/>
  <c r="V21" i="29"/>
  <c r="AA20" i="29"/>
  <c r="Z20" i="29"/>
  <c r="Y20" i="29"/>
  <c r="X20" i="29"/>
  <c r="W20" i="29"/>
  <c r="V20" i="29"/>
  <c r="AA19" i="29"/>
  <c r="Z19" i="29"/>
  <c r="Y19" i="29"/>
  <c r="X19" i="29"/>
  <c r="W19" i="29"/>
  <c r="V19" i="29"/>
  <c r="AA18" i="29"/>
  <c r="Z18" i="29"/>
  <c r="Y18" i="29"/>
  <c r="X18" i="29"/>
  <c r="W18" i="29"/>
  <c r="V18" i="29"/>
  <c r="AA17" i="29"/>
  <c r="Z17" i="29"/>
  <c r="Y17" i="29"/>
  <c r="X17" i="29"/>
  <c r="W17" i="29"/>
  <c r="V17" i="29"/>
  <c r="AA16" i="29"/>
  <c r="Z16" i="29"/>
  <c r="Y16" i="29"/>
  <c r="X16" i="29"/>
  <c r="W16" i="29"/>
  <c r="V16" i="29"/>
  <c r="AA15" i="29"/>
  <c r="Z15" i="29"/>
  <c r="Y15" i="29"/>
  <c r="X15" i="29"/>
  <c r="W15" i="29"/>
  <c r="V15" i="29"/>
  <c r="AA14" i="29"/>
  <c r="Z14" i="29"/>
  <c r="Y14" i="29"/>
  <c r="X14" i="29"/>
  <c r="W14" i="29"/>
  <c r="V14" i="29"/>
  <c r="AA13" i="29"/>
  <c r="Z13" i="29"/>
  <c r="Y13" i="29"/>
  <c r="X13" i="29"/>
  <c r="W13" i="29"/>
  <c r="V13" i="29"/>
  <c r="AA12" i="29"/>
  <c r="Z12" i="29"/>
  <c r="Y12" i="29"/>
  <c r="X12" i="29"/>
  <c r="W12" i="29"/>
  <c r="V12" i="29"/>
  <c r="AA11" i="29"/>
  <c r="Z11" i="29"/>
  <c r="Y11" i="29"/>
  <c r="X11" i="29"/>
  <c r="W11" i="29"/>
  <c r="V11" i="29"/>
  <c r="AA10" i="29"/>
  <c r="Z10" i="29"/>
  <c r="Y10" i="29"/>
  <c r="X10" i="29"/>
  <c r="W10" i="29"/>
  <c r="V10" i="29"/>
  <c r="AA9" i="29"/>
  <c r="Z9" i="29"/>
  <c r="Y9" i="29"/>
  <c r="X9" i="29"/>
  <c r="W9" i="29"/>
  <c r="V9" i="29"/>
  <c r="AG2" i="29"/>
  <c r="AA100" i="28"/>
  <c r="Z100" i="28"/>
  <c r="Y100" i="28"/>
  <c r="X100" i="28"/>
  <c r="W100" i="28"/>
  <c r="V100" i="28"/>
  <c r="AA99" i="28"/>
  <c r="Z99" i="28"/>
  <c r="Y99" i="28"/>
  <c r="X99" i="28"/>
  <c r="W99" i="28"/>
  <c r="V99" i="28"/>
  <c r="AA98" i="28"/>
  <c r="Z98" i="28"/>
  <c r="Y98" i="28"/>
  <c r="X98" i="28"/>
  <c r="W98" i="28"/>
  <c r="V98" i="28"/>
  <c r="AA97" i="28"/>
  <c r="Z97" i="28"/>
  <c r="Y97" i="28"/>
  <c r="X97" i="28"/>
  <c r="W97" i="28"/>
  <c r="V97" i="28"/>
  <c r="AA96" i="28"/>
  <c r="Z96" i="28"/>
  <c r="Y96" i="28"/>
  <c r="X96" i="28"/>
  <c r="W96" i="28"/>
  <c r="V96" i="28"/>
  <c r="AA95" i="28"/>
  <c r="Z95" i="28"/>
  <c r="Y95" i="28"/>
  <c r="X95" i="28"/>
  <c r="W95" i="28"/>
  <c r="V95" i="28"/>
  <c r="AA94" i="28"/>
  <c r="Z94" i="28"/>
  <c r="Y94" i="28"/>
  <c r="X94" i="28"/>
  <c r="W94" i="28"/>
  <c r="V94" i="28"/>
  <c r="AA93" i="28"/>
  <c r="Z93" i="28"/>
  <c r="Y93" i="28"/>
  <c r="X93" i="28"/>
  <c r="W93" i="28"/>
  <c r="V93" i="28"/>
  <c r="AA92" i="28"/>
  <c r="Z92" i="28"/>
  <c r="Y92" i="28"/>
  <c r="X92" i="28"/>
  <c r="W92" i="28"/>
  <c r="V92" i="28"/>
  <c r="AA91" i="28"/>
  <c r="Z91" i="28"/>
  <c r="Y91" i="28"/>
  <c r="X91" i="28"/>
  <c r="W91" i="28"/>
  <c r="V91" i="28"/>
  <c r="AA90" i="28"/>
  <c r="Z90" i="28"/>
  <c r="Y90" i="28"/>
  <c r="X90" i="28"/>
  <c r="W90" i="28"/>
  <c r="V90" i="28"/>
  <c r="AA89" i="28"/>
  <c r="Z89" i="28"/>
  <c r="Y89" i="28"/>
  <c r="X89" i="28"/>
  <c r="W89" i="28"/>
  <c r="V89" i="28"/>
  <c r="AA88" i="28"/>
  <c r="Z88" i="28"/>
  <c r="Y88" i="28"/>
  <c r="X88" i="28"/>
  <c r="W88" i="28"/>
  <c r="V88" i="28"/>
  <c r="AA87" i="28"/>
  <c r="Z87" i="28"/>
  <c r="Y87" i="28"/>
  <c r="X87" i="28"/>
  <c r="W87" i="28"/>
  <c r="V87" i="28"/>
  <c r="AA86" i="28"/>
  <c r="Z86" i="28"/>
  <c r="Y86" i="28"/>
  <c r="X86" i="28"/>
  <c r="W86" i="28"/>
  <c r="V86" i="28"/>
  <c r="AA85" i="28"/>
  <c r="Z85" i="28"/>
  <c r="Y85" i="28"/>
  <c r="X85" i="28"/>
  <c r="W85" i="28"/>
  <c r="V85" i="28"/>
  <c r="AA84" i="28"/>
  <c r="Z84" i="28"/>
  <c r="Y84" i="28"/>
  <c r="X84" i="28"/>
  <c r="W84" i="28"/>
  <c r="V84" i="28"/>
  <c r="AA83" i="28"/>
  <c r="Z83" i="28"/>
  <c r="Y83" i="28"/>
  <c r="X83" i="28"/>
  <c r="W83" i="28"/>
  <c r="V83" i="28"/>
  <c r="AA82" i="28"/>
  <c r="Z82" i="28"/>
  <c r="Y82" i="28"/>
  <c r="X82" i="28"/>
  <c r="W82" i="28"/>
  <c r="V82" i="28"/>
  <c r="AA81" i="28"/>
  <c r="Z81" i="28"/>
  <c r="Y81" i="28"/>
  <c r="X81" i="28"/>
  <c r="W81" i="28"/>
  <c r="V81" i="28"/>
  <c r="AA80" i="28"/>
  <c r="Z80" i="28"/>
  <c r="Y80" i="28"/>
  <c r="X80" i="28"/>
  <c r="W80" i="28"/>
  <c r="V80" i="28"/>
  <c r="AA79" i="28"/>
  <c r="Z79" i="28"/>
  <c r="Y79" i="28"/>
  <c r="X79" i="28"/>
  <c r="W79" i="28"/>
  <c r="V79" i="28"/>
  <c r="AA78" i="28"/>
  <c r="Z78" i="28"/>
  <c r="Y78" i="28"/>
  <c r="X78" i="28"/>
  <c r="W78" i="28"/>
  <c r="V78" i="28"/>
  <c r="AA77" i="28"/>
  <c r="Z77" i="28"/>
  <c r="Y77" i="28"/>
  <c r="X77" i="28"/>
  <c r="W77" i="28"/>
  <c r="V77" i="28"/>
  <c r="AA76" i="28"/>
  <c r="Z76" i="28"/>
  <c r="Y76" i="28"/>
  <c r="X76" i="28"/>
  <c r="W76" i="28"/>
  <c r="V76" i="28"/>
  <c r="AA75" i="28"/>
  <c r="Z75" i="28"/>
  <c r="Y75" i="28"/>
  <c r="X75" i="28"/>
  <c r="W75" i="28"/>
  <c r="V75" i="28"/>
  <c r="AA74" i="28"/>
  <c r="Z74" i="28"/>
  <c r="Y74" i="28"/>
  <c r="X74" i="28"/>
  <c r="W74" i="28"/>
  <c r="V74" i="28"/>
  <c r="AA73" i="28"/>
  <c r="Z73" i="28"/>
  <c r="Y73" i="28"/>
  <c r="X73" i="28"/>
  <c r="W73" i="28"/>
  <c r="V73" i="28"/>
  <c r="AA72" i="28"/>
  <c r="Z72" i="28"/>
  <c r="Y72" i="28"/>
  <c r="X72" i="28"/>
  <c r="W72" i="28"/>
  <c r="V72" i="28"/>
  <c r="AA71" i="28"/>
  <c r="Z71" i="28"/>
  <c r="Y71" i="28"/>
  <c r="X71" i="28"/>
  <c r="W71" i="28"/>
  <c r="V71" i="28"/>
  <c r="AA70" i="28"/>
  <c r="Z70" i="28"/>
  <c r="Y70" i="28"/>
  <c r="X70" i="28"/>
  <c r="W70" i="28"/>
  <c r="V70" i="28"/>
  <c r="AA69" i="28"/>
  <c r="Z69" i="28"/>
  <c r="Y69" i="28"/>
  <c r="X69" i="28"/>
  <c r="W69" i="28"/>
  <c r="V69" i="28"/>
  <c r="AA68" i="28"/>
  <c r="Z68" i="28"/>
  <c r="Y68" i="28"/>
  <c r="X68" i="28"/>
  <c r="W68" i="28"/>
  <c r="V68" i="28"/>
  <c r="AA67" i="28"/>
  <c r="Z67" i="28"/>
  <c r="Y67" i="28"/>
  <c r="X67" i="28"/>
  <c r="W67" i="28"/>
  <c r="V67" i="28"/>
  <c r="AA66" i="28"/>
  <c r="Z66" i="28"/>
  <c r="Y66" i="28"/>
  <c r="X66" i="28"/>
  <c r="W66" i="28"/>
  <c r="V66" i="28"/>
  <c r="AA65" i="28"/>
  <c r="Z65" i="28"/>
  <c r="Y65" i="28"/>
  <c r="X65" i="28"/>
  <c r="W65" i="28"/>
  <c r="V65" i="28"/>
  <c r="AA64" i="28"/>
  <c r="Z64" i="28"/>
  <c r="Y64" i="28"/>
  <c r="X64" i="28"/>
  <c r="W64" i="28"/>
  <c r="V64" i="28"/>
  <c r="AA63" i="28"/>
  <c r="Z63" i="28"/>
  <c r="Y63" i="28"/>
  <c r="X63" i="28"/>
  <c r="W63" i="28"/>
  <c r="V63" i="28"/>
  <c r="AA62" i="28"/>
  <c r="Z62" i="28"/>
  <c r="Y62" i="28"/>
  <c r="X62" i="28"/>
  <c r="W62" i="28"/>
  <c r="V62" i="28"/>
  <c r="AA61" i="28"/>
  <c r="Z61" i="28"/>
  <c r="Y61" i="28"/>
  <c r="X61" i="28"/>
  <c r="W61" i="28"/>
  <c r="V61" i="28"/>
  <c r="AA60" i="28"/>
  <c r="Z60" i="28"/>
  <c r="Y60" i="28"/>
  <c r="X60" i="28"/>
  <c r="W60" i="28"/>
  <c r="V60" i="28"/>
  <c r="AA59" i="28"/>
  <c r="Z59" i="28"/>
  <c r="Y59" i="28"/>
  <c r="X59" i="28"/>
  <c r="W59" i="28"/>
  <c r="V59" i="28"/>
  <c r="AA58" i="28"/>
  <c r="Z58" i="28"/>
  <c r="Y58" i="28"/>
  <c r="X58" i="28"/>
  <c r="W58" i="28"/>
  <c r="V58" i="28"/>
  <c r="AA57" i="28"/>
  <c r="Z57" i="28"/>
  <c r="Y57" i="28"/>
  <c r="X57" i="28"/>
  <c r="W57" i="28"/>
  <c r="V57" i="28"/>
  <c r="AA56" i="28"/>
  <c r="Z56" i="28"/>
  <c r="Y56" i="28"/>
  <c r="X56" i="28"/>
  <c r="W56" i="28"/>
  <c r="V56" i="28"/>
  <c r="AA55" i="28"/>
  <c r="Z55" i="28"/>
  <c r="Y55" i="28"/>
  <c r="X55" i="28"/>
  <c r="W55" i="28"/>
  <c r="V55" i="28"/>
  <c r="AA54" i="28"/>
  <c r="Z54" i="28"/>
  <c r="Y54" i="28"/>
  <c r="X54" i="28"/>
  <c r="W54" i="28"/>
  <c r="V54" i="28"/>
  <c r="AA53" i="28"/>
  <c r="Z53" i="28"/>
  <c r="Y53" i="28"/>
  <c r="X53" i="28"/>
  <c r="W53" i="28"/>
  <c r="V53" i="28"/>
  <c r="AA52" i="28"/>
  <c r="Z52" i="28"/>
  <c r="Y52" i="28"/>
  <c r="X52" i="28"/>
  <c r="W52" i="28"/>
  <c r="V52" i="28"/>
  <c r="AA51" i="28"/>
  <c r="Z51" i="28"/>
  <c r="Y51" i="28"/>
  <c r="X51" i="28"/>
  <c r="W51" i="28"/>
  <c r="V51" i="28"/>
  <c r="AA50" i="28"/>
  <c r="Z50" i="28"/>
  <c r="Y50" i="28"/>
  <c r="X50" i="28"/>
  <c r="W50" i="28"/>
  <c r="V50" i="28"/>
  <c r="AA49" i="28"/>
  <c r="Z49" i="28"/>
  <c r="Y49" i="28"/>
  <c r="X49" i="28"/>
  <c r="W49" i="28"/>
  <c r="V49" i="28"/>
  <c r="AA48" i="28"/>
  <c r="Z48" i="28"/>
  <c r="Y48" i="28"/>
  <c r="X48" i="28"/>
  <c r="W48" i="28"/>
  <c r="V48" i="28"/>
  <c r="AA47" i="28"/>
  <c r="Z47" i="28"/>
  <c r="Y47" i="28"/>
  <c r="X47" i="28"/>
  <c r="W47" i="28"/>
  <c r="V47" i="28"/>
  <c r="AA46" i="28"/>
  <c r="Z46" i="28"/>
  <c r="Y46" i="28"/>
  <c r="X46" i="28"/>
  <c r="W46" i="28"/>
  <c r="V46" i="28"/>
  <c r="AA45" i="28"/>
  <c r="Z45" i="28"/>
  <c r="Y45" i="28"/>
  <c r="X45" i="28"/>
  <c r="W45" i="28"/>
  <c r="V45" i="28"/>
  <c r="AA44" i="28"/>
  <c r="Z44" i="28"/>
  <c r="Y44" i="28"/>
  <c r="X44" i="28"/>
  <c r="W44" i="28"/>
  <c r="V44" i="28"/>
  <c r="AA43" i="28"/>
  <c r="Z43" i="28"/>
  <c r="Y43" i="28"/>
  <c r="X43" i="28"/>
  <c r="W43" i="28"/>
  <c r="V43" i="28"/>
  <c r="AA42" i="28"/>
  <c r="Z42" i="28"/>
  <c r="Y42" i="28"/>
  <c r="X42" i="28"/>
  <c r="W42" i="28"/>
  <c r="V42" i="28"/>
  <c r="AA41" i="28"/>
  <c r="Z41" i="28"/>
  <c r="Y41" i="28"/>
  <c r="X41" i="28"/>
  <c r="W41" i="28"/>
  <c r="V41" i="28"/>
  <c r="AA40" i="28"/>
  <c r="Z40" i="28"/>
  <c r="Y40" i="28"/>
  <c r="X40" i="28"/>
  <c r="W40" i="28"/>
  <c r="V40" i="28"/>
  <c r="AA39" i="28"/>
  <c r="Z39" i="28"/>
  <c r="Y39" i="28"/>
  <c r="X39" i="28"/>
  <c r="W39" i="28"/>
  <c r="V39" i="28"/>
  <c r="AA38" i="28"/>
  <c r="Z38" i="28"/>
  <c r="Y38" i="28"/>
  <c r="X38" i="28"/>
  <c r="W38" i="28"/>
  <c r="V38" i="28"/>
  <c r="AA37" i="28"/>
  <c r="Z37" i="28"/>
  <c r="Y37" i="28"/>
  <c r="X37" i="28"/>
  <c r="W37" i="28"/>
  <c r="V37" i="28"/>
  <c r="AA36" i="28"/>
  <c r="Z36" i="28"/>
  <c r="Y36" i="28"/>
  <c r="X36" i="28"/>
  <c r="W36" i="28"/>
  <c r="V36" i="28"/>
  <c r="AA35" i="28"/>
  <c r="Z35" i="28"/>
  <c r="Y35" i="28"/>
  <c r="X35" i="28"/>
  <c r="W35" i="28"/>
  <c r="V35" i="28"/>
  <c r="AA34" i="28"/>
  <c r="Z34" i="28"/>
  <c r="Y34" i="28"/>
  <c r="X34" i="28"/>
  <c r="W34" i="28"/>
  <c r="V34" i="28"/>
  <c r="AA33" i="28"/>
  <c r="Z33" i="28"/>
  <c r="Y33" i="28"/>
  <c r="X33" i="28"/>
  <c r="W33" i="28"/>
  <c r="V33" i="28"/>
  <c r="AA32" i="28"/>
  <c r="Z32" i="28"/>
  <c r="Y32" i="28"/>
  <c r="X32" i="28"/>
  <c r="W32" i="28"/>
  <c r="V32" i="28"/>
  <c r="AA31" i="28"/>
  <c r="Z31" i="28"/>
  <c r="Y31" i="28"/>
  <c r="X31" i="28"/>
  <c r="W31" i="28"/>
  <c r="V31" i="28"/>
  <c r="AA30" i="28"/>
  <c r="Z30" i="28"/>
  <c r="Y30" i="28"/>
  <c r="X30" i="28"/>
  <c r="W30" i="28"/>
  <c r="V30" i="28"/>
  <c r="AA29" i="28"/>
  <c r="Z29" i="28"/>
  <c r="Y29" i="28"/>
  <c r="X29" i="28"/>
  <c r="W29" i="28"/>
  <c r="V29" i="28"/>
  <c r="AA28" i="28"/>
  <c r="Z28" i="28"/>
  <c r="Y28" i="28"/>
  <c r="X28" i="28"/>
  <c r="W28" i="28"/>
  <c r="V28" i="28"/>
  <c r="AA27" i="28"/>
  <c r="Z27" i="28"/>
  <c r="Y27" i="28"/>
  <c r="X27" i="28"/>
  <c r="W27" i="28"/>
  <c r="V27" i="28"/>
  <c r="AA26" i="28"/>
  <c r="Z26" i="28"/>
  <c r="Y26" i="28"/>
  <c r="X26" i="28"/>
  <c r="W26" i="28"/>
  <c r="V26" i="28"/>
  <c r="AA25" i="28"/>
  <c r="Z25" i="28"/>
  <c r="Y25" i="28"/>
  <c r="X25" i="28"/>
  <c r="W25" i="28"/>
  <c r="V25" i="28"/>
  <c r="AA24" i="28"/>
  <c r="Z24" i="28"/>
  <c r="Y24" i="28"/>
  <c r="X24" i="28"/>
  <c r="W24" i="28"/>
  <c r="V24" i="28"/>
  <c r="AA23" i="28"/>
  <c r="Z23" i="28"/>
  <c r="Y23" i="28"/>
  <c r="X23" i="28"/>
  <c r="W23" i="28"/>
  <c r="V23" i="28"/>
  <c r="AA22" i="28"/>
  <c r="Z22" i="28"/>
  <c r="Y22" i="28"/>
  <c r="X22" i="28"/>
  <c r="W22" i="28"/>
  <c r="V22" i="28"/>
  <c r="AA21" i="28"/>
  <c r="Z21" i="28"/>
  <c r="Y21" i="28"/>
  <c r="X21" i="28"/>
  <c r="W21" i="28"/>
  <c r="V21" i="28"/>
  <c r="AA20" i="28"/>
  <c r="Z20" i="28"/>
  <c r="Y20" i="28"/>
  <c r="X20" i="28"/>
  <c r="W20" i="28"/>
  <c r="V20" i="28"/>
  <c r="AA19" i="28"/>
  <c r="Z19" i="28"/>
  <c r="Y19" i="28"/>
  <c r="X19" i="28"/>
  <c r="W19" i="28"/>
  <c r="V19" i="28"/>
  <c r="AA18" i="28"/>
  <c r="Z18" i="28"/>
  <c r="Y18" i="28"/>
  <c r="X18" i="28"/>
  <c r="W18" i="28"/>
  <c r="V18" i="28"/>
  <c r="AA17" i="28"/>
  <c r="Z17" i="28"/>
  <c r="Y17" i="28"/>
  <c r="X17" i="28"/>
  <c r="W17" i="28"/>
  <c r="V17" i="28"/>
  <c r="AA16" i="28"/>
  <c r="Z16" i="28"/>
  <c r="Y16" i="28"/>
  <c r="X16" i="28"/>
  <c r="W16" i="28"/>
  <c r="V16" i="28"/>
  <c r="AA15" i="28"/>
  <c r="Z15" i="28"/>
  <c r="Y15" i="28"/>
  <c r="X15" i="28"/>
  <c r="W15" i="28"/>
  <c r="V15" i="28"/>
  <c r="AA14" i="28"/>
  <c r="Z14" i="28"/>
  <c r="Y14" i="28"/>
  <c r="X14" i="28"/>
  <c r="W14" i="28"/>
  <c r="V14" i="28"/>
  <c r="AA13" i="28"/>
  <c r="Z13" i="28"/>
  <c r="Y13" i="28"/>
  <c r="X13" i="28"/>
  <c r="W13" i="28"/>
  <c r="V13" i="28"/>
  <c r="AA12" i="28"/>
  <c r="Z12" i="28"/>
  <c r="Y12" i="28"/>
  <c r="X12" i="28"/>
  <c r="W12" i="28"/>
  <c r="V12" i="28"/>
  <c r="AA11" i="28"/>
  <c r="Z11" i="28"/>
  <c r="Y11" i="28"/>
  <c r="X11" i="28"/>
  <c r="W11" i="28"/>
  <c r="V11" i="28"/>
  <c r="AA10" i="28"/>
  <c r="Z10" i="28"/>
  <c r="Y10" i="28"/>
  <c r="X10" i="28"/>
  <c r="W10" i="28"/>
  <c r="V10" i="28"/>
  <c r="AG2" i="28"/>
  <c r="AA100" i="27"/>
  <c r="Z100" i="27"/>
  <c r="Y100" i="27"/>
  <c r="X100" i="27"/>
  <c r="W100" i="27"/>
  <c r="V100" i="27"/>
  <c r="AA99" i="27"/>
  <c r="Z99" i="27"/>
  <c r="Y99" i="27"/>
  <c r="X99" i="27"/>
  <c r="W99" i="27"/>
  <c r="V99" i="27"/>
  <c r="AA98" i="27"/>
  <c r="Z98" i="27"/>
  <c r="Y98" i="27"/>
  <c r="X98" i="27"/>
  <c r="W98" i="27"/>
  <c r="V98" i="27"/>
  <c r="AA97" i="27"/>
  <c r="Z97" i="27"/>
  <c r="Y97" i="27"/>
  <c r="X97" i="27"/>
  <c r="W97" i="27"/>
  <c r="V97" i="27"/>
  <c r="AA96" i="27"/>
  <c r="Z96" i="27"/>
  <c r="Y96" i="27"/>
  <c r="X96" i="27"/>
  <c r="W96" i="27"/>
  <c r="V96" i="27"/>
  <c r="AA95" i="27"/>
  <c r="Z95" i="27"/>
  <c r="Y95" i="27"/>
  <c r="X95" i="27"/>
  <c r="W95" i="27"/>
  <c r="V95" i="27"/>
  <c r="AA94" i="27"/>
  <c r="Z94" i="27"/>
  <c r="Y94" i="27"/>
  <c r="X94" i="27"/>
  <c r="W94" i="27"/>
  <c r="V94" i="27"/>
  <c r="AA93" i="27"/>
  <c r="Z93" i="27"/>
  <c r="Y93" i="27"/>
  <c r="X93" i="27"/>
  <c r="W93" i="27"/>
  <c r="V93" i="27"/>
  <c r="AA92" i="27"/>
  <c r="Z92" i="27"/>
  <c r="Y92" i="27"/>
  <c r="X92" i="27"/>
  <c r="W92" i="27"/>
  <c r="V92" i="27"/>
  <c r="AA91" i="27"/>
  <c r="Z91" i="27"/>
  <c r="Y91" i="27"/>
  <c r="X91" i="27"/>
  <c r="W91" i="27"/>
  <c r="V91" i="27"/>
  <c r="AA90" i="27"/>
  <c r="Z90" i="27"/>
  <c r="Y90" i="27"/>
  <c r="X90" i="27"/>
  <c r="W90" i="27"/>
  <c r="V90" i="27"/>
  <c r="AA89" i="27"/>
  <c r="Z89" i="27"/>
  <c r="Y89" i="27"/>
  <c r="X89" i="27"/>
  <c r="W89" i="27"/>
  <c r="V89" i="27"/>
  <c r="AA88" i="27"/>
  <c r="Z88" i="27"/>
  <c r="Y88" i="27"/>
  <c r="X88" i="27"/>
  <c r="W88" i="27"/>
  <c r="V88" i="27"/>
  <c r="AA87" i="27"/>
  <c r="Z87" i="27"/>
  <c r="Y87" i="27"/>
  <c r="X87" i="27"/>
  <c r="W87" i="27"/>
  <c r="V87" i="27"/>
  <c r="AA86" i="27"/>
  <c r="Z86" i="27"/>
  <c r="Y86" i="27"/>
  <c r="X86" i="27"/>
  <c r="W86" i="27"/>
  <c r="V86" i="27"/>
  <c r="AA85" i="27"/>
  <c r="Z85" i="27"/>
  <c r="Y85" i="27"/>
  <c r="X85" i="27"/>
  <c r="W85" i="27"/>
  <c r="V85" i="27"/>
  <c r="AA84" i="27"/>
  <c r="Z84" i="27"/>
  <c r="Y84" i="27"/>
  <c r="X84" i="27"/>
  <c r="W84" i="27"/>
  <c r="V84" i="27"/>
  <c r="AA83" i="27"/>
  <c r="Z83" i="27"/>
  <c r="Y83" i="27"/>
  <c r="X83" i="27"/>
  <c r="W83" i="27"/>
  <c r="V83" i="27"/>
  <c r="AA82" i="27"/>
  <c r="Z82" i="27"/>
  <c r="Y82" i="27"/>
  <c r="X82" i="27"/>
  <c r="W82" i="27"/>
  <c r="V82" i="27"/>
  <c r="AA81" i="27"/>
  <c r="Z81" i="27"/>
  <c r="Y81" i="27"/>
  <c r="X81" i="27"/>
  <c r="W81" i="27"/>
  <c r="V81" i="27"/>
  <c r="AA80" i="27"/>
  <c r="Z80" i="27"/>
  <c r="Y80" i="27"/>
  <c r="X80" i="27"/>
  <c r="W80" i="27"/>
  <c r="V80" i="27"/>
  <c r="AA79" i="27"/>
  <c r="Z79" i="27"/>
  <c r="Y79" i="27"/>
  <c r="X79" i="27"/>
  <c r="W79" i="27"/>
  <c r="V79" i="27"/>
  <c r="AA78" i="27"/>
  <c r="Z78" i="27"/>
  <c r="Y78" i="27"/>
  <c r="X78" i="27"/>
  <c r="W78" i="27"/>
  <c r="V78" i="27"/>
  <c r="AA77" i="27"/>
  <c r="Z77" i="27"/>
  <c r="Y77" i="27"/>
  <c r="X77" i="27"/>
  <c r="W77" i="27"/>
  <c r="V77" i="27"/>
  <c r="AA76" i="27"/>
  <c r="Z76" i="27"/>
  <c r="Y76" i="27"/>
  <c r="X76" i="27"/>
  <c r="W76" i="27"/>
  <c r="V76" i="27"/>
  <c r="AA75" i="27"/>
  <c r="Z75" i="27"/>
  <c r="Y75" i="27"/>
  <c r="X75" i="27"/>
  <c r="W75" i="27"/>
  <c r="V75" i="27"/>
  <c r="AA74" i="27"/>
  <c r="Z74" i="27"/>
  <c r="Y74" i="27"/>
  <c r="X74" i="27"/>
  <c r="W74" i="27"/>
  <c r="V74" i="27"/>
  <c r="AA73" i="27"/>
  <c r="Z73" i="27"/>
  <c r="Y73" i="27"/>
  <c r="X73" i="27"/>
  <c r="W73" i="27"/>
  <c r="V73" i="27"/>
  <c r="AA72" i="27"/>
  <c r="Z72" i="27"/>
  <c r="Y72" i="27"/>
  <c r="X72" i="27"/>
  <c r="W72" i="27"/>
  <c r="V72" i="27"/>
  <c r="AA71" i="27"/>
  <c r="Z71" i="27"/>
  <c r="Y71" i="27"/>
  <c r="X71" i="27"/>
  <c r="W71" i="27"/>
  <c r="V71" i="27"/>
  <c r="AA70" i="27"/>
  <c r="Z70" i="27"/>
  <c r="Y70" i="27"/>
  <c r="X70" i="27"/>
  <c r="W70" i="27"/>
  <c r="V70" i="27"/>
  <c r="AA69" i="27"/>
  <c r="Z69" i="27"/>
  <c r="Y69" i="27"/>
  <c r="X69" i="27"/>
  <c r="W69" i="27"/>
  <c r="V69" i="27"/>
  <c r="AA68" i="27"/>
  <c r="Z68" i="27"/>
  <c r="Y68" i="27"/>
  <c r="X68" i="27"/>
  <c r="W68" i="27"/>
  <c r="V68" i="27"/>
  <c r="AA67" i="27"/>
  <c r="Z67" i="27"/>
  <c r="Y67" i="27"/>
  <c r="X67" i="27"/>
  <c r="W67" i="27"/>
  <c r="V67" i="27"/>
  <c r="AA66" i="27"/>
  <c r="Z66" i="27"/>
  <c r="Y66" i="27"/>
  <c r="X66" i="27"/>
  <c r="W66" i="27"/>
  <c r="V66" i="27"/>
  <c r="AA65" i="27"/>
  <c r="Z65" i="27"/>
  <c r="Y65" i="27"/>
  <c r="X65" i="27"/>
  <c r="W65" i="27"/>
  <c r="V65" i="27"/>
  <c r="AA64" i="27"/>
  <c r="Z64" i="27"/>
  <c r="Y64" i="27"/>
  <c r="X64" i="27"/>
  <c r="W64" i="27"/>
  <c r="V64" i="27"/>
  <c r="AA63" i="27"/>
  <c r="Z63" i="27"/>
  <c r="Y63" i="27"/>
  <c r="X63" i="27"/>
  <c r="W63" i="27"/>
  <c r="V63" i="27"/>
  <c r="AA62" i="27"/>
  <c r="Z62" i="27"/>
  <c r="Y62" i="27"/>
  <c r="X62" i="27"/>
  <c r="W62" i="27"/>
  <c r="V62" i="27"/>
  <c r="AA61" i="27"/>
  <c r="Z61" i="27"/>
  <c r="Y61" i="27"/>
  <c r="X61" i="27"/>
  <c r="W61" i="27"/>
  <c r="V61" i="27"/>
  <c r="AA60" i="27"/>
  <c r="Z60" i="27"/>
  <c r="Y60" i="27"/>
  <c r="X60" i="27"/>
  <c r="W60" i="27"/>
  <c r="V60" i="27"/>
  <c r="AA59" i="27"/>
  <c r="Z59" i="27"/>
  <c r="Y59" i="27"/>
  <c r="X59" i="27"/>
  <c r="W59" i="27"/>
  <c r="V59" i="27"/>
  <c r="AA58" i="27"/>
  <c r="Z58" i="27"/>
  <c r="Y58" i="27"/>
  <c r="X58" i="27"/>
  <c r="W58" i="27"/>
  <c r="V58" i="27"/>
  <c r="AA57" i="27"/>
  <c r="Z57" i="27"/>
  <c r="Y57" i="27"/>
  <c r="X57" i="27"/>
  <c r="W57" i="27"/>
  <c r="V57" i="27"/>
  <c r="AA56" i="27"/>
  <c r="Z56" i="27"/>
  <c r="Y56" i="27"/>
  <c r="X56" i="27"/>
  <c r="W56" i="27"/>
  <c r="V56" i="27"/>
  <c r="AA55" i="27"/>
  <c r="Z55" i="27"/>
  <c r="Y55" i="27"/>
  <c r="X55" i="27"/>
  <c r="W55" i="27"/>
  <c r="V55" i="27"/>
  <c r="AA54" i="27"/>
  <c r="Z54" i="27"/>
  <c r="Y54" i="27"/>
  <c r="X54" i="27"/>
  <c r="W54" i="27"/>
  <c r="V54" i="27"/>
  <c r="AA53" i="27"/>
  <c r="Z53" i="27"/>
  <c r="Y53" i="27"/>
  <c r="X53" i="27"/>
  <c r="W53" i="27"/>
  <c r="V53" i="27"/>
  <c r="AA52" i="27"/>
  <c r="Z52" i="27"/>
  <c r="Y52" i="27"/>
  <c r="X52" i="27"/>
  <c r="W52" i="27"/>
  <c r="V52" i="27"/>
  <c r="AA51" i="27"/>
  <c r="Z51" i="27"/>
  <c r="Y51" i="27"/>
  <c r="X51" i="27"/>
  <c r="W51" i="27"/>
  <c r="V51" i="27"/>
  <c r="AA50" i="27"/>
  <c r="Z50" i="27"/>
  <c r="Y50" i="27"/>
  <c r="X50" i="27"/>
  <c r="W50" i="27"/>
  <c r="V50" i="27"/>
  <c r="AA49" i="27"/>
  <c r="Z49" i="27"/>
  <c r="Y49" i="27"/>
  <c r="X49" i="27"/>
  <c r="W49" i="27"/>
  <c r="V49" i="27"/>
  <c r="AA48" i="27"/>
  <c r="Z48" i="27"/>
  <c r="Y48" i="27"/>
  <c r="X48" i="27"/>
  <c r="W48" i="27"/>
  <c r="V48" i="27"/>
  <c r="AA47" i="27"/>
  <c r="Z47" i="27"/>
  <c r="Y47" i="27"/>
  <c r="X47" i="27"/>
  <c r="W47" i="27"/>
  <c r="V47" i="27"/>
  <c r="AA46" i="27"/>
  <c r="Z46" i="27"/>
  <c r="Y46" i="27"/>
  <c r="X46" i="27"/>
  <c r="W46" i="27"/>
  <c r="V46" i="27"/>
  <c r="AA45" i="27"/>
  <c r="Z45" i="27"/>
  <c r="Y45" i="27"/>
  <c r="X45" i="27"/>
  <c r="W45" i="27"/>
  <c r="V45" i="27"/>
  <c r="AA44" i="27"/>
  <c r="Z44" i="27"/>
  <c r="Y44" i="27"/>
  <c r="X44" i="27"/>
  <c r="W44" i="27"/>
  <c r="V44" i="27"/>
  <c r="AA43" i="27"/>
  <c r="Z43" i="27"/>
  <c r="Y43" i="27"/>
  <c r="X43" i="27"/>
  <c r="W43" i="27"/>
  <c r="V43" i="27"/>
  <c r="AA42" i="27"/>
  <c r="Z42" i="27"/>
  <c r="Y42" i="27"/>
  <c r="X42" i="27"/>
  <c r="W42" i="27"/>
  <c r="V42" i="27"/>
  <c r="AA41" i="27"/>
  <c r="Z41" i="27"/>
  <c r="Y41" i="27"/>
  <c r="X41" i="27"/>
  <c r="W41" i="27"/>
  <c r="V41" i="27"/>
  <c r="AA40" i="27"/>
  <c r="Z40" i="27"/>
  <c r="Y40" i="27"/>
  <c r="X40" i="27"/>
  <c r="W40" i="27"/>
  <c r="V40" i="27"/>
  <c r="AA39" i="27"/>
  <c r="Z39" i="27"/>
  <c r="Y39" i="27"/>
  <c r="X39" i="27"/>
  <c r="W39" i="27"/>
  <c r="V39" i="27"/>
  <c r="AA38" i="27"/>
  <c r="Z38" i="27"/>
  <c r="Y38" i="27"/>
  <c r="X38" i="27"/>
  <c r="W38" i="27"/>
  <c r="V38" i="27"/>
  <c r="AA37" i="27"/>
  <c r="Z37" i="27"/>
  <c r="Y37" i="27"/>
  <c r="X37" i="27"/>
  <c r="W37" i="27"/>
  <c r="V37" i="27"/>
  <c r="AA36" i="27"/>
  <c r="Z36" i="27"/>
  <c r="Y36" i="27"/>
  <c r="X36" i="27"/>
  <c r="W36" i="27"/>
  <c r="V36" i="27"/>
  <c r="AA35" i="27"/>
  <c r="Z35" i="27"/>
  <c r="Y35" i="27"/>
  <c r="X35" i="27"/>
  <c r="W35" i="27"/>
  <c r="V35" i="27"/>
  <c r="AA34" i="27"/>
  <c r="Z34" i="27"/>
  <c r="Y34" i="27"/>
  <c r="X34" i="27"/>
  <c r="W34" i="27"/>
  <c r="V34" i="27"/>
  <c r="AA33" i="27"/>
  <c r="Z33" i="27"/>
  <c r="Y33" i="27"/>
  <c r="X33" i="27"/>
  <c r="W33" i="27"/>
  <c r="V33" i="27"/>
  <c r="AA32" i="27"/>
  <c r="Z32" i="27"/>
  <c r="Y32" i="27"/>
  <c r="X32" i="27"/>
  <c r="W32" i="27"/>
  <c r="V32" i="27"/>
  <c r="AA31" i="27"/>
  <c r="Z31" i="27"/>
  <c r="Y31" i="27"/>
  <c r="X31" i="27"/>
  <c r="W31" i="27"/>
  <c r="V31" i="27"/>
  <c r="AA30" i="27"/>
  <c r="Z30" i="27"/>
  <c r="Y30" i="27"/>
  <c r="X30" i="27"/>
  <c r="W30" i="27"/>
  <c r="V30" i="27"/>
  <c r="AA29" i="27"/>
  <c r="Z29" i="27"/>
  <c r="Y29" i="27"/>
  <c r="X29" i="27"/>
  <c r="W29" i="27"/>
  <c r="V29" i="27"/>
  <c r="AA28" i="27"/>
  <c r="Z28" i="27"/>
  <c r="Y28" i="27"/>
  <c r="X28" i="27"/>
  <c r="W28" i="27"/>
  <c r="V28" i="27"/>
  <c r="AA27" i="27"/>
  <c r="Z27" i="27"/>
  <c r="Y27" i="27"/>
  <c r="X27" i="27"/>
  <c r="W27" i="27"/>
  <c r="V27" i="27"/>
  <c r="AA26" i="27"/>
  <c r="Z26" i="27"/>
  <c r="Y26" i="27"/>
  <c r="X26" i="27"/>
  <c r="W26" i="27"/>
  <c r="V26" i="27"/>
  <c r="AA25" i="27"/>
  <c r="Z25" i="27"/>
  <c r="Y25" i="27"/>
  <c r="X25" i="27"/>
  <c r="W25" i="27"/>
  <c r="V25" i="27"/>
  <c r="AA24" i="27"/>
  <c r="Z24" i="27"/>
  <c r="Y24" i="27"/>
  <c r="X24" i="27"/>
  <c r="W24" i="27"/>
  <c r="V24" i="27"/>
  <c r="AA23" i="27"/>
  <c r="Z23" i="27"/>
  <c r="Y23" i="27"/>
  <c r="X23" i="27"/>
  <c r="W23" i="27"/>
  <c r="V23" i="27"/>
  <c r="AA22" i="27"/>
  <c r="Z22" i="27"/>
  <c r="Y22" i="27"/>
  <c r="X22" i="27"/>
  <c r="W22" i="27"/>
  <c r="V22" i="27"/>
  <c r="AA21" i="27"/>
  <c r="Z21" i="27"/>
  <c r="Y21" i="27"/>
  <c r="X21" i="27"/>
  <c r="W21" i="27"/>
  <c r="V21" i="27"/>
  <c r="AA20" i="27"/>
  <c r="Z20" i="27"/>
  <c r="Y20" i="27"/>
  <c r="X20" i="27"/>
  <c r="W20" i="27"/>
  <c r="V20" i="27"/>
  <c r="AA19" i="27"/>
  <c r="Z19" i="27"/>
  <c r="Y19" i="27"/>
  <c r="X19" i="27"/>
  <c r="W19" i="27"/>
  <c r="V19" i="27"/>
  <c r="AA18" i="27"/>
  <c r="Z18" i="27"/>
  <c r="Y18" i="27"/>
  <c r="X18" i="27"/>
  <c r="W18" i="27"/>
  <c r="V18" i="27"/>
  <c r="AA17" i="27"/>
  <c r="Z17" i="27"/>
  <c r="Y17" i="27"/>
  <c r="X17" i="27"/>
  <c r="W17" i="27"/>
  <c r="V17" i="27"/>
  <c r="AA16" i="27"/>
  <c r="Z16" i="27"/>
  <c r="Y16" i="27"/>
  <c r="X16" i="27"/>
  <c r="W16" i="27"/>
  <c r="V16" i="27"/>
  <c r="AA15" i="27"/>
  <c r="Z15" i="27"/>
  <c r="Y15" i="27"/>
  <c r="X15" i="27"/>
  <c r="W15" i="27"/>
  <c r="V15" i="27"/>
  <c r="AA14" i="27"/>
  <c r="Z14" i="27"/>
  <c r="Y14" i="27"/>
  <c r="X14" i="27"/>
  <c r="W14" i="27"/>
  <c r="V14" i="27"/>
  <c r="AA13" i="27"/>
  <c r="Z13" i="27"/>
  <c r="Y13" i="27"/>
  <c r="X13" i="27"/>
  <c r="W13" i="27"/>
  <c r="V13" i="27"/>
  <c r="AA12" i="27"/>
  <c r="Z12" i="27"/>
  <c r="Y12" i="27"/>
  <c r="X12" i="27"/>
  <c r="W12" i="27"/>
  <c r="V12" i="27"/>
  <c r="AA11" i="27"/>
  <c r="Z11" i="27"/>
  <c r="Y11" i="27"/>
  <c r="X11" i="27"/>
  <c r="W11" i="27"/>
  <c r="V11" i="27"/>
  <c r="AA10" i="27"/>
  <c r="Z10" i="27"/>
  <c r="Y10" i="27"/>
  <c r="X10" i="27"/>
  <c r="W10" i="27"/>
  <c r="V10" i="27"/>
  <c r="AG2" i="27"/>
  <c r="AA100" i="26"/>
  <c r="Z100" i="26"/>
  <c r="Y100" i="26"/>
  <c r="X100" i="26"/>
  <c r="W100" i="26"/>
  <c r="V100" i="26"/>
  <c r="AA99" i="26"/>
  <c r="Z99" i="26"/>
  <c r="Y99" i="26"/>
  <c r="X99" i="26"/>
  <c r="W99" i="26"/>
  <c r="V99" i="26"/>
  <c r="AA98" i="26"/>
  <c r="Z98" i="26"/>
  <c r="Y98" i="26"/>
  <c r="X98" i="26"/>
  <c r="W98" i="26"/>
  <c r="V98" i="26"/>
  <c r="AA97" i="26"/>
  <c r="Z97" i="26"/>
  <c r="Y97" i="26"/>
  <c r="X97" i="26"/>
  <c r="W97" i="26"/>
  <c r="V97" i="26"/>
  <c r="AA96" i="26"/>
  <c r="Z96" i="26"/>
  <c r="Y96" i="26"/>
  <c r="X96" i="26"/>
  <c r="W96" i="26"/>
  <c r="V96" i="26"/>
  <c r="AA95" i="26"/>
  <c r="Z95" i="26"/>
  <c r="Y95" i="26"/>
  <c r="X95" i="26"/>
  <c r="W95" i="26"/>
  <c r="V95" i="26"/>
  <c r="AA94" i="26"/>
  <c r="Z94" i="26"/>
  <c r="Y94" i="26"/>
  <c r="X94" i="26"/>
  <c r="W94" i="26"/>
  <c r="V94" i="26"/>
  <c r="AA93" i="26"/>
  <c r="Z93" i="26"/>
  <c r="Y93" i="26"/>
  <c r="X93" i="26"/>
  <c r="W93" i="26"/>
  <c r="V93" i="26"/>
  <c r="AA92" i="26"/>
  <c r="Z92" i="26"/>
  <c r="Y92" i="26"/>
  <c r="X92" i="26"/>
  <c r="W92" i="26"/>
  <c r="V92" i="26"/>
  <c r="AA91" i="26"/>
  <c r="Z91" i="26"/>
  <c r="Y91" i="26"/>
  <c r="X91" i="26"/>
  <c r="W91" i="26"/>
  <c r="V91" i="26"/>
  <c r="AA90" i="26"/>
  <c r="Z90" i="26"/>
  <c r="Y90" i="26"/>
  <c r="X90" i="26"/>
  <c r="W90" i="26"/>
  <c r="V90" i="26"/>
  <c r="AA89" i="26"/>
  <c r="Z89" i="26"/>
  <c r="Y89" i="26"/>
  <c r="X89" i="26"/>
  <c r="W89" i="26"/>
  <c r="V89" i="26"/>
  <c r="AA88" i="26"/>
  <c r="Z88" i="26"/>
  <c r="Y88" i="26"/>
  <c r="X88" i="26"/>
  <c r="W88" i="26"/>
  <c r="V88" i="26"/>
  <c r="AA87" i="26"/>
  <c r="Z87" i="26"/>
  <c r="Y87" i="26"/>
  <c r="X87" i="26"/>
  <c r="W87" i="26"/>
  <c r="V87" i="26"/>
  <c r="AA86" i="26"/>
  <c r="Z86" i="26"/>
  <c r="Y86" i="26"/>
  <c r="X86" i="26"/>
  <c r="W86" i="26"/>
  <c r="V86" i="26"/>
  <c r="AA85" i="26"/>
  <c r="Z85" i="26"/>
  <c r="Y85" i="26"/>
  <c r="X85" i="26"/>
  <c r="W85" i="26"/>
  <c r="V85" i="26"/>
  <c r="AA84" i="26"/>
  <c r="Z84" i="26"/>
  <c r="Y84" i="26"/>
  <c r="X84" i="26"/>
  <c r="W84" i="26"/>
  <c r="V84" i="26"/>
  <c r="AA83" i="26"/>
  <c r="Z83" i="26"/>
  <c r="Y83" i="26"/>
  <c r="X83" i="26"/>
  <c r="W83" i="26"/>
  <c r="V83" i="26"/>
  <c r="AA82" i="26"/>
  <c r="Z82" i="26"/>
  <c r="Y82" i="26"/>
  <c r="X82" i="26"/>
  <c r="W82" i="26"/>
  <c r="V82" i="26"/>
  <c r="AA81" i="26"/>
  <c r="Z81" i="26"/>
  <c r="Y81" i="26"/>
  <c r="X81" i="26"/>
  <c r="W81" i="26"/>
  <c r="V81" i="26"/>
  <c r="AA80" i="26"/>
  <c r="Z80" i="26"/>
  <c r="Y80" i="26"/>
  <c r="X80" i="26"/>
  <c r="W80" i="26"/>
  <c r="V80" i="26"/>
  <c r="AA79" i="26"/>
  <c r="Z79" i="26"/>
  <c r="Y79" i="26"/>
  <c r="X79" i="26"/>
  <c r="W79" i="26"/>
  <c r="V79" i="26"/>
  <c r="AA78" i="26"/>
  <c r="Z78" i="26"/>
  <c r="Y78" i="26"/>
  <c r="X78" i="26"/>
  <c r="W78" i="26"/>
  <c r="V78" i="26"/>
  <c r="AA77" i="26"/>
  <c r="Z77" i="26"/>
  <c r="Y77" i="26"/>
  <c r="X77" i="26"/>
  <c r="W77" i="26"/>
  <c r="V77" i="26"/>
  <c r="AA76" i="26"/>
  <c r="Z76" i="26"/>
  <c r="Y76" i="26"/>
  <c r="X76" i="26"/>
  <c r="W76" i="26"/>
  <c r="V76" i="26"/>
  <c r="AA75" i="26"/>
  <c r="Z75" i="26"/>
  <c r="Y75" i="26"/>
  <c r="X75" i="26"/>
  <c r="W75" i="26"/>
  <c r="V75" i="26"/>
  <c r="AA74" i="26"/>
  <c r="Z74" i="26"/>
  <c r="Y74" i="26"/>
  <c r="X74" i="26"/>
  <c r="W74" i="26"/>
  <c r="V74" i="26"/>
  <c r="AA73" i="26"/>
  <c r="Z73" i="26"/>
  <c r="Y73" i="26"/>
  <c r="X73" i="26"/>
  <c r="W73" i="26"/>
  <c r="V73" i="26"/>
  <c r="AA72" i="26"/>
  <c r="Z72" i="26"/>
  <c r="Y72" i="26"/>
  <c r="X72" i="26"/>
  <c r="W72" i="26"/>
  <c r="V72" i="26"/>
  <c r="AA71" i="26"/>
  <c r="Z71" i="26"/>
  <c r="Y71" i="26"/>
  <c r="X71" i="26"/>
  <c r="W71" i="26"/>
  <c r="V71" i="26"/>
  <c r="AA70" i="26"/>
  <c r="Z70" i="26"/>
  <c r="Y70" i="26"/>
  <c r="X70" i="26"/>
  <c r="W70" i="26"/>
  <c r="V70" i="26"/>
  <c r="AA69" i="26"/>
  <c r="Z69" i="26"/>
  <c r="Y69" i="26"/>
  <c r="X69" i="26"/>
  <c r="W69" i="26"/>
  <c r="V69" i="26"/>
  <c r="AA68" i="26"/>
  <c r="Z68" i="26"/>
  <c r="Y68" i="26"/>
  <c r="X68" i="26"/>
  <c r="W68" i="26"/>
  <c r="V68" i="26"/>
  <c r="AA67" i="26"/>
  <c r="Z67" i="26"/>
  <c r="Y67" i="26"/>
  <c r="X67" i="26"/>
  <c r="W67" i="26"/>
  <c r="V67" i="26"/>
  <c r="AA66" i="26"/>
  <c r="Z66" i="26"/>
  <c r="Y66" i="26"/>
  <c r="X66" i="26"/>
  <c r="W66" i="26"/>
  <c r="V66" i="26"/>
  <c r="AA65" i="26"/>
  <c r="Z65" i="26"/>
  <c r="Y65" i="26"/>
  <c r="X65" i="26"/>
  <c r="W65" i="26"/>
  <c r="V65" i="26"/>
  <c r="AA64" i="26"/>
  <c r="Z64" i="26"/>
  <c r="Y64" i="26"/>
  <c r="X64" i="26"/>
  <c r="W64" i="26"/>
  <c r="V64" i="26"/>
  <c r="AA63" i="26"/>
  <c r="Z63" i="26"/>
  <c r="Y63" i="26"/>
  <c r="X63" i="26"/>
  <c r="W63" i="26"/>
  <c r="V63" i="26"/>
  <c r="AA62" i="26"/>
  <c r="Z62" i="26"/>
  <c r="Y62" i="26"/>
  <c r="X62" i="26"/>
  <c r="W62" i="26"/>
  <c r="V62" i="26"/>
  <c r="AA61" i="26"/>
  <c r="Z61" i="26"/>
  <c r="Y61" i="26"/>
  <c r="X61" i="26"/>
  <c r="W61" i="26"/>
  <c r="V61" i="26"/>
  <c r="AA60" i="26"/>
  <c r="Z60" i="26"/>
  <c r="Y60" i="26"/>
  <c r="X60" i="26"/>
  <c r="W60" i="26"/>
  <c r="V60" i="26"/>
  <c r="AA59" i="26"/>
  <c r="Z59" i="26"/>
  <c r="Y59" i="26"/>
  <c r="X59" i="26"/>
  <c r="W59" i="26"/>
  <c r="V59" i="26"/>
  <c r="AA58" i="26"/>
  <c r="Z58" i="26"/>
  <c r="Y58" i="26"/>
  <c r="X58" i="26"/>
  <c r="W58" i="26"/>
  <c r="V58" i="26"/>
  <c r="AA57" i="26"/>
  <c r="Z57" i="26"/>
  <c r="Y57" i="26"/>
  <c r="X57" i="26"/>
  <c r="W57" i="26"/>
  <c r="V57" i="26"/>
  <c r="AA56" i="26"/>
  <c r="Z56" i="26"/>
  <c r="Y56" i="26"/>
  <c r="X56" i="26"/>
  <c r="W56" i="26"/>
  <c r="V56" i="26"/>
  <c r="AA55" i="26"/>
  <c r="Z55" i="26"/>
  <c r="Y55" i="26"/>
  <c r="X55" i="26"/>
  <c r="W55" i="26"/>
  <c r="V55" i="26"/>
  <c r="AA54" i="26"/>
  <c r="Z54" i="26"/>
  <c r="Y54" i="26"/>
  <c r="X54" i="26"/>
  <c r="W54" i="26"/>
  <c r="V54" i="26"/>
  <c r="AA53" i="26"/>
  <c r="Z53" i="26"/>
  <c r="Y53" i="26"/>
  <c r="X53" i="26"/>
  <c r="W53" i="26"/>
  <c r="V53" i="26"/>
  <c r="AA52" i="26"/>
  <c r="Z52" i="26"/>
  <c r="Y52" i="26"/>
  <c r="X52" i="26"/>
  <c r="W52" i="26"/>
  <c r="V52" i="26"/>
  <c r="AA51" i="26"/>
  <c r="Z51" i="26"/>
  <c r="Y51" i="26"/>
  <c r="X51" i="26"/>
  <c r="W51" i="26"/>
  <c r="V51" i="26"/>
  <c r="AA50" i="26"/>
  <c r="Z50" i="26"/>
  <c r="Y50" i="26"/>
  <c r="X50" i="26"/>
  <c r="W50" i="26"/>
  <c r="V50" i="26"/>
  <c r="AA49" i="26"/>
  <c r="Z49" i="26"/>
  <c r="Y49" i="26"/>
  <c r="X49" i="26"/>
  <c r="W49" i="26"/>
  <c r="V49" i="26"/>
  <c r="AA48" i="26"/>
  <c r="Z48" i="26"/>
  <c r="Y48" i="26"/>
  <c r="X48" i="26"/>
  <c r="W48" i="26"/>
  <c r="V48" i="26"/>
  <c r="AA47" i="26"/>
  <c r="Z47" i="26"/>
  <c r="Y47" i="26"/>
  <c r="X47" i="26"/>
  <c r="W47" i="26"/>
  <c r="V47" i="26"/>
  <c r="AA46" i="26"/>
  <c r="Z46" i="26"/>
  <c r="Y46" i="26"/>
  <c r="X46" i="26"/>
  <c r="W46" i="26"/>
  <c r="V46" i="26"/>
  <c r="AA45" i="26"/>
  <c r="Z45" i="26"/>
  <c r="Y45" i="26"/>
  <c r="X45" i="26"/>
  <c r="W45" i="26"/>
  <c r="V45" i="26"/>
  <c r="AA44" i="26"/>
  <c r="Z44" i="26"/>
  <c r="Y44" i="26"/>
  <c r="X44" i="26"/>
  <c r="W44" i="26"/>
  <c r="V44" i="26"/>
  <c r="AA43" i="26"/>
  <c r="Z43" i="26"/>
  <c r="Y43" i="26"/>
  <c r="X43" i="26"/>
  <c r="W43" i="26"/>
  <c r="V43" i="26"/>
  <c r="AA42" i="26"/>
  <c r="Z42" i="26"/>
  <c r="Y42" i="26"/>
  <c r="X42" i="26"/>
  <c r="W42" i="26"/>
  <c r="V42" i="26"/>
  <c r="AA41" i="26"/>
  <c r="Z41" i="26"/>
  <c r="Y41" i="26"/>
  <c r="X41" i="26"/>
  <c r="W41" i="26"/>
  <c r="V41" i="26"/>
  <c r="AA40" i="26"/>
  <c r="Z40" i="26"/>
  <c r="Y40" i="26"/>
  <c r="X40" i="26"/>
  <c r="W40" i="26"/>
  <c r="V40" i="26"/>
  <c r="AA39" i="26"/>
  <c r="Z39" i="26"/>
  <c r="Y39" i="26"/>
  <c r="X39" i="26"/>
  <c r="W39" i="26"/>
  <c r="V39" i="26"/>
  <c r="AA38" i="26"/>
  <c r="Z38" i="26"/>
  <c r="Y38" i="26"/>
  <c r="X38" i="26"/>
  <c r="W38" i="26"/>
  <c r="V38" i="26"/>
  <c r="AA37" i="26"/>
  <c r="Z37" i="26"/>
  <c r="Y37" i="26"/>
  <c r="X37" i="26"/>
  <c r="W37" i="26"/>
  <c r="V37" i="26"/>
  <c r="AA36" i="26"/>
  <c r="Z36" i="26"/>
  <c r="Y36" i="26"/>
  <c r="X36" i="26"/>
  <c r="W36" i="26"/>
  <c r="V36" i="26"/>
  <c r="AA35" i="26"/>
  <c r="Z35" i="26"/>
  <c r="Y35" i="26"/>
  <c r="X35" i="26"/>
  <c r="W35" i="26"/>
  <c r="V35" i="26"/>
  <c r="AA34" i="26"/>
  <c r="Z34" i="26"/>
  <c r="Y34" i="26"/>
  <c r="X34" i="26"/>
  <c r="W34" i="26"/>
  <c r="V34" i="26"/>
  <c r="AA33" i="26"/>
  <c r="Z33" i="26"/>
  <c r="Y33" i="26"/>
  <c r="X33" i="26"/>
  <c r="W33" i="26"/>
  <c r="V33" i="26"/>
  <c r="AA32" i="26"/>
  <c r="Z32" i="26"/>
  <c r="Y32" i="26"/>
  <c r="X32" i="26"/>
  <c r="W32" i="26"/>
  <c r="V32" i="26"/>
  <c r="AA31" i="26"/>
  <c r="Z31" i="26"/>
  <c r="Y31" i="26"/>
  <c r="X31" i="26"/>
  <c r="W31" i="26"/>
  <c r="V31" i="26"/>
  <c r="AA30" i="26"/>
  <c r="Z30" i="26"/>
  <c r="Y30" i="26"/>
  <c r="X30" i="26"/>
  <c r="W30" i="26"/>
  <c r="V30" i="26"/>
  <c r="AA29" i="26"/>
  <c r="Z29" i="26"/>
  <c r="Y29" i="26"/>
  <c r="X29" i="26"/>
  <c r="W29" i="26"/>
  <c r="V29" i="26"/>
  <c r="AA28" i="26"/>
  <c r="Z28" i="26"/>
  <c r="Y28" i="26"/>
  <c r="X28" i="26"/>
  <c r="W28" i="26"/>
  <c r="V28" i="26"/>
  <c r="AA27" i="26"/>
  <c r="Z27" i="26"/>
  <c r="Y27" i="26"/>
  <c r="X27" i="26"/>
  <c r="W27" i="26"/>
  <c r="V27" i="26"/>
  <c r="AA26" i="26"/>
  <c r="Z26" i="26"/>
  <c r="Y26" i="26"/>
  <c r="X26" i="26"/>
  <c r="W26" i="26"/>
  <c r="V26" i="26"/>
  <c r="AA25" i="26"/>
  <c r="Z25" i="26"/>
  <c r="Y25" i="26"/>
  <c r="X25" i="26"/>
  <c r="W25" i="26"/>
  <c r="V25" i="26"/>
  <c r="AA24" i="26"/>
  <c r="Z24" i="26"/>
  <c r="Y24" i="26"/>
  <c r="X24" i="26"/>
  <c r="W24" i="26"/>
  <c r="V24" i="26"/>
  <c r="AA23" i="26"/>
  <c r="Z23" i="26"/>
  <c r="Y23" i="26"/>
  <c r="X23" i="26"/>
  <c r="W23" i="26"/>
  <c r="V23" i="26"/>
  <c r="AA22" i="26"/>
  <c r="Z22" i="26"/>
  <c r="Y22" i="26"/>
  <c r="X22" i="26"/>
  <c r="W22" i="26"/>
  <c r="V22" i="26"/>
  <c r="AA21" i="26"/>
  <c r="Z21" i="26"/>
  <c r="Y21" i="26"/>
  <c r="X21" i="26"/>
  <c r="W21" i="26"/>
  <c r="V21" i="26"/>
  <c r="AA20" i="26"/>
  <c r="Z20" i="26"/>
  <c r="Y20" i="26"/>
  <c r="X20" i="26"/>
  <c r="W20" i="26"/>
  <c r="V20" i="26"/>
  <c r="AA19" i="26"/>
  <c r="Z19" i="26"/>
  <c r="Y19" i="26"/>
  <c r="X19" i="26"/>
  <c r="W19" i="26"/>
  <c r="V19" i="26"/>
  <c r="AA18" i="26"/>
  <c r="Z18" i="26"/>
  <c r="Y18" i="26"/>
  <c r="X18" i="26"/>
  <c r="W18" i="26"/>
  <c r="V18" i="26"/>
  <c r="AA17" i="26"/>
  <c r="Z17" i="26"/>
  <c r="Y17" i="26"/>
  <c r="X17" i="26"/>
  <c r="W17" i="26"/>
  <c r="V17" i="26"/>
  <c r="AA16" i="26"/>
  <c r="Z16" i="26"/>
  <c r="Y16" i="26"/>
  <c r="X16" i="26"/>
  <c r="W16" i="26"/>
  <c r="V16" i="26"/>
  <c r="AA15" i="26"/>
  <c r="Z15" i="26"/>
  <c r="Y15" i="26"/>
  <c r="X15" i="26"/>
  <c r="W15" i="26"/>
  <c r="V15" i="26"/>
  <c r="AA14" i="26"/>
  <c r="Z14" i="26"/>
  <c r="Y14" i="26"/>
  <c r="X14" i="26"/>
  <c r="W14" i="26"/>
  <c r="V14" i="26"/>
  <c r="AA13" i="26"/>
  <c r="Z13" i="26"/>
  <c r="Y13" i="26"/>
  <c r="X13" i="26"/>
  <c r="W13" i="26"/>
  <c r="V13" i="26"/>
  <c r="AA12" i="26"/>
  <c r="Z12" i="26"/>
  <c r="Y12" i="26"/>
  <c r="X12" i="26"/>
  <c r="W12" i="26"/>
  <c r="V12" i="26"/>
  <c r="AA11" i="26"/>
  <c r="Z11" i="26"/>
  <c r="Y11" i="26"/>
  <c r="X11" i="26"/>
  <c r="W11" i="26"/>
  <c r="V11" i="26"/>
  <c r="AA10" i="26"/>
  <c r="Z10" i="26"/>
  <c r="Y10" i="26"/>
  <c r="X10" i="26"/>
  <c r="W10" i="26"/>
  <c r="V10" i="26"/>
  <c r="AG2" i="26"/>
  <c r="O45" i="3"/>
  <c r="O46" i="3"/>
  <c r="O47" i="3"/>
  <c r="O48" i="3"/>
  <c r="N45" i="3"/>
  <c r="N46" i="3"/>
  <c r="N47" i="3"/>
  <c r="N48" i="3"/>
  <c r="K45" i="3"/>
  <c r="K46" i="3"/>
  <c r="K47" i="3"/>
  <c r="K48" i="3"/>
  <c r="F45" i="3"/>
  <c r="F46" i="3"/>
  <c r="F47" i="3"/>
  <c r="F48" i="3"/>
  <c r="D45" i="3"/>
  <c r="D46" i="3"/>
  <c r="D47" i="3"/>
  <c r="D48" i="3"/>
  <c r="O39" i="3"/>
  <c r="N39" i="3"/>
  <c r="K39" i="3"/>
  <c r="F39" i="3"/>
  <c r="AA100" i="25"/>
  <c r="Z100" i="25"/>
  <c r="Y100" i="25"/>
  <c r="X100" i="25"/>
  <c r="W100" i="25"/>
  <c r="V100" i="25"/>
  <c r="AA99" i="25"/>
  <c r="Z99" i="25"/>
  <c r="Y99" i="25"/>
  <c r="X99" i="25"/>
  <c r="W99" i="25"/>
  <c r="V99" i="25"/>
  <c r="AA98" i="25"/>
  <c r="Z98" i="25"/>
  <c r="Y98" i="25"/>
  <c r="X98" i="25"/>
  <c r="W98" i="25"/>
  <c r="V98" i="25"/>
  <c r="AA97" i="25"/>
  <c r="Z97" i="25"/>
  <c r="Y97" i="25"/>
  <c r="X97" i="25"/>
  <c r="W97" i="25"/>
  <c r="V97" i="25"/>
  <c r="AA96" i="25"/>
  <c r="Z96" i="25"/>
  <c r="Y96" i="25"/>
  <c r="X96" i="25"/>
  <c r="W96" i="25"/>
  <c r="V96" i="25"/>
  <c r="AA95" i="25"/>
  <c r="Z95" i="25"/>
  <c r="Y95" i="25"/>
  <c r="X95" i="25"/>
  <c r="W95" i="25"/>
  <c r="V95" i="25"/>
  <c r="AA94" i="25"/>
  <c r="Z94" i="25"/>
  <c r="Y94" i="25"/>
  <c r="X94" i="25"/>
  <c r="W94" i="25"/>
  <c r="V94" i="25"/>
  <c r="AA93" i="25"/>
  <c r="Z93" i="25"/>
  <c r="Y93" i="25"/>
  <c r="X93" i="25"/>
  <c r="W93" i="25"/>
  <c r="V93" i="25"/>
  <c r="AA92" i="25"/>
  <c r="Z92" i="25"/>
  <c r="Y92" i="25"/>
  <c r="X92" i="25"/>
  <c r="W92" i="25"/>
  <c r="V92" i="25"/>
  <c r="AA91" i="25"/>
  <c r="Z91" i="25"/>
  <c r="Y91" i="25"/>
  <c r="X91" i="25"/>
  <c r="W91" i="25"/>
  <c r="V91" i="25"/>
  <c r="AA90" i="25"/>
  <c r="Z90" i="25"/>
  <c r="Y90" i="25"/>
  <c r="X90" i="25"/>
  <c r="W90" i="25"/>
  <c r="V90" i="25"/>
  <c r="AA89" i="25"/>
  <c r="Z89" i="25"/>
  <c r="Y89" i="25"/>
  <c r="X89" i="25"/>
  <c r="W89" i="25"/>
  <c r="V89" i="25"/>
  <c r="AA88" i="25"/>
  <c r="Z88" i="25"/>
  <c r="Y88" i="25"/>
  <c r="X88" i="25"/>
  <c r="W88" i="25"/>
  <c r="V88" i="25"/>
  <c r="AA87" i="25"/>
  <c r="Z87" i="25"/>
  <c r="Y87" i="25"/>
  <c r="X87" i="25"/>
  <c r="W87" i="25"/>
  <c r="V87" i="25"/>
  <c r="AA86" i="25"/>
  <c r="Z86" i="25"/>
  <c r="Y86" i="25"/>
  <c r="X86" i="25"/>
  <c r="W86" i="25"/>
  <c r="V86" i="25"/>
  <c r="AA85" i="25"/>
  <c r="Z85" i="25"/>
  <c r="Y85" i="25"/>
  <c r="X85" i="25"/>
  <c r="W85" i="25"/>
  <c r="V85" i="25"/>
  <c r="AA84" i="25"/>
  <c r="Z84" i="25"/>
  <c r="Y84" i="25"/>
  <c r="X84" i="25"/>
  <c r="W84" i="25"/>
  <c r="V84" i="25"/>
  <c r="AA83" i="25"/>
  <c r="Z83" i="25"/>
  <c r="Y83" i="25"/>
  <c r="X83" i="25"/>
  <c r="W83" i="25"/>
  <c r="V83" i="25"/>
  <c r="AA82" i="25"/>
  <c r="Z82" i="25"/>
  <c r="Y82" i="25"/>
  <c r="X82" i="25"/>
  <c r="W82" i="25"/>
  <c r="V82" i="25"/>
  <c r="AA81" i="25"/>
  <c r="Z81" i="25"/>
  <c r="Y81" i="25"/>
  <c r="X81" i="25"/>
  <c r="W81" i="25"/>
  <c r="V81" i="25"/>
  <c r="AA80" i="25"/>
  <c r="Z80" i="25"/>
  <c r="Y80" i="25"/>
  <c r="X80" i="25"/>
  <c r="W80" i="25"/>
  <c r="V80" i="25"/>
  <c r="AA79" i="25"/>
  <c r="Z79" i="25"/>
  <c r="Y79" i="25"/>
  <c r="X79" i="25"/>
  <c r="W79" i="25"/>
  <c r="V79" i="25"/>
  <c r="AA78" i="25"/>
  <c r="Z78" i="25"/>
  <c r="Y78" i="25"/>
  <c r="X78" i="25"/>
  <c r="W78" i="25"/>
  <c r="V78" i="25"/>
  <c r="AA77" i="25"/>
  <c r="Z77" i="25"/>
  <c r="Y77" i="25"/>
  <c r="X77" i="25"/>
  <c r="W77" i="25"/>
  <c r="V77" i="25"/>
  <c r="AA76" i="25"/>
  <c r="Z76" i="25"/>
  <c r="Y76" i="25"/>
  <c r="X76" i="25"/>
  <c r="W76" i="25"/>
  <c r="V76" i="25"/>
  <c r="AA75" i="25"/>
  <c r="Z75" i="25"/>
  <c r="Y75" i="25"/>
  <c r="X75" i="25"/>
  <c r="W75" i="25"/>
  <c r="V75" i="25"/>
  <c r="AA74" i="25"/>
  <c r="Z74" i="25"/>
  <c r="Y74" i="25"/>
  <c r="X74" i="25"/>
  <c r="W74" i="25"/>
  <c r="V74" i="25"/>
  <c r="AA73" i="25"/>
  <c r="Z73" i="25"/>
  <c r="Y73" i="25"/>
  <c r="X73" i="25"/>
  <c r="W73" i="25"/>
  <c r="V73" i="25"/>
  <c r="AA72" i="25"/>
  <c r="Z72" i="25"/>
  <c r="Y72" i="25"/>
  <c r="X72" i="25"/>
  <c r="W72" i="25"/>
  <c r="V72" i="25"/>
  <c r="AA71" i="25"/>
  <c r="Z71" i="25"/>
  <c r="Y71" i="25"/>
  <c r="X71" i="25"/>
  <c r="W71" i="25"/>
  <c r="V71" i="25"/>
  <c r="AA70" i="25"/>
  <c r="Z70" i="25"/>
  <c r="Y70" i="25"/>
  <c r="X70" i="25"/>
  <c r="W70" i="25"/>
  <c r="V70" i="25"/>
  <c r="AA69" i="25"/>
  <c r="Z69" i="25"/>
  <c r="Y69" i="25"/>
  <c r="X69" i="25"/>
  <c r="W69" i="25"/>
  <c r="V69" i="25"/>
  <c r="AA68" i="25"/>
  <c r="Z68" i="25"/>
  <c r="Y68" i="25"/>
  <c r="X68" i="25"/>
  <c r="W68" i="25"/>
  <c r="V68" i="25"/>
  <c r="AA67" i="25"/>
  <c r="Z67" i="25"/>
  <c r="Y67" i="25"/>
  <c r="X67" i="25"/>
  <c r="W67" i="25"/>
  <c r="V67" i="25"/>
  <c r="AA66" i="25"/>
  <c r="Z66" i="25"/>
  <c r="Y66" i="25"/>
  <c r="X66" i="25"/>
  <c r="W66" i="25"/>
  <c r="V66" i="25"/>
  <c r="AA65" i="25"/>
  <c r="Z65" i="25"/>
  <c r="Y65" i="25"/>
  <c r="X65" i="25"/>
  <c r="W65" i="25"/>
  <c r="V65" i="25"/>
  <c r="AA64" i="25"/>
  <c r="Z64" i="25"/>
  <c r="Y64" i="25"/>
  <c r="X64" i="25"/>
  <c r="W64" i="25"/>
  <c r="V64" i="25"/>
  <c r="AA63" i="25"/>
  <c r="Z63" i="25"/>
  <c r="Y63" i="25"/>
  <c r="X63" i="25"/>
  <c r="W63" i="25"/>
  <c r="V63" i="25"/>
  <c r="AA62" i="25"/>
  <c r="Z62" i="25"/>
  <c r="Y62" i="25"/>
  <c r="X62" i="25"/>
  <c r="W62" i="25"/>
  <c r="V62" i="25"/>
  <c r="AA61" i="25"/>
  <c r="Z61" i="25"/>
  <c r="Y61" i="25"/>
  <c r="X61" i="25"/>
  <c r="W61" i="25"/>
  <c r="V61" i="25"/>
  <c r="AA60" i="25"/>
  <c r="Z60" i="25"/>
  <c r="Y60" i="25"/>
  <c r="X60" i="25"/>
  <c r="W60" i="25"/>
  <c r="V60" i="25"/>
  <c r="AA59" i="25"/>
  <c r="Z59" i="25"/>
  <c r="Y59" i="25"/>
  <c r="X59" i="25"/>
  <c r="W59" i="25"/>
  <c r="V59" i="25"/>
  <c r="AA58" i="25"/>
  <c r="Z58" i="25"/>
  <c r="Y58" i="25"/>
  <c r="X58" i="25"/>
  <c r="W58" i="25"/>
  <c r="V58" i="25"/>
  <c r="AA57" i="25"/>
  <c r="Z57" i="25"/>
  <c r="Y57" i="25"/>
  <c r="X57" i="25"/>
  <c r="W57" i="25"/>
  <c r="V57" i="25"/>
  <c r="AA56" i="25"/>
  <c r="Z56" i="25"/>
  <c r="Y56" i="25"/>
  <c r="X56" i="25"/>
  <c r="W56" i="25"/>
  <c r="V56" i="25"/>
  <c r="AA55" i="25"/>
  <c r="Z55" i="25"/>
  <c r="Y55" i="25"/>
  <c r="X55" i="25"/>
  <c r="W55" i="25"/>
  <c r="V55" i="25"/>
  <c r="AA54" i="25"/>
  <c r="Z54" i="25"/>
  <c r="Y54" i="25"/>
  <c r="X54" i="25"/>
  <c r="W54" i="25"/>
  <c r="V54" i="25"/>
  <c r="AA53" i="25"/>
  <c r="Z53" i="25"/>
  <c r="Y53" i="25"/>
  <c r="X53" i="25"/>
  <c r="W53" i="25"/>
  <c r="V53" i="25"/>
  <c r="AA52" i="25"/>
  <c r="Z52" i="25"/>
  <c r="Y52" i="25"/>
  <c r="X52" i="25"/>
  <c r="W52" i="25"/>
  <c r="V52" i="25"/>
  <c r="AA51" i="25"/>
  <c r="Z51" i="25"/>
  <c r="Y51" i="25"/>
  <c r="X51" i="25"/>
  <c r="W51" i="25"/>
  <c r="V51" i="25"/>
  <c r="AA50" i="25"/>
  <c r="Z50" i="25"/>
  <c r="Y50" i="25"/>
  <c r="X50" i="25"/>
  <c r="W50" i="25"/>
  <c r="V50" i="25"/>
  <c r="AA49" i="25"/>
  <c r="Z49" i="25"/>
  <c r="Y49" i="25"/>
  <c r="X49" i="25"/>
  <c r="W49" i="25"/>
  <c r="V49" i="25"/>
  <c r="AA48" i="25"/>
  <c r="Z48" i="25"/>
  <c r="Y48" i="25"/>
  <c r="X48" i="25"/>
  <c r="W48" i="25"/>
  <c r="V48" i="25"/>
  <c r="AA47" i="25"/>
  <c r="Z47" i="25"/>
  <c r="Y47" i="25"/>
  <c r="X47" i="25"/>
  <c r="W47" i="25"/>
  <c r="V47" i="25"/>
  <c r="AA46" i="25"/>
  <c r="Z46" i="25"/>
  <c r="Y46" i="25"/>
  <c r="X46" i="25"/>
  <c r="W46" i="25"/>
  <c r="V46" i="25"/>
  <c r="AA45" i="25"/>
  <c r="Z45" i="25"/>
  <c r="Y45" i="25"/>
  <c r="X45" i="25"/>
  <c r="W45" i="25"/>
  <c r="V45" i="25"/>
  <c r="AA44" i="25"/>
  <c r="Z44" i="25"/>
  <c r="Y44" i="25"/>
  <c r="X44" i="25"/>
  <c r="W44" i="25"/>
  <c r="V44" i="25"/>
  <c r="AA43" i="25"/>
  <c r="Z43" i="25"/>
  <c r="Y43" i="25"/>
  <c r="X43" i="25"/>
  <c r="W43" i="25"/>
  <c r="V43" i="25"/>
  <c r="AA42" i="25"/>
  <c r="Z42" i="25"/>
  <c r="Y42" i="25"/>
  <c r="X42" i="25"/>
  <c r="W42" i="25"/>
  <c r="V42" i="25"/>
  <c r="AA41" i="25"/>
  <c r="Z41" i="25"/>
  <c r="Y41" i="25"/>
  <c r="X41" i="25"/>
  <c r="W41" i="25"/>
  <c r="V41" i="25"/>
  <c r="AA40" i="25"/>
  <c r="Z40" i="25"/>
  <c r="Y40" i="25"/>
  <c r="X40" i="25"/>
  <c r="W40" i="25"/>
  <c r="V40" i="25"/>
  <c r="AA39" i="25"/>
  <c r="Z39" i="25"/>
  <c r="Y39" i="25"/>
  <c r="X39" i="25"/>
  <c r="W39" i="25"/>
  <c r="V39" i="25"/>
  <c r="AA38" i="25"/>
  <c r="Z38" i="25"/>
  <c r="Y38" i="25"/>
  <c r="X38" i="25"/>
  <c r="W38" i="25"/>
  <c r="V38" i="25"/>
  <c r="AA37" i="25"/>
  <c r="Z37" i="25"/>
  <c r="Y37" i="25"/>
  <c r="X37" i="25"/>
  <c r="W37" i="25"/>
  <c r="V37" i="25"/>
  <c r="AA36" i="25"/>
  <c r="Z36" i="25"/>
  <c r="Y36" i="25"/>
  <c r="X36" i="25"/>
  <c r="W36" i="25"/>
  <c r="V36" i="25"/>
  <c r="AA35" i="25"/>
  <c r="Z35" i="25"/>
  <c r="Y35" i="25"/>
  <c r="X35" i="25"/>
  <c r="W35" i="25"/>
  <c r="V35" i="25"/>
  <c r="AA34" i="25"/>
  <c r="Z34" i="25"/>
  <c r="Y34" i="25"/>
  <c r="X34" i="25"/>
  <c r="W34" i="25"/>
  <c r="V34" i="25"/>
  <c r="AA33" i="25"/>
  <c r="Z33" i="25"/>
  <c r="Y33" i="25"/>
  <c r="X33" i="25"/>
  <c r="W33" i="25"/>
  <c r="V33" i="25"/>
  <c r="AA32" i="25"/>
  <c r="Z32" i="25"/>
  <c r="Y32" i="25"/>
  <c r="X32" i="25"/>
  <c r="W32" i="25"/>
  <c r="V32" i="25"/>
  <c r="AA31" i="25"/>
  <c r="Z31" i="25"/>
  <c r="Y31" i="25"/>
  <c r="X31" i="25"/>
  <c r="W31" i="25"/>
  <c r="V31" i="25"/>
  <c r="AA30" i="25"/>
  <c r="Z30" i="25"/>
  <c r="Y30" i="25"/>
  <c r="X30" i="25"/>
  <c r="W30" i="25"/>
  <c r="V30" i="25"/>
  <c r="AA29" i="25"/>
  <c r="Z29" i="25"/>
  <c r="Y29" i="25"/>
  <c r="X29" i="25"/>
  <c r="W29" i="25"/>
  <c r="V29" i="25"/>
  <c r="AA28" i="25"/>
  <c r="Z28" i="25"/>
  <c r="Y28" i="25"/>
  <c r="X28" i="25"/>
  <c r="W28" i="25"/>
  <c r="V28" i="25"/>
  <c r="AA27" i="25"/>
  <c r="Z27" i="25"/>
  <c r="Y27" i="25"/>
  <c r="X27" i="25"/>
  <c r="W27" i="25"/>
  <c r="V27" i="25"/>
  <c r="AA26" i="25"/>
  <c r="Z26" i="25"/>
  <c r="Y26" i="25"/>
  <c r="X26" i="25"/>
  <c r="W26" i="25"/>
  <c r="V26" i="25"/>
  <c r="AA25" i="25"/>
  <c r="Z25" i="25"/>
  <c r="Y25" i="25"/>
  <c r="X25" i="25"/>
  <c r="W25" i="25"/>
  <c r="V25" i="25"/>
  <c r="AA24" i="25"/>
  <c r="Z24" i="25"/>
  <c r="Y24" i="25"/>
  <c r="X24" i="25"/>
  <c r="W24" i="25"/>
  <c r="V24" i="25"/>
  <c r="AA23" i="25"/>
  <c r="Z23" i="25"/>
  <c r="Y23" i="25"/>
  <c r="X23" i="25"/>
  <c r="W23" i="25"/>
  <c r="V23" i="25"/>
  <c r="AA22" i="25"/>
  <c r="Z22" i="25"/>
  <c r="Y22" i="25"/>
  <c r="X22" i="25"/>
  <c r="W22" i="25"/>
  <c r="V22" i="25"/>
  <c r="AA21" i="25"/>
  <c r="Z21" i="25"/>
  <c r="Y21" i="25"/>
  <c r="X21" i="25"/>
  <c r="W21" i="25"/>
  <c r="V21" i="25"/>
  <c r="AA20" i="25"/>
  <c r="Z20" i="25"/>
  <c r="Y20" i="25"/>
  <c r="X20" i="25"/>
  <c r="W20" i="25"/>
  <c r="V20" i="25"/>
  <c r="AA19" i="25"/>
  <c r="Z19" i="25"/>
  <c r="Y19" i="25"/>
  <c r="X19" i="25"/>
  <c r="W19" i="25"/>
  <c r="V19" i="25"/>
  <c r="AA18" i="25"/>
  <c r="Z18" i="25"/>
  <c r="Y18" i="25"/>
  <c r="X18" i="25"/>
  <c r="W18" i="25"/>
  <c r="V18" i="25"/>
  <c r="AA17" i="25"/>
  <c r="Z17" i="25"/>
  <c r="Y17" i="25"/>
  <c r="X17" i="25"/>
  <c r="W17" i="25"/>
  <c r="V17" i="25"/>
  <c r="AA16" i="25"/>
  <c r="Z16" i="25"/>
  <c r="Y16" i="25"/>
  <c r="X16" i="25"/>
  <c r="W16" i="25"/>
  <c r="V16" i="25"/>
  <c r="AA15" i="25"/>
  <c r="Z15" i="25"/>
  <c r="Y15" i="25"/>
  <c r="X15" i="25"/>
  <c r="W15" i="25"/>
  <c r="V15" i="25"/>
  <c r="AA14" i="25"/>
  <c r="Z14" i="25"/>
  <c r="Y14" i="25"/>
  <c r="X14" i="25"/>
  <c r="W14" i="25"/>
  <c r="V14" i="25"/>
  <c r="AA13" i="25"/>
  <c r="Z13" i="25"/>
  <c r="Y13" i="25"/>
  <c r="X13" i="25"/>
  <c r="W13" i="25"/>
  <c r="V13" i="25"/>
  <c r="AA12" i="25"/>
  <c r="Z12" i="25"/>
  <c r="Y12" i="25"/>
  <c r="X12" i="25"/>
  <c r="W12" i="25"/>
  <c r="V12" i="25"/>
  <c r="AA11" i="25"/>
  <c r="Z11" i="25"/>
  <c r="Y11" i="25"/>
  <c r="X11" i="25"/>
  <c r="W11" i="25"/>
  <c r="V11" i="25"/>
  <c r="AA10" i="25"/>
  <c r="Z10" i="25"/>
  <c r="Y10" i="25"/>
  <c r="X10" i="25"/>
  <c r="W10" i="25"/>
  <c r="V10" i="25"/>
  <c r="AG2" i="25"/>
  <c r="AZ40" i="3"/>
  <c r="AZ41" i="3"/>
  <c r="AZ42" i="3"/>
  <c r="AY40" i="3"/>
  <c r="AY41" i="3"/>
  <c r="AY42" i="3"/>
  <c r="AY43" i="3"/>
  <c r="AV40" i="3"/>
  <c r="AV41" i="3"/>
  <c r="AV42" i="3"/>
  <c r="AV43" i="3"/>
  <c r="AO40" i="3"/>
  <c r="AO41" i="3"/>
  <c r="AO42" i="3"/>
  <c r="AO43" i="3"/>
  <c r="AM40" i="3"/>
  <c r="AM41" i="3"/>
  <c r="AM42" i="3"/>
  <c r="AM43" i="3"/>
  <c r="AH41" i="3"/>
  <c r="AH42" i="3"/>
  <c r="AH43" i="3"/>
  <c r="AF41" i="3"/>
  <c r="AF42" i="3"/>
  <c r="AF43" i="3"/>
  <c r="AB41" i="3"/>
  <c r="AB42" i="3"/>
  <c r="AB43" i="3"/>
  <c r="V41" i="3"/>
  <c r="V42" i="3"/>
  <c r="V43" i="3"/>
  <c r="T41" i="3"/>
  <c r="T42" i="3"/>
  <c r="T43" i="3"/>
  <c r="O40" i="3"/>
  <c r="O41" i="3"/>
  <c r="O42" i="3"/>
  <c r="O43" i="3"/>
  <c r="N40" i="3"/>
  <c r="N41" i="3"/>
  <c r="N42" i="3"/>
  <c r="N43" i="3"/>
  <c r="K40" i="3"/>
  <c r="K41" i="3"/>
  <c r="K42" i="3"/>
  <c r="K43" i="3"/>
  <c r="F40" i="3"/>
  <c r="F41" i="3"/>
  <c r="F42" i="3"/>
  <c r="F43" i="3"/>
  <c r="D40" i="3"/>
  <c r="D41" i="3"/>
  <c r="D42" i="3"/>
  <c r="D43" i="3"/>
  <c r="AA100" i="24"/>
  <c r="Z100" i="24"/>
  <c r="Y100" i="24"/>
  <c r="X100" i="24"/>
  <c r="W100" i="24"/>
  <c r="V100" i="24"/>
  <c r="AA99" i="24"/>
  <c r="Z99" i="24"/>
  <c r="Y99" i="24"/>
  <c r="X99" i="24"/>
  <c r="W99" i="24"/>
  <c r="V99" i="24"/>
  <c r="AA98" i="24"/>
  <c r="Z98" i="24"/>
  <c r="Y98" i="24"/>
  <c r="X98" i="24"/>
  <c r="W98" i="24"/>
  <c r="V98" i="24"/>
  <c r="AA97" i="24"/>
  <c r="Z97" i="24"/>
  <c r="Y97" i="24"/>
  <c r="X97" i="24"/>
  <c r="W97" i="24"/>
  <c r="V97" i="24"/>
  <c r="AA96" i="24"/>
  <c r="Z96" i="24"/>
  <c r="Y96" i="24"/>
  <c r="X96" i="24"/>
  <c r="W96" i="24"/>
  <c r="V96" i="24"/>
  <c r="AA95" i="24"/>
  <c r="Z95" i="24"/>
  <c r="Y95" i="24"/>
  <c r="X95" i="24"/>
  <c r="W95" i="24"/>
  <c r="V95" i="24"/>
  <c r="AA94" i="24"/>
  <c r="Z94" i="24"/>
  <c r="Y94" i="24"/>
  <c r="X94" i="24"/>
  <c r="W94" i="24"/>
  <c r="V94" i="24"/>
  <c r="AA93" i="24"/>
  <c r="Z93" i="24"/>
  <c r="Y93" i="24"/>
  <c r="X93" i="24"/>
  <c r="W93" i="24"/>
  <c r="V93" i="24"/>
  <c r="AA92" i="24"/>
  <c r="Z92" i="24"/>
  <c r="Y92" i="24"/>
  <c r="X92" i="24"/>
  <c r="W92" i="24"/>
  <c r="V92" i="24"/>
  <c r="AA91" i="24"/>
  <c r="Z91" i="24"/>
  <c r="Y91" i="24"/>
  <c r="X91" i="24"/>
  <c r="W91" i="24"/>
  <c r="V91" i="24"/>
  <c r="AA90" i="24"/>
  <c r="Z90" i="24"/>
  <c r="Y90" i="24"/>
  <c r="X90" i="24"/>
  <c r="W90" i="24"/>
  <c r="V90" i="24"/>
  <c r="AA89" i="24"/>
  <c r="Z89" i="24"/>
  <c r="Y89" i="24"/>
  <c r="X89" i="24"/>
  <c r="W89" i="24"/>
  <c r="V89" i="24"/>
  <c r="AA88" i="24"/>
  <c r="Z88" i="24"/>
  <c r="Y88" i="24"/>
  <c r="X88" i="24"/>
  <c r="W88" i="24"/>
  <c r="V88" i="24"/>
  <c r="AA87" i="24"/>
  <c r="Z87" i="24"/>
  <c r="Y87" i="24"/>
  <c r="X87" i="24"/>
  <c r="W87" i="24"/>
  <c r="V87" i="24"/>
  <c r="AA86" i="24"/>
  <c r="Z86" i="24"/>
  <c r="Y86" i="24"/>
  <c r="X86" i="24"/>
  <c r="W86" i="24"/>
  <c r="V86" i="24"/>
  <c r="AA85" i="24"/>
  <c r="Z85" i="24"/>
  <c r="Y85" i="24"/>
  <c r="X85" i="24"/>
  <c r="W85" i="24"/>
  <c r="V85" i="24"/>
  <c r="AA84" i="24"/>
  <c r="Z84" i="24"/>
  <c r="Y84" i="24"/>
  <c r="X84" i="24"/>
  <c r="W84" i="24"/>
  <c r="V84" i="24"/>
  <c r="AA83" i="24"/>
  <c r="Z83" i="24"/>
  <c r="Y83" i="24"/>
  <c r="X83" i="24"/>
  <c r="W83" i="24"/>
  <c r="V83" i="24"/>
  <c r="AA82" i="24"/>
  <c r="Z82" i="24"/>
  <c r="Y82" i="24"/>
  <c r="X82" i="24"/>
  <c r="W82" i="24"/>
  <c r="V82" i="24"/>
  <c r="AA81" i="24"/>
  <c r="Z81" i="24"/>
  <c r="Y81" i="24"/>
  <c r="X81" i="24"/>
  <c r="W81" i="24"/>
  <c r="V81" i="24"/>
  <c r="AA80" i="24"/>
  <c r="Z80" i="24"/>
  <c r="Y80" i="24"/>
  <c r="X80" i="24"/>
  <c r="W80" i="24"/>
  <c r="V80" i="24"/>
  <c r="AA79" i="24"/>
  <c r="Z79" i="24"/>
  <c r="Y79" i="24"/>
  <c r="X79" i="24"/>
  <c r="W79" i="24"/>
  <c r="V79" i="24"/>
  <c r="AA78" i="24"/>
  <c r="Z78" i="24"/>
  <c r="Y78" i="24"/>
  <c r="X78" i="24"/>
  <c r="W78" i="24"/>
  <c r="V78" i="24"/>
  <c r="AA77" i="24"/>
  <c r="Z77" i="24"/>
  <c r="Y77" i="24"/>
  <c r="X77" i="24"/>
  <c r="W77" i="24"/>
  <c r="V77" i="24"/>
  <c r="AA76" i="24"/>
  <c r="Z76" i="24"/>
  <c r="Y76" i="24"/>
  <c r="X76" i="24"/>
  <c r="W76" i="24"/>
  <c r="V76" i="24"/>
  <c r="AA75" i="24"/>
  <c r="Z75" i="24"/>
  <c r="Y75" i="24"/>
  <c r="X75" i="24"/>
  <c r="W75" i="24"/>
  <c r="V75" i="24"/>
  <c r="AA74" i="24"/>
  <c r="Z74" i="24"/>
  <c r="Y74" i="24"/>
  <c r="X74" i="24"/>
  <c r="W74" i="24"/>
  <c r="V74" i="24"/>
  <c r="AA73" i="24"/>
  <c r="Z73" i="24"/>
  <c r="Y73" i="24"/>
  <c r="X73" i="24"/>
  <c r="W73" i="24"/>
  <c r="V73" i="24"/>
  <c r="AA72" i="24"/>
  <c r="Z72" i="24"/>
  <c r="Y72" i="24"/>
  <c r="X72" i="24"/>
  <c r="W72" i="24"/>
  <c r="V72" i="24"/>
  <c r="AA71" i="24"/>
  <c r="Z71" i="24"/>
  <c r="Y71" i="24"/>
  <c r="X71" i="24"/>
  <c r="W71" i="24"/>
  <c r="V71" i="24"/>
  <c r="AA70" i="24"/>
  <c r="Z70" i="24"/>
  <c r="Y70" i="24"/>
  <c r="X70" i="24"/>
  <c r="W70" i="24"/>
  <c r="V70" i="24"/>
  <c r="AA69" i="24"/>
  <c r="Z69" i="24"/>
  <c r="Y69" i="24"/>
  <c r="X69" i="24"/>
  <c r="W69" i="24"/>
  <c r="V69" i="24"/>
  <c r="AA68" i="24"/>
  <c r="Z68" i="24"/>
  <c r="Y68" i="24"/>
  <c r="X68" i="24"/>
  <c r="W68" i="24"/>
  <c r="V68" i="24"/>
  <c r="AA67" i="24"/>
  <c r="Z67" i="24"/>
  <c r="Y67" i="24"/>
  <c r="X67" i="24"/>
  <c r="W67" i="24"/>
  <c r="V67" i="24"/>
  <c r="AA66" i="24"/>
  <c r="Z66" i="24"/>
  <c r="Y66" i="24"/>
  <c r="X66" i="24"/>
  <c r="W66" i="24"/>
  <c r="V66" i="24"/>
  <c r="AA65" i="24"/>
  <c r="Z65" i="24"/>
  <c r="Y65" i="24"/>
  <c r="X65" i="24"/>
  <c r="W65" i="24"/>
  <c r="V65" i="24"/>
  <c r="AA64" i="24"/>
  <c r="Z64" i="24"/>
  <c r="Y64" i="24"/>
  <c r="X64" i="24"/>
  <c r="W64" i="24"/>
  <c r="V64" i="24"/>
  <c r="AA63" i="24"/>
  <c r="Z63" i="24"/>
  <c r="Y63" i="24"/>
  <c r="X63" i="24"/>
  <c r="W63" i="24"/>
  <c r="V63" i="24"/>
  <c r="AA62" i="24"/>
  <c r="Z62" i="24"/>
  <c r="Y62" i="24"/>
  <c r="X62" i="24"/>
  <c r="W62" i="24"/>
  <c r="V62" i="24"/>
  <c r="AA61" i="24"/>
  <c r="Z61" i="24"/>
  <c r="Y61" i="24"/>
  <c r="X61" i="24"/>
  <c r="W61" i="24"/>
  <c r="V61" i="24"/>
  <c r="AA60" i="24"/>
  <c r="Z60" i="24"/>
  <c r="Y60" i="24"/>
  <c r="X60" i="24"/>
  <c r="W60" i="24"/>
  <c r="V60" i="24"/>
  <c r="AA59" i="24"/>
  <c r="Z59" i="24"/>
  <c r="Y59" i="24"/>
  <c r="X59" i="24"/>
  <c r="W59" i="24"/>
  <c r="V59" i="24"/>
  <c r="AA58" i="24"/>
  <c r="Z58" i="24"/>
  <c r="Y58" i="24"/>
  <c r="X58" i="24"/>
  <c r="W58" i="24"/>
  <c r="V58" i="24"/>
  <c r="AA57" i="24"/>
  <c r="Z57" i="24"/>
  <c r="Y57" i="24"/>
  <c r="X57" i="24"/>
  <c r="W57" i="24"/>
  <c r="V57" i="24"/>
  <c r="AA56" i="24"/>
  <c r="Z56" i="24"/>
  <c r="Y56" i="24"/>
  <c r="X56" i="24"/>
  <c r="W56" i="24"/>
  <c r="V56" i="24"/>
  <c r="AA55" i="24"/>
  <c r="Z55" i="24"/>
  <c r="Y55" i="24"/>
  <c r="X55" i="24"/>
  <c r="W55" i="24"/>
  <c r="V55" i="24"/>
  <c r="AA54" i="24"/>
  <c r="Z54" i="24"/>
  <c r="Y54" i="24"/>
  <c r="X54" i="24"/>
  <c r="W54" i="24"/>
  <c r="V54" i="24"/>
  <c r="AA53" i="24"/>
  <c r="Z53" i="24"/>
  <c r="Y53" i="24"/>
  <c r="X53" i="24"/>
  <c r="W53" i="24"/>
  <c r="V53" i="24"/>
  <c r="AA52" i="24"/>
  <c r="Z52" i="24"/>
  <c r="Y52" i="24"/>
  <c r="X52" i="24"/>
  <c r="W52" i="24"/>
  <c r="V52" i="24"/>
  <c r="AA51" i="24"/>
  <c r="Z51" i="24"/>
  <c r="Y51" i="24"/>
  <c r="X51" i="24"/>
  <c r="W51" i="24"/>
  <c r="V51" i="24"/>
  <c r="AA50" i="24"/>
  <c r="Z50" i="24"/>
  <c r="Y50" i="24"/>
  <c r="X50" i="24"/>
  <c r="W50" i="24"/>
  <c r="V50" i="24"/>
  <c r="AA49" i="24"/>
  <c r="Z49" i="24"/>
  <c r="Y49" i="24"/>
  <c r="X49" i="24"/>
  <c r="W49" i="24"/>
  <c r="V49" i="24"/>
  <c r="AA48" i="24"/>
  <c r="Z48" i="24"/>
  <c r="Y48" i="24"/>
  <c r="X48" i="24"/>
  <c r="W48" i="24"/>
  <c r="V48" i="24"/>
  <c r="AA47" i="24"/>
  <c r="Z47" i="24"/>
  <c r="Y47" i="24"/>
  <c r="X47" i="24"/>
  <c r="W47" i="24"/>
  <c r="V47" i="24"/>
  <c r="AA46" i="24"/>
  <c r="Z46" i="24"/>
  <c r="Y46" i="24"/>
  <c r="X46" i="24"/>
  <c r="W46" i="24"/>
  <c r="V46" i="24"/>
  <c r="AA45" i="24"/>
  <c r="Z45" i="24"/>
  <c r="Y45" i="24"/>
  <c r="X45" i="24"/>
  <c r="W45" i="24"/>
  <c r="V45" i="24"/>
  <c r="AA44" i="24"/>
  <c r="Z44" i="24"/>
  <c r="Y44" i="24"/>
  <c r="X44" i="24"/>
  <c r="W44" i="24"/>
  <c r="V44" i="24"/>
  <c r="AA43" i="24"/>
  <c r="Z43" i="24"/>
  <c r="Y43" i="24"/>
  <c r="X43" i="24"/>
  <c r="W43" i="24"/>
  <c r="V43" i="24"/>
  <c r="AA42" i="24"/>
  <c r="Z42" i="24"/>
  <c r="Y42" i="24"/>
  <c r="X42" i="24"/>
  <c r="W42" i="24"/>
  <c r="V42" i="24"/>
  <c r="AA41" i="24"/>
  <c r="Z41" i="24"/>
  <c r="Y41" i="24"/>
  <c r="X41" i="24"/>
  <c r="W41" i="24"/>
  <c r="V41" i="24"/>
  <c r="AA40" i="24"/>
  <c r="Z40" i="24"/>
  <c r="Y40" i="24"/>
  <c r="X40" i="24"/>
  <c r="W40" i="24"/>
  <c r="V40" i="24"/>
  <c r="AA39" i="24"/>
  <c r="Z39" i="24"/>
  <c r="Y39" i="24"/>
  <c r="X39" i="24"/>
  <c r="W39" i="24"/>
  <c r="V39" i="24"/>
  <c r="AA38" i="24"/>
  <c r="Z38" i="24"/>
  <c r="Y38" i="24"/>
  <c r="X38" i="24"/>
  <c r="W38" i="24"/>
  <c r="V38" i="24"/>
  <c r="AA37" i="24"/>
  <c r="Z37" i="24"/>
  <c r="Y37" i="24"/>
  <c r="X37" i="24"/>
  <c r="W37" i="24"/>
  <c r="V37" i="24"/>
  <c r="AA36" i="24"/>
  <c r="Z36" i="24"/>
  <c r="Y36" i="24"/>
  <c r="X36" i="24"/>
  <c r="W36" i="24"/>
  <c r="V36" i="24"/>
  <c r="AA35" i="24"/>
  <c r="Z35" i="24"/>
  <c r="Y35" i="24"/>
  <c r="X35" i="24"/>
  <c r="W35" i="24"/>
  <c r="V35" i="24"/>
  <c r="AA34" i="24"/>
  <c r="Z34" i="24"/>
  <c r="Y34" i="24"/>
  <c r="X34" i="24"/>
  <c r="W34" i="24"/>
  <c r="V34" i="24"/>
  <c r="AA33" i="24"/>
  <c r="Z33" i="24"/>
  <c r="Y33" i="24"/>
  <c r="X33" i="24"/>
  <c r="W33" i="24"/>
  <c r="V33" i="24"/>
  <c r="AA32" i="24"/>
  <c r="Z32" i="24"/>
  <c r="Y32" i="24"/>
  <c r="X32" i="24"/>
  <c r="W32" i="24"/>
  <c r="V32" i="24"/>
  <c r="AA31" i="24"/>
  <c r="Z31" i="24"/>
  <c r="Y31" i="24"/>
  <c r="X31" i="24"/>
  <c r="W31" i="24"/>
  <c r="V31" i="24"/>
  <c r="AA30" i="24"/>
  <c r="Z30" i="24"/>
  <c r="Y30" i="24"/>
  <c r="X30" i="24"/>
  <c r="W30" i="24"/>
  <c r="V30" i="24"/>
  <c r="AA29" i="24"/>
  <c r="Z29" i="24"/>
  <c r="Y29" i="24"/>
  <c r="X29" i="24"/>
  <c r="W29" i="24"/>
  <c r="V29" i="24"/>
  <c r="AA28" i="24"/>
  <c r="Z28" i="24"/>
  <c r="Y28" i="24"/>
  <c r="X28" i="24"/>
  <c r="W28" i="24"/>
  <c r="V28" i="24"/>
  <c r="AA27" i="24"/>
  <c r="Z27" i="24"/>
  <c r="Y27" i="24"/>
  <c r="X27" i="24"/>
  <c r="W27" i="24"/>
  <c r="V27" i="24"/>
  <c r="AA26" i="24"/>
  <c r="Z26" i="24"/>
  <c r="Y26" i="24"/>
  <c r="X26" i="24"/>
  <c r="W26" i="24"/>
  <c r="V26" i="24"/>
  <c r="AA25" i="24"/>
  <c r="Z25" i="24"/>
  <c r="Y25" i="24"/>
  <c r="X25" i="24"/>
  <c r="W25" i="24"/>
  <c r="V25" i="24"/>
  <c r="AA24" i="24"/>
  <c r="Z24" i="24"/>
  <c r="Y24" i="24"/>
  <c r="X24" i="24"/>
  <c r="W24" i="24"/>
  <c r="V24" i="24"/>
  <c r="AA23" i="24"/>
  <c r="Z23" i="24"/>
  <c r="Y23" i="24"/>
  <c r="X23" i="24"/>
  <c r="W23" i="24"/>
  <c r="V23" i="24"/>
  <c r="AA22" i="24"/>
  <c r="Z22" i="24"/>
  <c r="Y22" i="24"/>
  <c r="X22" i="24"/>
  <c r="W22" i="24"/>
  <c r="V22" i="24"/>
  <c r="AA21" i="24"/>
  <c r="Z21" i="24"/>
  <c r="Y21" i="24"/>
  <c r="X21" i="24"/>
  <c r="W21" i="24"/>
  <c r="V21" i="24"/>
  <c r="AA20" i="24"/>
  <c r="Z20" i="24"/>
  <c r="Y20" i="24"/>
  <c r="X20" i="24"/>
  <c r="W20" i="24"/>
  <c r="V20" i="24"/>
  <c r="AA19" i="24"/>
  <c r="Z19" i="24"/>
  <c r="Y19" i="24"/>
  <c r="X19" i="24"/>
  <c r="W19" i="24"/>
  <c r="V19" i="24"/>
  <c r="AA18" i="24"/>
  <c r="Z18" i="24"/>
  <c r="Y18" i="24"/>
  <c r="X18" i="24"/>
  <c r="W18" i="24"/>
  <c r="V18" i="24"/>
  <c r="AA17" i="24"/>
  <c r="Z17" i="24"/>
  <c r="Y17" i="24"/>
  <c r="X17" i="24"/>
  <c r="W17" i="24"/>
  <c r="V17" i="24"/>
  <c r="AA16" i="24"/>
  <c r="Z16" i="24"/>
  <c r="Y16" i="24"/>
  <c r="X16" i="24"/>
  <c r="W16" i="24"/>
  <c r="V16" i="24"/>
  <c r="AA15" i="24"/>
  <c r="Z15" i="24"/>
  <c r="Y15" i="24"/>
  <c r="X15" i="24"/>
  <c r="W15" i="24"/>
  <c r="V15" i="24"/>
  <c r="AA14" i="24"/>
  <c r="Z14" i="24"/>
  <c r="Y14" i="24"/>
  <c r="X14" i="24"/>
  <c r="W14" i="24"/>
  <c r="V14" i="24"/>
  <c r="AA13" i="24"/>
  <c r="Z13" i="24"/>
  <c r="Y13" i="24"/>
  <c r="X13" i="24"/>
  <c r="W13" i="24"/>
  <c r="V13" i="24"/>
  <c r="AA12" i="24"/>
  <c r="Z12" i="24"/>
  <c r="Y12" i="24"/>
  <c r="X12" i="24"/>
  <c r="W12" i="24"/>
  <c r="V12" i="24"/>
  <c r="AA11" i="24"/>
  <c r="Z11" i="24"/>
  <c r="Y11" i="24"/>
  <c r="X11" i="24"/>
  <c r="W11" i="24"/>
  <c r="V11" i="24"/>
  <c r="AA10" i="24"/>
  <c r="Z10" i="24"/>
  <c r="Y10" i="24"/>
  <c r="X10" i="24"/>
  <c r="W10" i="24"/>
  <c r="V10" i="24"/>
  <c r="AG2" i="24"/>
  <c r="AA10" i="17"/>
  <c r="AA11" i="17"/>
  <c r="AA12" i="17"/>
  <c r="AA13" i="17"/>
  <c r="AA14" i="17"/>
  <c r="AA15" i="17"/>
  <c r="AA16" i="17"/>
  <c r="AA17" i="17"/>
  <c r="AA18" i="17"/>
  <c r="AA19" i="17"/>
  <c r="AA20" i="17"/>
  <c r="AA21" i="17"/>
  <c r="AA22" i="17"/>
  <c r="AA23" i="17"/>
  <c r="AA24" i="17"/>
  <c r="AA25" i="17"/>
  <c r="AA26" i="17"/>
  <c r="AA27" i="17"/>
  <c r="AA28" i="17"/>
  <c r="AA29" i="17"/>
  <c r="AA30" i="17"/>
  <c r="AA31" i="17"/>
  <c r="AA32" i="17"/>
  <c r="AA33" i="17"/>
  <c r="AA34" i="17"/>
  <c r="AA35" i="17"/>
  <c r="AA36" i="17"/>
  <c r="AA37" i="17"/>
  <c r="AA38" i="17"/>
  <c r="AA39" i="17"/>
  <c r="AA40" i="17"/>
  <c r="AA41" i="17"/>
  <c r="AA42" i="17"/>
  <c r="AA43" i="17"/>
  <c r="AA44" i="17"/>
  <c r="AA45" i="17"/>
  <c r="AA46" i="17"/>
  <c r="AA47" i="17"/>
  <c r="AA48" i="17"/>
  <c r="AA49" i="17"/>
  <c r="AA50" i="17"/>
  <c r="AA51" i="17"/>
  <c r="AA52" i="17"/>
  <c r="AA53" i="17"/>
  <c r="AA54" i="17"/>
  <c r="AA55" i="17"/>
  <c r="AA56" i="17"/>
  <c r="AA57" i="17"/>
  <c r="AA58" i="17"/>
  <c r="AA59" i="17"/>
  <c r="AA60" i="17"/>
  <c r="AA61" i="17"/>
  <c r="AA62" i="17"/>
  <c r="AA63" i="17"/>
  <c r="AA64" i="17"/>
  <c r="AA65" i="17"/>
  <c r="AA66" i="17"/>
  <c r="AA67" i="17"/>
  <c r="AA68" i="17"/>
  <c r="AA69" i="17"/>
  <c r="AA70" i="17"/>
  <c r="AA71" i="17"/>
  <c r="AA72" i="17"/>
  <c r="AA73" i="17"/>
  <c r="AA74" i="17"/>
  <c r="AA75" i="17"/>
  <c r="AA76" i="17"/>
  <c r="AA77" i="17"/>
  <c r="AA78" i="17"/>
  <c r="AA79" i="17"/>
  <c r="AA80" i="17"/>
  <c r="AA81" i="17"/>
  <c r="AA82" i="17"/>
  <c r="AA83" i="17"/>
  <c r="AA84" i="17"/>
  <c r="AA85" i="17"/>
  <c r="AA86" i="17"/>
  <c r="AA87" i="17"/>
  <c r="AA88" i="17"/>
  <c r="AA89" i="17"/>
  <c r="AA90" i="17"/>
  <c r="AA91" i="17"/>
  <c r="AA92" i="17"/>
  <c r="AA93" i="17"/>
  <c r="AA94" i="17"/>
  <c r="AA95" i="17"/>
  <c r="AA96" i="17"/>
  <c r="AA97" i="17"/>
  <c r="AA98" i="17"/>
  <c r="AA99" i="17"/>
  <c r="AA100" i="17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6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I57" i="1"/>
  <c r="AG2" i="17"/>
  <c r="Y43" i="17"/>
  <c r="Y44" i="17"/>
  <c r="Y45" i="17"/>
  <c r="Y46" i="17"/>
  <c r="Y47" i="17"/>
  <c r="Y48" i="17"/>
  <c r="Y49" i="17"/>
  <c r="Y50" i="17"/>
  <c r="Y51" i="17"/>
  <c r="Y52" i="17"/>
  <c r="Y53" i="17"/>
  <c r="Y54" i="17"/>
  <c r="Y55" i="17"/>
  <c r="Y56" i="17"/>
  <c r="Y57" i="17"/>
  <c r="Y58" i="17"/>
  <c r="Y59" i="17"/>
  <c r="Y60" i="17"/>
  <c r="Y61" i="17"/>
  <c r="Y62" i="17"/>
  <c r="Y63" i="17"/>
  <c r="Y64" i="17"/>
  <c r="Y65" i="17"/>
  <c r="Y66" i="17"/>
  <c r="Y67" i="17"/>
  <c r="Y68" i="17"/>
  <c r="Y69" i="17"/>
  <c r="Y70" i="17"/>
  <c r="Y71" i="17"/>
  <c r="Y72" i="17"/>
  <c r="Y73" i="17"/>
  <c r="Y74" i="17"/>
  <c r="Y75" i="17"/>
  <c r="Y76" i="17"/>
  <c r="Y77" i="17"/>
  <c r="Y78" i="17"/>
  <c r="Y79" i="17"/>
  <c r="Y80" i="17"/>
  <c r="Y81" i="17"/>
  <c r="Y82" i="17"/>
  <c r="Y83" i="17"/>
  <c r="Y84" i="17"/>
  <c r="Y85" i="17"/>
  <c r="Y86" i="17"/>
  <c r="Y87" i="17"/>
  <c r="Y88" i="17"/>
  <c r="Y89" i="17"/>
  <c r="Y90" i="17"/>
  <c r="Y91" i="17"/>
  <c r="Y92" i="17"/>
  <c r="Y93" i="17"/>
  <c r="Y94" i="17"/>
  <c r="Y95" i="17"/>
  <c r="Y96" i="17"/>
  <c r="Y97" i="17"/>
  <c r="Y98" i="17"/>
  <c r="Y99" i="17"/>
  <c r="Y100" i="17"/>
  <c r="X43" i="17"/>
  <c r="X44" i="17"/>
  <c r="X45" i="17"/>
  <c r="X46" i="17"/>
  <c r="X47" i="17"/>
  <c r="X48" i="17"/>
  <c r="X49" i="17"/>
  <c r="X50" i="17"/>
  <c r="X51" i="17"/>
  <c r="X52" i="17"/>
  <c r="X53" i="17"/>
  <c r="X54" i="17"/>
  <c r="X55" i="17"/>
  <c r="X56" i="17"/>
  <c r="X57" i="17"/>
  <c r="X58" i="17"/>
  <c r="X59" i="17"/>
  <c r="X60" i="17"/>
  <c r="X61" i="17"/>
  <c r="X62" i="17"/>
  <c r="X63" i="17"/>
  <c r="X64" i="17"/>
  <c r="X65" i="17"/>
  <c r="X66" i="17"/>
  <c r="X67" i="17"/>
  <c r="X68" i="17"/>
  <c r="X69" i="17"/>
  <c r="X70" i="17"/>
  <c r="X71" i="17"/>
  <c r="X72" i="17"/>
  <c r="X73" i="17"/>
  <c r="X74" i="17"/>
  <c r="X75" i="17"/>
  <c r="X76" i="17"/>
  <c r="X77" i="17"/>
  <c r="X78" i="17"/>
  <c r="X79" i="17"/>
  <c r="X80" i="17"/>
  <c r="X81" i="17"/>
  <c r="X82" i="17"/>
  <c r="X83" i="17"/>
  <c r="X84" i="17"/>
  <c r="X85" i="17"/>
  <c r="X86" i="17"/>
  <c r="X87" i="17"/>
  <c r="X88" i="17"/>
  <c r="X89" i="17"/>
  <c r="X90" i="17"/>
  <c r="X91" i="17"/>
  <c r="X92" i="17"/>
  <c r="X93" i="17"/>
  <c r="X94" i="17"/>
  <c r="X95" i="17"/>
  <c r="X96" i="17"/>
  <c r="X97" i="17"/>
  <c r="X98" i="17"/>
  <c r="X99" i="17"/>
  <c r="X100" i="17"/>
  <c r="U32" i="3"/>
  <c r="AN32" i="3" s="1"/>
  <c r="AG32" i="17" s="1"/>
  <c r="I53" i="1"/>
  <c r="L29" i="21"/>
  <c r="K29" i="21"/>
  <c r="J29" i="21"/>
  <c r="I29" i="21"/>
  <c r="H29" i="21"/>
  <c r="L28" i="21"/>
  <c r="K28" i="21"/>
  <c r="J28" i="21"/>
  <c r="I28" i="21"/>
  <c r="H28" i="21"/>
  <c r="L19" i="21"/>
  <c r="K19" i="21"/>
  <c r="J19" i="21"/>
  <c r="I19" i="21"/>
  <c r="H19" i="21"/>
  <c r="F19" i="21"/>
  <c r="E19" i="21"/>
  <c r="D19" i="21"/>
  <c r="C19" i="21"/>
  <c r="B19" i="21"/>
  <c r="F18" i="21"/>
  <c r="E18" i="21"/>
  <c r="D18" i="21"/>
  <c r="C18" i="21"/>
  <c r="B18" i="21"/>
  <c r="F17" i="21"/>
  <c r="E17" i="21"/>
  <c r="D17" i="21"/>
  <c r="C17" i="21"/>
  <c r="B17" i="21"/>
  <c r="F16" i="21"/>
  <c r="E16" i="21"/>
  <c r="D16" i="21"/>
  <c r="C16" i="21"/>
  <c r="B16" i="21"/>
  <c r="R11" i="21"/>
  <c r="Q11" i="21"/>
  <c r="P11" i="21"/>
  <c r="O11" i="21"/>
  <c r="N11" i="21"/>
  <c r="R10" i="21"/>
  <c r="Q10" i="21"/>
  <c r="P10" i="21"/>
  <c r="O10" i="21"/>
  <c r="N10" i="21"/>
  <c r="R9" i="21"/>
  <c r="Q9" i="21"/>
  <c r="P9" i="21"/>
  <c r="O9" i="21"/>
  <c r="N9" i="21"/>
  <c r="Z100" i="17"/>
  <c r="W100" i="17"/>
  <c r="V100" i="17"/>
  <c r="Z99" i="17"/>
  <c r="W99" i="17"/>
  <c r="V99" i="17"/>
  <c r="Z98" i="17"/>
  <c r="W98" i="17"/>
  <c r="V98" i="17"/>
  <c r="Z97" i="17"/>
  <c r="W97" i="17"/>
  <c r="V97" i="17"/>
  <c r="Z96" i="17"/>
  <c r="W96" i="17"/>
  <c r="V96" i="17"/>
  <c r="Z95" i="17"/>
  <c r="W95" i="17"/>
  <c r="V95" i="17"/>
  <c r="Z94" i="17"/>
  <c r="W94" i="17"/>
  <c r="V94" i="17"/>
  <c r="Z93" i="17"/>
  <c r="W93" i="17"/>
  <c r="V93" i="17"/>
  <c r="Z92" i="17"/>
  <c r="W92" i="17"/>
  <c r="V92" i="17"/>
  <c r="Z91" i="17"/>
  <c r="W91" i="17"/>
  <c r="V91" i="17"/>
  <c r="Z90" i="17"/>
  <c r="W90" i="17"/>
  <c r="V90" i="17"/>
  <c r="Z89" i="17"/>
  <c r="W89" i="17"/>
  <c r="V89" i="17"/>
  <c r="Z88" i="17"/>
  <c r="W88" i="17"/>
  <c r="V88" i="17"/>
  <c r="Z87" i="17"/>
  <c r="W87" i="17"/>
  <c r="V87" i="17"/>
  <c r="Z86" i="17"/>
  <c r="W86" i="17"/>
  <c r="V86" i="17"/>
  <c r="Z85" i="17"/>
  <c r="W85" i="17"/>
  <c r="V85" i="17"/>
  <c r="Z84" i="17"/>
  <c r="W84" i="17"/>
  <c r="V84" i="17"/>
  <c r="Z83" i="17"/>
  <c r="W83" i="17"/>
  <c r="V83" i="17"/>
  <c r="Z82" i="17"/>
  <c r="W82" i="17"/>
  <c r="V82" i="17"/>
  <c r="Z81" i="17"/>
  <c r="W81" i="17"/>
  <c r="V81" i="17"/>
  <c r="Z80" i="17"/>
  <c r="W80" i="17"/>
  <c r="V80" i="17"/>
  <c r="Z79" i="17"/>
  <c r="W79" i="17"/>
  <c r="V79" i="17"/>
  <c r="Z78" i="17"/>
  <c r="W78" i="17"/>
  <c r="V78" i="17"/>
  <c r="Z77" i="17"/>
  <c r="W77" i="17"/>
  <c r="V77" i="17"/>
  <c r="Z76" i="17"/>
  <c r="W76" i="17"/>
  <c r="V76" i="17"/>
  <c r="Z75" i="17"/>
  <c r="W75" i="17"/>
  <c r="V75" i="17"/>
  <c r="Z74" i="17"/>
  <c r="W74" i="17"/>
  <c r="V74" i="17"/>
  <c r="Z73" i="17"/>
  <c r="W73" i="17"/>
  <c r="V73" i="17"/>
  <c r="Z72" i="17"/>
  <c r="W72" i="17"/>
  <c r="V72" i="17"/>
  <c r="Z71" i="17"/>
  <c r="W71" i="17"/>
  <c r="V71" i="17"/>
  <c r="Z70" i="17"/>
  <c r="W70" i="17"/>
  <c r="V70" i="17"/>
  <c r="Z69" i="17"/>
  <c r="W69" i="17"/>
  <c r="V69" i="17"/>
  <c r="Z68" i="17"/>
  <c r="W68" i="17"/>
  <c r="V68" i="17"/>
  <c r="Z67" i="17"/>
  <c r="W67" i="17"/>
  <c r="V67" i="17"/>
  <c r="Z66" i="17"/>
  <c r="W66" i="17"/>
  <c r="V66" i="17"/>
  <c r="Z65" i="17"/>
  <c r="W65" i="17"/>
  <c r="V65" i="17"/>
  <c r="Z64" i="17"/>
  <c r="W64" i="17"/>
  <c r="V64" i="17"/>
  <c r="Z63" i="17"/>
  <c r="W63" i="17"/>
  <c r="V63" i="17"/>
  <c r="Z62" i="17"/>
  <c r="W62" i="17"/>
  <c r="V62" i="17"/>
  <c r="Z61" i="17"/>
  <c r="W61" i="17"/>
  <c r="V61" i="17"/>
  <c r="Z60" i="17"/>
  <c r="W60" i="17"/>
  <c r="V60" i="17"/>
  <c r="Z59" i="17"/>
  <c r="W59" i="17"/>
  <c r="V59" i="17"/>
  <c r="Z58" i="17"/>
  <c r="W58" i="17"/>
  <c r="V58" i="17"/>
  <c r="Z57" i="17"/>
  <c r="W57" i="17"/>
  <c r="V57" i="17"/>
  <c r="Z56" i="17"/>
  <c r="W56" i="17"/>
  <c r="V56" i="17"/>
  <c r="Z55" i="17"/>
  <c r="W55" i="17"/>
  <c r="V55" i="17"/>
  <c r="Z54" i="17"/>
  <c r="W54" i="17"/>
  <c r="V54" i="17"/>
  <c r="Z53" i="17"/>
  <c r="W53" i="17"/>
  <c r="V53" i="17"/>
  <c r="Z52" i="17"/>
  <c r="W52" i="17"/>
  <c r="V52" i="17"/>
  <c r="Z51" i="17"/>
  <c r="W51" i="17"/>
  <c r="V51" i="17"/>
  <c r="Z50" i="17"/>
  <c r="W50" i="17"/>
  <c r="V50" i="17"/>
  <c r="Z49" i="17"/>
  <c r="W49" i="17"/>
  <c r="V49" i="17"/>
  <c r="Z48" i="17"/>
  <c r="W48" i="17"/>
  <c r="V48" i="17"/>
  <c r="Z47" i="17"/>
  <c r="W47" i="17"/>
  <c r="V47" i="17"/>
  <c r="Z46" i="17"/>
  <c r="W46" i="17"/>
  <c r="V46" i="17"/>
  <c r="Z45" i="17"/>
  <c r="W45" i="17"/>
  <c r="V45" i="17"/>
  <c r="Z44" i="17"/>
  <c r="W44" i="17"/>
  <c r="V44" i="17"/>
  <c r="Z43" i="17"/>
  <c r="W43" i="17"/>
  <c r="V43" i="17"/>
  <c r="J30" i="22"/>
  <c r="H30" i="22"/>
  <c r="E30" i="22"/>
  <c r="C30" i="22"/>
  <c r="J29" i="22"/>
  <c r="H29" i="22"/>
  <c r="E29" i="22"/>
  <c r="C29" i="22"/>
  <c r="J28" i="22"/>
  <c r="H28" i="22"/>
  <c r="E28" i="22"/>
  <c r="C28" i="22"/>
  <c r="J27" i="22"/>
  <c r="H27" i="22"/>
  <c r="E27" i="22"/>
  <c r="C27" i="22"/>
  <c r="J26" i="22"/>
  <c r="H26" i="22"/>
  <c r="E26" i="22"/>
  <c r="C26" i="22"/>
  <c r="J25" i="22"/>
  <c r="H25" i="22"/>
  <c r="E25" i="22"/>
  <c r="C25" i="22"/>
  <c r="J24" i="22"/>
  <c r="H24" i="22"/>
  <c r="E24" i="22"/>
  <c r="C24" i="22"/>
  <c r="J23" i="22"/>
  <c r="H23" i="22"/>
  <c r="E23" i="22"/>
  <c r="C23" i="22"/>
  <c r="J22" i="22"/>
  <c r="H22" i="22"/>
  <c r="E22" i="22"/>
  <c r="C22" i="22"/>
  <c r="J21" i="22"/>
  <c r="H21" i="22"/>
  <c r="E21" i="22"/>
  <c r="C21" i="22"/>
  <c r="J20" i="22"/>
  <c r="H20" i="22"/>
  <c r="E20" i="22"/>
  <c r="C20" i="22"/>
  <c r="J19" i="22"/>
  <c r="H19" i="22"/>
  <c r="E19" i="22"/>
  <c r="C19" i="22"/>
  <c r="J18" i="22"/>
  <c r="H18" i="22"/>
  <c r="E18" i="22"/>
  <c r="C18" i="22"/>
  <c r="J17" i="22"/>
  <c r="H17" i="22"/>
  <c r="E17" i="22"/>
  <c r="C17" i="22"/>
  <c r="AA29" i="3"/>
  <c r="W29" i="3"/>
  <c r="R29" i="3"/>
  <c r="P29" i="3"/>
  <c r="AA28" i="3"/>
  <c r="W28" i="3"/>
  <c r="R28" i="3"/>
  <c r="P28" i="3"/>
  <c r="BC25" i="3"/>
  <c r="AY25" i="3"/>
  <c r="AT25" i="3"/>
  <c r="AR25" i="3"/>
  <c r="BC24" i="3"/>
  <c r="AY24" i="3"/>
  <c r="AT24" i="3"/>
  <c r="AR24" i="3"/>
  <c r="BC23" i="3"/>
  <c r="AY23" i="3"/>
  <c r="AT23" i="3"/>
  <c r="AR23" i="3"/>
  <c r="BC22" i="3"/>
  <c r="AY22" i="3"/>
  <c r="AT22" i="3"/>
  <c r="AR22" i="3"/>
  <c r="AA19" i="3"/>
  <c r="W19" i="3"/>
  <c r="R19" i="3"/>
  <c r="P19" i="3"/>
  <c r="N19" i="3"/>
  <c r="J19" i="3"/>
  <c r="E19" i="3"/>
  <c r="C19" i="3"/>
  <c r="N18" i="3"/>
  <c r="J18" i="3"/>
  <c r="E18" i="3"/>
  <c r="C18" i="3"/>
  <c r="BC17" i="3"/>
  <c r="AY17" i="3"/>
  <c r="AT17" i="3"/>
  <c r="AR17" i="3"/>
  <c r="N17" i="3"/>
  <c r="J17" i="3"/>
  <c r="E17" i="3"/>
  <c r="C17" i="3"/>
  <c r="BC16" i="3"/>
  <c r="AY16" i="3"/>
  <c r="AT16" i="3"/>
  <c r="AR16" i="3"/>
  <c r="N16" i="3"/>
  <c r="J16" i="3"/>
  <c r="E16" i="3"/>
  <c r="C16" i="3"/>
  <c r="BC15" i="3"/>
  <c r="AY15" i="3"/>
  <c r="AT15" i="3"/>
  <c r="AR15" i="3"/>
  <c r="BC14" i="3"/>
  <c r="AY14" i="3"/>
  <c r="AT14" i="3"/>
  <c r="AR14" i="3"/>
  <c r="AN11" i="3"/>
  <c r="AJ11" i="3"/>
  <c r="AE11" i="3"/>
  <c r="AC11" i="3"/>
  <c r="AN10" i="3"/>
  <c r="AJ10" i="3"/>
  <c r="AE10" i="3"/>
  <c r="AC10" i="3"/>
  <c r="BC9" i="3"/>
  <c r="AY9" i="3"/>
  <c r="AT9" i="3"/>
  <c r="AR9" i="3"/>
  <c r="AN9" i="3"/>
  <c r="AJ9" i="3"/>
  <c r="AE9" i="3"/>
  <c r="AC9" i="3"/>
  <c r="BC8" i="3"/>
  <c r="AY8" i="3"/>
  <c r="AT8" i="3"/>
  <c r="AR8" i="3"/>
  <c r="BC7" i="3"/>
  <c r="AY7" i="3"/>
  <c r="AT7" i="3"/>
  <c r="AR7" i="3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79" i="1"/>
  <c r="I178" i="1"/>
  <c r="I177" i="1"/>
  <c r="I176" i="1"/>
  <c r="I175" i="1"/>
  <c r="I174" i="1"/>
  <c r="I180" i="1"/>
  <c r="I165" i="1"/>
  <c r="I159" i="1"/>
  <c r="I167" i="1"/>
  <c r="I164" i="1"/>
  <c r="I158" i="1"/>
  <c r="I155" i="1"/>
  <c r="I145" i="1"/>
  <c r="I163" i="1"/>
  <c r="I154" i="1"/>
  <c r="I157" i="1"/>
  <c r="I153" i="1"/>
  <c r="I144" i="1"/>
  <c r="I139" i="1"/>
  <c r="I169" i="1"/>
  <c r="I166" i="1"/>
  <c r="I172" i="1"/>
  <c r="I171" i="1"/>
  <c r="I143" i="1"/>
  <c r="I152" i="1"/>
  <c r="I151" i="1"/>
  <c r="I138" i="1"/>
  <c r="I123" i="1"/>
  <c r="I132" i="1"/>
  <c r="I131" i="1"/>
  <c r="I111" i="1"/>
  <c r="I150" i="1"/>
  <c r="I149" i="1"/>
  <c r="I137" i="1"/>
  <c r="I156" i="1"/>
  <c r="I130" i="1"/>
  <c r="I148" i="1"/>
  <c r="I142" i="1"/>
  <c r="I129" i="1"/>
  <c r="I128" i="1"/>
  <c r="I110" i="1"/>
  <c r="I109" i="1"/>
  <c r="I162" i="1"/>
  <c r="I122" i="1"/>
  <c r="I136" i="1"/>
  <c r="I161" i="1"/>
  <c r="I160" i="1"/>
  <c r="I121" i="1"/>
  <c r="I93" i="1"/>
  <c r="I108" i="1"/>
  <c r="I92" i="1"/>
  <c r="I91" i="1"/>
  <c r="I127" i="1"/>
  <c r="I126" i="1"/>
  <c r="I104" i="1"/>
  <c r="I147" i="1"/>
  <c r="I120" i="1"/>
  <c r="I90" i="1"/>
  <c r="I103" i="1"/>
  <c r="I89" i="1"/>
  <c r="I119" i="1"/>
  <c r="I88" i="1"/>
  <c r="I87" i="1"/>
  <c r="I107" i="1"/>
  <c r="I102" i="1"/>
  <c r="I83" i="1"/>
  <c r="I101" i="1"/>
  <c r="I118" i="1"/>
  <c r="I117" i="1"/>
  <c r="I86" i="1"/>
  <c r="I100" i="1"/>
  <c r="I82" i="1"/>
  <c r="I99" i="1"/>
  <c r="I98" i="1"/>
  <c r="I97" i="1"/>
  <c r="I96" i="1"/>
  <c r="I81" i="1"/>
  <c r="I61" i="1"/>
  <c r="I173" i="1"/>
  <c r="I74" i="1"/>
  <c r="I73" i="1"/>
  <c r="I60" i="1"/>
  <c r="I72" i="1"/>
  <c r="I141" i="1"/>
  <c r="I71" i="1"/>
  <c r="I59" i="1"/>
  <c r="I58" i="1"/>
  <c r="I70" i="1"/>
  <c r="I116" i="1"/>
  <c r="I146" i="1"/>
  <c r="I140" i="1"/>
  <c r="I135" i="1"/>
  <c r="I134" i="1"/>
  <c r="I115" i="1"/>
  <c r="I76" i="1"/>
  <c r="I114" i="1"/>
  <c r="I106" i="1"/>
  <c r="I49" i="1"/>
  <c r="I56" i="1"/>
  <c r="I41" i="1"/>
  <c r="I69" i="1"/>
  <c r="I125" i="1"/>
  <c r="I113" i="1"/>
  <c r="I68" i="1"/>
  <c r="I37" i="1"/>
  <c r="I40" i="1"/>
  <c r="I85" i="1"/>
  <c r="I112" i="1"/>
  <c r="I55" i="1"/>
  <c r="I48" i="1"/>
  <c r="I67" i="1"/>
  <c r="I54" i="1"/>
  <c r="I47" i="1"/>
  <c r="I46" i="1"/>
  <c r="I45" i="1"/>
  <c r="I66" i="1"/>
  <c r="I65" i="1"/>
  <c r="I36" i="1"/>
  <c r="I168" i="1"/>
  <c r="I64" i="1"/>
  <c r="I84" i="1"/>
  <c r="I24" i="1"/>
  <c r="I52" i="1"/>
  <c r="I44" i="1"/>
  <c r="I35" i="1"/>
  <c r="I34" i="1"/>
  <c r="I51" i="1"/>
  <c r="I133" i="1"/>
  <c r="I43" i="1"/>
  <c r="I23" i="1"/>
  <c r="I33" i="1"/>
  <c r="I17" i="1"/>
  <c r="I28" i="1"/>
  <c r="I32" i="1"/>
  <c r="I22" i="1"/>
  <c r="I27" i="1"/>
  <c r="I80" i="1"/>
  <c r="I31" i="1"/>
  <c r="I30" i="1"/>
  <c r="I39" i="1"/>
  <c r="I50" i="1"/>
  <c r="I26" i="1"/>
  <c r="I124" i="1"/>
  <c r="I105" i="1"/>
  <c r="I63" i="1"/>
  <c r="I62" i="1"/>
  <c r="I79" i="1"/>
  <c r="I78" i="1"/>
  <c r="I95" i="1"/>
  <c r="I77" i="1"/>
  <c r="I21" i="1"/>
  <c r="I16" i="1"/>
  <c r="I11" i="1"/>
  <c r="I20" i="1"/>
  <c r="I25" i="1"/>
  <c r="I29" i="1"/>
  <c r="I15" i="1"/>
  <c r="I10" i="1"/>
  <c r="I14" i="1"/>
  <c r="I13" i="1"/>
  <c r="I42" i="1"/>
  <c r="I38" i="1"/>
  <c r="I9" i="1"/>
  <c r="I19" i="1"/>
  <c r="I18" i="1"/>
  <c r="I170" i="1"/>
  <c r="I8" i="1"/>
  <c r="I7" i="1"/>
  <c r="I75" i="1"/>
  <c r="I6" i="1"/>
  <c r="I12" i="1"/>
  <c r="I94" i="1"/>
  <c r="AG17" i="29" l="1"/>
  <c r="AG17" i="25"/>
  <c r="AG32" i="24"/>
  <c r="AG17" i="26"/>
  <c r="AG32" i="29"/>
  <c r="AG32" i="27"/>
  <c r="BA54" i="3"/>
  <c r="BC54" i="3" s="1"/>
  <c r="AG17" i="24"/>
  <c r="AG17" i="27"/>
  <c r="AG32" i="28"/>
  <c r="AG32" i="26"/>
  <c r="Q59" i="3"/>
  <c r="R59" i="3" s="1"/>
  <c r="AG32" i="25"/>
  <c r="AG17" i="28"/>
  <c r="X6" i="29"/>
  <c r="Y6" i="29"/>
  <c r="AA5" i="29"/>
  <c r="V6" i="29"/>
  <c r="W6" i="29"/>
  <c r="Z6" i="29"/>
  <c r="X7" i="29"/>
  <c r="Z7" i="29"/>
  <c r="V8" i="29"/>
  <c r="V5" i="29"/>
  <c r="X8" i="29"/>
  <c r="V7" i="29"/>
  <c r="Y7" i="29"/>
  <c r="W8" i="29"/>
  <c r="W5" i="29"/>
  <c r="Y8" i="29"/>
  <c r="Z8" i="29"/>
  <c r="Y5" i="29"/>
  <c r="AA8" i="29"/>
  <c r="AA6" i="29"/>
  <c r="W7" i="29"/>
  <c r="AA7" i="29"/>
  <c r="X5" i="29"/>
  <c r="V6" i="28"/>
  <c r="X9" i="28"/>
  <c r="W6" i="28"/>
  <c r="Y9" i="28"/>
  <c r="W9" i="28"/>
  <c r="X6" i="28"/>
  <c r="Z9" i="28"/>
  <c r="Y6" i="28"/>
  <c r="X7" i="28"/>
  <c r="Y7" i="28"/>
  <c r="Z7" i="28"/>
  <c r="AA7" i="28"/>
  <c r="V8" i="28"/>
  <c r="Z6" i="28"/>
  <c r="AA6" i="28"/>
  <c r="Z8" i="28"/>
  <c r="V7" i="28"/>
  <c r="W7" i="28"/>
  <c r="AA8" i="28"/>
  <c r="AA9" i="28"/>
  <c r="W8" i="28"/>
  <c r="X8" i="28"/>
  <c r="Y8" i="28"/>
  <c r="W6" i="27"/>
  <c r="Y9" i="27"/>
  <c r="X6" i="27"/>
  <c r="Z9" i="27"/>
  <c r="Z6" i="27"/>
  <c r="Y6" i="27"/>
  <c r="AA9" i="27"/>
  <c r="AA6" i="27"/>
  <c r="V7" i="27"/>
  <c r="W7" i="27"/>
  <c r="X7" i="27"/>
  <c r="AA7" i="27"/>
  <c r="W8" i="27"/>
  <c r="Z7" i="27"/>
  <c r="V8" i="27"/>
  <c r="X8" i="27"/>
  <c r="Y8" i="27"/>
  <c r="Z8" i="27"/>
  <c r="W9" i="27"/>
  <c r="X9" i="27"/>
  <c r="AA8" i="27"/>
  <c r="V6" i="27"/>
  <c r="Y7" i="27"/>
  <c r="V6" i="26"/>
  <c r="X9" i="26"/>
  <c r="W6" i="26"/>
  <c r="Y9" i="26"/>
  <c r="X6" i="26"/>
  <c r="Z9" i="26"/>
  <c r="AA6" i="26"/>
  <c r="V7" i="26"/>
  <c r="W7" i="26"/>
  <c r="X7" i="26"/>
  <c r="Z6" i="26"/>
  <c r="Y7" i="26"/>
  <c r="Y6" i="26"/>
  <c r="AA7" i="26"/>
  <c r="V8" i="26"/>
  <c r="W8" i="26"/>
  <c r="X8" i="26"/>
  <c r="Y8" i="26"/>
  <c r="Z8" i="26"/>
  <c r="W9" i="26"/>
  <c r="AA8" i="26"/>
  <c r="AA9" i="26"/>
  <c r="Z7" i="26"/>
  <c r="V7" i="25"/>
  <c r="W7" i="25"/>
  <c r="X7" i="25"/>
  <c r="Y7" i="25"/>
  <c r="X9" i="25"/>
  <c r="Y8" i="25"/>
  <c r="W9" i="25"/>
  <c r="Z8" i="25"/>
  <c r="Y9" i="25"/>
  <c r="AA9" i="25"/>
  <c r="AA7" i="25"/>
  <c r="V8" i="25"/>
  <c r="X8" i="25"/>
  <c r="AA8" i="25"/>
  <c r="Z9" i="25"/>
  <c r="Z7" i="25"/>
  <c r="W8" i="25"/>
  <c r="Y9" i="24"/>
  <c r="X9" i="24"/>
  <c r="Z9" i="24"/>
  <c r="AA9" i="24"/>
  <c r="V7" i="24"/>
  <c r="Z7" i="24"/>
  <c r="X8" i="24"/>
  <c r="Y8" i="24"/>
  <c r="Z8" i="24"/>
  <c r="AA8" i="24"/>
  <c r="V9" i="24"/>
  <c r="W9" i="24"/>
  <c r="W7" i="24"/>
  <c r="X7" i="24"/>
  <c r="Y7" i="24"/>
  <c r="AA7" i="24"/>
  <c r="V8" i="24"/>
  <c r="BC6" i="3"/>
  <c r="AR6" i="3"/>
  <c r="AT6" i="3"/>
  <c r="AY6" i="3"/>
  <c r="B4" i="6" a="1"/>
  <c r="N15" i="3" s="1"/>
  <c r="AG17" i="17"/>
  <c r="B4" i="10" a="1"/>
  <c r="B4" i="6" l="1"/>
  <c r="B15" i="21" s="1"/>
  <c r="E15" i="3"/>
  <c r="F15" i="21"/>
  <c r="E15" i="21"/>
  <c r="J15" i="3"/>
  <c r="C15" i="21"/>
  <c r="D15" i="21"/>
  <c r="Y42" i="17"/>
  <c r="Z42" i="17"/>
  <c r="W42" i="17"/>
  <c r="V42" i="17"/>
  <c r="X42" i="17"/>
  <c r="Y41" i="17"/>
  <c r="V41" i="17"/>
  <c r="X41" i="17"/>
  <c r="W41" i="17"/>
  <c r="Z41" i="17"/>
  <c r="Y40" i="17"/>
  <c r="V40" i="17"/>
  <c r="Z40" i="17"/>
  <c r="X40" i="17"/>
  <c r="W40" i="17"/>
  <c r="AN8" i="3"/>
  <c r="AJ8" i="3"/>
  <c r="Q8" i="21"/>
  <c r="R8" i="21"/>
  <c r="AE8" i="3"/>
  <c r="AC8" i="3"/>
  <c r="P8" i="21"/>
  <c r="O8" i="21"/>
  <c r="N8" i="21"/>
  <c r="P6" i="21"/>
  <c r="R7" i="21"/>
  <c r="AE7" i="3"/>
  <c r="AC7" i="3"/>
  <c r="Q7" i="21"/>
  <c r="P7" i="21"/>
  <c r="O7" i="21"/>
  <c r="N7" i="21"/>
  <c r="AJ7" i="3"/>
  <c r="AN7" i="3"/>
  <c r="J16" i="22"/>
  <c r="H16" i="22"/>
  <c r="E16" i="22"/>
  <c r="C16" i="22"/>
  <c r="H15" i="22"/>
  <c r="J15" i="22"/>
  <c r="E15" i="22"/>
  <c r="C15" i="22"/>
  <c r="P29" i="21"/>
  <c r="AE29" i="3"/>
  <c r="O29" i="21"/>
  <c r="AC29" i="3"/>
  <c r="N29" i="21"/>
  <c r="R29" i="21"/>
  <c r="AN29" i="3"/>
  <c r="Q29" i="21"/>
  <c r="AJ29" i="3"/>
  <c r="AJ19" i="3"/>
  <c r="R19" i="21"/>
  <c r="AE19" i="3"/>
  <c r="AN19" i="3"/>
  <c r="Q19" i="21"/>
  <c r="AC19" i="3"/>
  <c r="P19" i="21"/>
  <c r="O19" i="21"/>
  <c r="N19" i="21"/>
  <c r="X39" i="17"/>
  <c r="Z39" i="17"/>
  <c r="W39" i="17"/>
  <c r="Y39" i="17"/>
  <c r="V39" i="17"/>
  <c r="V38" i="17"/>
  <c r="Z38" i="17"/>
  <c r="W38" i="17"/>
  <c r="X38" i="17"/>
  <c r="Y38" i="17"/>
  <c r="W37" i="17"/>
  <c r="Y37" i="17"/>
  <c r="X37" i="17"/>
  <c r="V37" i="17"/>
  <c r="Z37" i="17"/>
  <c r="Y36" i="17"/>
  <c r="Z36" i="17"/>
  <c r="X36" i="17"/>
  <c r="W36" i="17"/>
  <c r="V36" i="17"/>
  <c r="J18" i="21"/>
  <c r="I18" i="21"/>
  <c r="H18" i="21"/>
  <c r="AA18" i="3"/>
  <c r="W18" i="3"/>
  <c r="L18" i="21"/>
  <c r="R18" i="3"/>
  <c r="P18" i="3"/>
  <c r="K18" i="21"/>
  <c r="Y35" i="17"/>
  <c r="X35" i="17"/>
  <c r="Z35" i="17"/>
  <c r="W35" i="17"/>
  <c r="V35" i="17"/>
  <c r="Y34" i="17"/>
  <c r="Z34" i="17"/>
  <c r="W34" i="17"/>
  <c r="X34" i="17"/>
  <c r="V34" i="17"/>
  <c r="O6" i="21"/>
  <c r="N6" i="21"/>
  <c r="AC6" i="3"/>
  <c r="Q6" i="21"/>
  <c r="AE6" i="3"/>
  <c r="R6" i="21"/>
  <c r="AJ6" i="3"/>
  <c r="AN6" i="3"/>
  <c r="R28" i="21"/>
  <c r="AN28" i="3"/>
  <c r="Q28" i="21"/>
  <c r="AJ28" i="3"/>
  <c r="P28" i="21"/>
  <c r="AE28" i="3"/>
  <c r="O28" i="21"/>
  <c r="AC28" i="3"/>
  <c r="N28" i="21"/>
  <c r="X33" i="17"/>
  <c r="Z33" i="17"/>
  <c r="W33" i="17"/>
  <c r="V33" i="17"/>
  <c r="Y33" i="17"/>
  <c r="X32" i="17"/>
  <c r="V32" i="17"/>
  <c r="Y32" i="17"/>
  <c r="Z32" i="17"/>
  <c r="W32" i="17"/>
  <c r="J14" i="22"/>
  <c r="C14" i="22"/>
  <c r="H14" i="22"/>
  <c r="E14" i="22"/>
  <c r="W31" i="17"/>
  <c r="V31" i="17"/>
  <c r="X31" i="17"/>
  <c r="Y31" i="17"/>
  <c r="Z31" i="17"/>
  <c r="O27" i="21"/>
  <c r="N27" i="21"/>
  <c r="AN27" i="3"/>
  <c r="AJ27" i="3"/>
  <c r="R27" i="21"/>
  <c r="Q27" i="21"/>
  <c r="AC27" i="3"/>
  <c r="P27" i="21"/>
  <c r="AE27" i="3"/>
  <c r="AC18" i="3"/>
  <c r="R18" i="21"/>
  <c r="Q18" i="21"/>
  <c r="P18" i="21"/>
  <c r="O18" i="21"/>
  <c r="AJ18" i="3"/>
  <c r="AE18" i="3"/>
  <c r="N18" i="21"/>
  <c r="AN18" i="3"/>
  <c r="Y20" i="17"/>
  <c r="Y28" i="17"/>
  <c r="X19" i="17"/>
  <c r="X27" i="17"/>
  <c r="Y21" i="17"/>
  <c r="Y29" i="17"/>
  <c r="X20" i="17"/>
  <c r="X28" i="17"/>
  <c r="Y14" i="17"/>
  <c r="Y22" i="17"/>
  <c r="Y30" i="17"/>
  <c r="X21" i="17"/>
  <c r="X29" i="17"/>
  <c r="Y15" i="17"/>
  <c r="Y23" i="17"/>
  <c r="X14" i="17"/>
  <c r="X22" i="17"/>
  <c r="X30" i="17"/>
  <c r="Y18" i="17"/>
  <c r="Y27" i="17"/>
  <c r="X18" i="17"/>
  <c r="Y16" i="17"/>
  <c r="Y24" i="17"/>
  <c r="X15" i="17"/>
  <c r="X23" i="17"/>
  <c r="Y26" i="17"/>
  <c r="X17" i="17"/>
  <c r="Y17" i="17"/>
  <c r="Y25" i="17"/>
  <c r="X16" i="17"/>
  <c r="X24" i="17"/>
  <c r="X25" i="17"/>
  <c r="Y19" i="17"/>
  <c r="X26" i="17"/>
  <c r="Q5" i="21"/>
  <c r="AJ5" i="3"/>
  <c r="O5" i="21"/>
  <c r="P5" i="21"/>
  <c r="R5" i="21"/>
  <c r="AE5" i="3"/>
  <c r="AN5" i="3"/>
  <c r="B4" i="10"/>
  <c r="N5" i="21" s="1"/>
  <c r="O17" i="21"/>
  <c r="AN17" i="3"/>
  <c r="N17" i="21"/>
  <c r="AE17" i="3"/>
  <c r="R17" i="21"/>
  <c r="AJ17" i="3"/>
  <c r="AC17" i="3"/>
  <c r="Q17" i="21"/>
  <c r="P17" i="21"/>
  <c r="V30" i="17"/>
  <c r="Z30" i="17"/>
  <c r="W30" i="17"/>
  <c r="W29" i="17"/>
  <c r="V29" i="17"/>
  <c r="Z29" i="17"/>
  <c r="H13" i="22"/>
  <c r="E13" i="22"/>
  <c r="C13" i="22"/>
  <c r="J13" i="22"/>
  <c r="J12" i="22"/>
  <c r="H12" i="22"/>
  <c r="C12" i="22"/>
  <c r="E12" i="22"/>
  <c r="P27" i="3"/>
  <c r="W27" i="3"/>
  <c r="AA27" i="3"/>
  <c r="L27" i="21"/>
  <c r="K27" i="21"/>
  <c r="H27" i="21"/>
  <c r="R27" i="3"/>
  <c r="J27" i="21"/>
  <c r="I27" i="21"/>
  <c r="AE26" i="3"/>
  <c r="P26" i="21"/>
  <c r="AC26" i="3"/>
  <c r="Q26" i="21"/>
  <c r="AN26" i="3"/>
  <c r="AJ26" i="3"/>
  <c r="R26" i="21"/>
  <c r="O26" i="21"/>
  <c r="N26" i="21"/>
  <c r="O16" i="21"/>
  <c r="P16" i="21"/>
  <c r="Q16" i="21"/>
  <c r="R16" i="21"/>
  <c r="N16" i="21"/>
  <c r="AN16" i="3"/>
  <c r="AJ16" i="3"/>
  <c r="AE16" i="3"/>
  <c r="AC16" i="3"/>
  <c r="J8" i="22"/>
  <c r="H11" i="22"/>
  <c r="C11" i="22"/>
  <c r="E11" i="22"/>
  <c r="J11" i="22"/>
  <c r="Z28" i="17"/>
  <c r="W28" i="17"/>
  <c r="V28" i="17"/>
  <c r="Z27" i="17"/>
  <c r="V27" i="17"/>
  <c r="W27" i="17"/>
  <c r="W26" i="17"/>
  <c r="V26" i="17"/>
  <c r="Z26" i="17"/>
  <c r="Z25" i="17"/>
  <c r="W25" i="17"/>
  <c r="V25" i="17"/>
  <c r="Z24" i="17"/>
  <c r="W24" i="17"/>
  <c r="V24" i="17"/>
  <c r="Z23" i="17"/>
  <c r="W23" i="17"/>
  <c r="V23" i="17"/>
  <c r="L8" i="21"/>
  <c r="H8" i="21"/>
  <c r="I7" i="21"/>
  <c r="R10" i="3"/>
  <c r="W9" i="3"/>
  <c r="I9" i="21"/>
  <c r="J8" i="21"/>
  <c r="W11" i="3"/>
  <c r="AA11" i="3"/>
  <c r="K8" i="21"/>
  <c r="K6" i="21"/>
  <c r="H7" i="21"/>
  <c r="L10" i="21"/>
  <c r="W8" i="3"/>
  <c r="P10" i="3"/>
  <c r="R7" i="3"/>
  <c r="R11" i="3"/>
  <c r="H11" i="21"/>
  <c r="L9" i="21"/>
  <c r="L7" i="21"/>
  <c r="I8" i="21"/>
  <c r="AA10" i="3"/>
  <c r="W10" i="3"/>
  <c r="P7" i="3"/>
  <c r="W7" i="3"/>
  <c r="I5" i="21"/>
  <c r="L5" i="21"/>
  <c r="J9" i="21"/>
  <c r="R9" i="3"/>
  <c r="W6" i="3"/>
  <c r="AA5" i="3"/>
  <c r="P6" i="3"/>
  <c r="J6" i="21"/>
  <c r="H9" i="21"/>
  <c r="K10" i="21"/>
  <c r="AA6" i="3"/>
  <c r="H10" i="21"/>
  <c r="AA9" i="3"/>
  <c r="R8" i="3"/>
  <c r="K11" i="21"/>
  <c r="L11" i="21"/>
  <c r="I6" i="21"/>
  <c r="AA7" i="3"/>
  <c r="P8" i="3"/>
  <c r="J7" i="21"/>
  <c r="J5" i="21"/>
  <c r="J10" i="21"/>
  <c r="K9" i="21"/>
  <c r="P9" i="3"/>
  <c r="R6" i="3"/>
  <c r="AA8" i="3"/>
  <c r="K7" i="21"/>
  <c r="I10" i="21"/>
  <c r="H6" i="21"/>
  <c r="L6" i="21"/>
  <c r="R5" i="3"/>
  <c r="W5" i="3"/>
  <c r="J11" i="21"/>
  <c r="P11" i="3"/>
  <c r="I11" i="21"/>
  <c r="Q25" i="21"/>
  <c r="AJ25" i="3"/>
  <c r="O25" i="21"/>
  <c r="R25" i="21"/>
  <c r="N25" i="21"/>
  <c r="P25" i="21"/>
  <c r="AE25" i="3"/>
  <c r="AC25" i="3"/>
  <c r="AN25" i="3"/>
  <c r="Z22" i="17"/>
  <c r="W22" i="17"/>
  <c r="V22" i="17"/>
  <c r="V21" i="17"/>
  <c r="Z21" i="17"/>
  <c r="W21" i="17"/>
  <c r="Z20" i="17"/>
  <c r="V20" i="17"/>
  <c r="W20" i="17"/>
  <c r="Z19" i="17"/>
  <c r="W19" i="17"/>
  <c r="V19" i="17"/>
  <c r="W18" i="17"/>
  <c r="V18" i="17"/>
  <c r="Z18" i="17"/>
  <c r="L17" i="21"/>
  <c r="K17" i="21"/>
  <c r="R17" i="3"/>
  <c r="J17" i="21"/>
  <c r="H17" i="21"/>
  <c r="W17" i="3"/>
  <c r="P17" i="3"/>
  <c r="I17" i="21"/>
  <c r="AA17" i="3"/>
  <c r="AN24" i="3"/>
  <c r="AC24" i="3"/>
  <c r="P24" i="21"/>
  <c r="AE24" i="3"/>
  <c r="N24" i="21"/>
  <c r="R24" i="21"/>
  <c r="O24" i="21"/>
  <c r="AJ24" i="3"/>
  <c r="Q24" i="21"/>
  <c r="D7" i="21"/>
  <c r="F26" i="21"/>
  <c r="C7" i="3"/>
  <c r="J7" i="3"/>
  <c r="D25" i="21"/>
  <c r="J8" i="3"/>
  <c r="B11" i="21"/>
  <c r="C9" i="22"/>
  <c r="J10" i="22"/>
  <c r="F9" i="21"/>
  <c r="C26" i="21"/>
  <c r="F27" i="21"/>
  <c r="E25" i="3"/>
  <c r="C8" i="3"/>
  <c r="J9" i="3"/>
  <c r="F6" i="21"/>
  <c r="J7" i="22"/>
  <c r="E10" i="22"/>
  <c r="C25" i="3"/>
  <c r="D27" i="21"/>
  <c r="N11" i="3"/>
  <c r="C29" i="3"/>
  <c r="C6" i="21"/>
  <c r="C9" i="3"/>
  <c r="J10" i="3"/>
  <c r="B10" i="21"/>
  <c r="C10" i="22"/>
  <c r="J25" i="3"/>
  <c r="E28" i="21"/>
  <c r="E26" i="3"/>
  <c r="N25" i="3"/>
  <c r="E9" i="3"/>
  <c r="C10" i="3"/>
  <c r="B6" i="21"/>
  <c r="E29" i="3"/>
  <c r="C8" i="22"/>
  <c r="H10" i="22"/>
  <c r="J26" i="3"/>
  <c r="F29" i="21"/>
  <c r="J27" i="3"/>
  <c r="E11" i="3"/>
  <c r="E11" i="21"/>
  <c r="D6" i="21"/>
  <c r="N28" i="3"/>
  <c r="N26" i="3"/>
  <c r="B28" i="21"/>
  <c r="N8" i="3"/>
  <c r="B7" i="21"/>
  <c r="E7" i="21"/>
  <c r="E6" i="3"/>
  <c r="E25" i="21"/>
  <c r="C29" i="21"/>
  <c r="F28" i="21"/>
  <c r="C8" i="21"/>
  <c r="F8" i="21"/>
  <c r="N7" i="3"/>
  <c r="E26" i="21"/>
  <c r="C27" i="21"/>
  <c r="D29" i="21"/>
  <c r="E6" i="22"/>
  <c r="C7" i="22"/>
  <c r="C28" i="21"/>
  <c r="N29" i="3"/>
  <c r="J29" i="3"/>
  <c r="F10" i="21"/>
  <c r="H9" i="22"/>
  <c r="B29" i="21"/>
  <c r="B26" i="21"/>
  <c r="E27" i="3"/>
  <c r="C27" i="3"/>
  <c r="C6" i="3"/>
  <c r="D9" i="21"/>
  <c r="C11" i="21"/>
  <c r="N6" i="3"/>
  <c r="E8" i="22"/>
  <c r="E7" i="3"/>
  <c r="E10" i="21"/>
  <c r="D11" i="21"/>
  <c r="B27" i="21"/>
  <c r="C6" i="22"/>
  <c r="J6" i="22"/>
  <c r="Z17" i="17"/>
  <c r="P26" i="3"/>
  <c r="H26" i="21"/>
  <c r="R25" i="3"/>
  <c r="I26" i="21"/>
  <c r="W25" i="3"/>
  <c r="L26" i="21"/>
  <c r="H25" i="21"/>
  <c r="W26" i="3"/>
  <c r="Z14" i="17"/>
  <c r="Z16" i="17"/>
  <c r="W14" i="17"/>
  <c r="V14" i="17"/>
  <c r="Z15" i="17"/>
  <c r="W16" i="17"/>
  <c r="V16" i="17"/>
  <c r="AA25" i="3"/>
  <c r="AA26" i="3"/>
  <c r="R26" i="3"/>
  <c r="J25" i="21"/>
  <c r="P25" i="3"/>
  <c r="K26" i="21"/>
  <c r="V17" i="17"/>
  <c r="J26" i="21"/>
  <c r="W17" i="17"/>
  <c r="I25" i="21"/>
  <c r="K25" i="21"/>
  <c r="W15" i="17"/>
  <c r="L25" i="21"/>
  <c r="V15" i="17"/>
  <c r="J28" i="3"/>
  <c r="D28" i="21"/>
  <c r="C25" i="21"/>
  <c r="N27" i="3"/>
  <c r="J11" i="3"/>
  <c r="B8" i="21"/>
  <c r="F11" i="21"/>
  <c r="C7" i="21"/>
  <c r="H6" i="22"/>
  <c r="E7" i="22"/>
  <c r="C26" i="3"/>
  <c r="E29" i="21"/>
  <c r="D26" i="21"/>
  <c r="N9" i="3"/>
  <c r="C11" i="3"/>
  <c r="C9" i="21"/>
  <c r="D8" i="21"/>
  <c r="E6" i="21"/>
  <c r="B9" i="21"/>
  <c r="E28" i="3"/>
  <c r="E9" i="22"/>
  <c r="J9" i="22"/>
  <c r="E10" i="3"/>
  <c r="E8" i="21"/>
  <c r="C28" i="3"/>
  <c r="F25" i="21"/>
  <c r="B25" i="21"/>
  <c r="E27" i="21"/>
  <c r="E8" i="3"/>
  <c r="D10" i="21"/>
  <c r="J6" i="3"/>
  <c r="E9" i="21"/>
  <c r="F7" i="21"/>
  <c r="C10" i="21"/>
  <c r="H8" i="22"/>
  <c r="H7" i="22"/>
  <c r="AI30" i="29" l="1"/>
  <c r="AI15" i="28"/>
  <c r="AI45" i="27"/>
  <c r="AI45" i="26"/>
  <c r="AI15" i="24"/>
  <c r="V10" i="17"/>
  <c r="X11" i="17"/>
  <c r="Z12" i="17"/>
  <c r="X13" i="17"/>
  <c r="Y12" i="17"/>
  <c r="W13" i="17"/>
  <c r="V12" i="17"/>
  <c r="W11" i="17"/>
  <c r="W12" i="17"/>
  <c r="V13" i="17"/>
  <c r="Z11" i="17"/>
  <c r="X10" i="17"/>
  <c r="Z13" i="17"/>
  <c r="Z10" i="17"/>
  <c r="Y11" i="17"/>
  <c r="V11" i="17"/>
  <c r="X12" i="17"/>
  <c r="W10" i="17"/>
  <c r="Y10" i="17"/>
  <c r="C15" i="3"/>
  <c r="AC5" i="3"/>
  <c r="AI15" i="29" l="1"/>
  <c r="AY38" i="3"/>
  <c r="AV38" i="3"/>
  <c r="AO38" i="3"/>
  <c r="AZ38" i="3"/>
  <c r="AM38" i="3"/>
  <c r="V38" i="3"/>
  <c r="T38" i="3"/>
  <c r="AH38" i="3"/>
  <c r="AF38" i="3"/>
  <c r="AB38" i="3"/>
  <c r="AH37" i="3"/>
  <c r="T37" i="3"/>
  <c r="AB37" i="3"/>
  <c r="AF37" i="3"/>
  <c r="V37" i="3"/>
  <c r="AV37" i="3"/>
  <c r="AY37" i="3"/>
  <c r="AO37" i="3"/>
  <c r="AM37" i="3"/>
  <c r="AZ37" i="3"/>
  <c r="AM36" i="3"/>
  <c r="AV36" i="3"/>
  <c r="AZ36" i="3"/>
  <c r="AO36" i="3"/>
  <c r="AY36" i="3"/>
  <c r="N38" i="3" l="1"/>
  <c r="D38" i="3"/>
  <c r="O38" i="3"/>
  <c r="F38" i="3"/>
  <c r="K38" i="3"/>
  <c r="K37" i="3"/>
  <c r="N37" i="3"/>
  <c r="F37" i="3"/>
  <c r="O37" i="3"/>
  <c r="D37" i="3"/>
  <c r="BA44" i="3" l="1"/>
  <c r="BC44" i="3" s="1"/>
  <c r="Y13" i="17" l="1"/>
  <c r="B4" i="8" a="1"/>
  <c r="B4" i="8" s="1"/>
  <c r="K5" i="21"/>
  <c r="R24" i="3" l="1"/>
  <c r="W24" i="3"/>
  <c r="H24" i="21"/>
  <c r="K24" i="21"/>
  <c r="J24" i="21"/>
  <c r="L24" i="21"/>
  <c r="P24" i="3"/>
  <c r="AA24" i="3"/>
  <c r="I24" i="21"/>
  <c r="P5" i="3"/>
  <c r="H5" i="21"/>
  <c r="L849" i="1"/>
  <c r="L816" i="1"/>
  <c r="L378" i="1"/>
  <c r="L916" i="1"/>
  <c r="L374" i="1"/>
  <c r="L852" i="1"/>
  <c r="L96" i="1"/>
  <c r="L687" i="1"/>
  <c r="L457" i="1"/>
  <c r="L747" i="1"/>
  <c r="L858" i="1"/>
  <c r="L258" i="1"/>
  <c r="L229" i="1"/>
  <c r="L952" i="1"/>
  <c r="L465" i="1"/>
  <c r="L656" i="1"/>
  <c r="L171" i="1"/>
  <c r="L590" i="1"/>
  <c r="L492" i="1"/>
  <c r="L40" i="1"/>
  <c r="L936" i="1"/>
  <c r="L103" i="1"/>
  <c r="L25" i="1"/>
  <c r="L515" i="1"/>
  <c r="L803" i="1"/>
  <c r="L770" i="1"/>
  <c r="L346" i="1"/>
  <c r="L571" i="1"/>
  <c r="L375" i="1"/>
  <c r="L461" i="1"/>
  <c r="L884" i="1"/>
  <c r="L763" i="1"/>
  <c r="L961" i="1"/>
  <c r="L931" i="1"/>
  <c r="L182" i="1"/>
  <c r="L130" i="1"/>
  <c r="L867" i="1"/>
  <c r="L181" i="1"/>
  <c r="L64" i="1"/>
  <c r="L553" i="1"/>
  <c r="L635" i="1"/>
  <c r="L925" i="1"/>
  <c r="L930" i="1"/>
  <c r="L484" i="1"/>
  <c r="L742" i="1"/>
  <c r="L33" i="1"/>
  <c r="L777" i="1"/>
  <c r="L74" i="1"/>
  <c r="L355" i="1"/>
  <c r="L694" i="1"/>
  <c r="L764" i="1"/>
  <c r="L1002" i="1"/>
  <c r="L143" i="1"/>
  <c r="L315" i="1"/>
  <c r="L601" i="1"/>
  <c r="L395" i="1"/>
  <c r="L26" i="1"/>
  <c r="L335" i="1"/>
  <c r="L460" i="1"/>
  <c r="L836" i="1"/>
  <c r="L8" i="1"/>
  <c r="L76" i="1"/>
  <c r="L210" i="1"/>
  <c r="L686" i="1"/>
  <c r="L238" i="1"/>
  <c r="L470" i="1"/>
  <c r="L776" i="1"/>
  <c r="L660" i="1"/>
  <c r="L673" i="1"/>
  <c r="L786" i="1"/>
  <c r="L365" i="1"/>
  <c r="L892" i="1"/>
  <c r="L65" i="1"/>
  <c r="L468" i="1"/>
  <c r="L773" i="1"/>
  <c r="L256" i="1"/>
  <c r="L981" i="1"/>
  <c r="L379" i="1"/>
  <c r="L736" i="1"/>
  <c r="L670" i="1"/>
  <c r="L177" i="1"/>
  <c r="L945" i="1"/>
  <c r="L759" i="1"/>
  <c r="L570" i="1"/>
  <c r="L917" i="1"/>
  <c r="L248" i="1"/>
  <c r="L662" i="1"/>
  <c r="L629" i="1"/>
  <c r="L205" i="1"/>
  <c r="L535" i="1"/>
  <c r="L351" i="1"/>
  <c r="L47" i="1"/>
  <c r="L637" i="1"/>
  <c r="L474" i="1"/>
  <c r="L302" i="1"/>
  <c r="L329" i="1"/>
  <c r="L794" i="1"/>
  <c r="L472" i="1"/>
  <c r="L453" i="1"/>
  <c r="L406" i="1"/>
  <c r="L211" i="1"/>
  <c r="L207" i="1"/>
  <c r="L451" i="1"/>
  <c r="L290" i="1"/>
  <c r="L170" i="1"/>
  <c r="L500" i="1"/>
  <c r="L739" i="1"/>
  <c r="L408" i="1"/>
  <c r="L22" i="1"/>
  <c r="L754" i="1"/>
  <c r="L218" i="1"/>
  <c r="L68" i="1"/>
  <c r="L648" i="1"/>
  <c r="L197" i="1"/>
  <c r="L540" i="1"/>
  <c r="L72" i="1"/>
  <c r="L138" i="1"/>
  <c r="L485" i="1"/>
  <c r="L947" i="1"/>
  <c r="L720" i="1"/>
  <c r="L972" i="1"/>
  <c r="L326" i="1"/>
  <c r="L12" i="1"/>
  <c r="L912" i="1"/>
  <c r="L611" i="1"/>
  <c r="L175" i="1"/>
  <c r="L880" i="1"/>
  <c r="L610" i="1"/>
  <c r="L834" i="1"/>
  <c r="L851" i="1"/>
  <c r="L168" i="1"/>
  <c r="L974" i="1"/>
  <c r="L172" i="1"/>
  <c r="L975" i="1"/>
  <c r="L458" i="1"/>
  <c r="L830" i="1"/>
  <c r="L704" i="1"/>
  <c r="L443" i="1"/>
  <c r="L204" i="1"/>
  <c r="L88" i="1"/>
  <c r="L357" i="1"/>
  <c r="L657" i="1"/>
  <c r="L989" i="1"/>
  <c r="L479" i="1"/>
  <c r="L958" i="1"/>
  <c r="L778" i="1"/>
  <c r="L111" i="1"/>
  <c r="L146" i="1"/>
  <c r="L504" i="1"/>
  <c r="L117" i="1"/>
  <c r="L16" i="1"/>
  <c r="L865" i="1"/>
  <c r="L63" i="1"/>
  <c r="L508" i="1"/>
  <c r="L324" i="1"/>
  <c r="L321" i="1"/>
  <c r="L114" i="1"/>
  <c r="L166" i="1"/>
  <c r="L801" i="1"/>
  <c r="L413" i="1"/>
  <c r="L448" i="1"/>
  <c r="L27" i="1"/>
  <c r="L53" i="1"/>
  <c r="L70" i="1"/>
  <c r="L956" i="1"/>
  <c r="L560" i="1"/>
  <c r="L292" i="1"/>
  <c r="L455" i="1"/>
  <c r="L769" i="1"/>
  <c r="L630" i="1"/>
  <c r="L797" i="1"/>
  <c r="L201" i="1"/>
  <c r="L906" i="1"/>
  <c r="L762" i="1"/>
  <c r="L188" i="1"/>
  <c r="L213" i="1"/>
  <c r="L943" i="1"/>
  <c r="L52" i="1"/>
  <c r="L92" i="1"/>
  <c r="L634" i="1"/>
  <c r="L87" i="1"/>
  <c r="L576" i="1"/>
  <c r="L701" i="1"/>
  <c r="L151" i="1"/>
  <c r="L128" i="1"/>
  <c r="L284" i="1"/>
  <c r="L340" i="1"/>
  <c r="L909" i="1"/>
  <c r="L655" i="1"/>
  <c r="L954" i="1"/>
  <c r="L19" i="1"/>
  <c r="L223" i="1"/>
  <c r="L261" i="1"/>
  <c r="L332" i="1"/>
  <c r="L270" i="1"/>
  <c r="L295" i="1"/>
  <c r="L871" i="1"/>
  <c r="L191" i="1"/>
  <c r="L868" i="1"/>
  <c r="L772" i="1"/>
  <c r="L56" i="1"/>
  <c r="L845" i="1"/>
  <c r="L813" i="1"/>
  <c r="L908" i="1"/>
  <c r="L51" i="1"/>
  <c r="L195" i="1"/>
  <c r="L483" i="1"/>
  <c r="L690" i="1"/>
  <c r="L987" i="1"/>
  <c r="L554" i="1"/>
  <c r="L437" i="1"/>
  <c r="L604" i="1"/>
  <c r="L708" i="1"/>
  <c r="L212" i="1"/>
  <c r="L996" i="1"/>
  <c r="L503" i="1"/>
  <c r="L609" i="1"/>
  <c r="L741" i="1"/>
  <c r="L55" i="1"/>
  <c r="L305" i="1"/>
  <c r="L550" i="1"/>
  <c r="L304" i="1"/>
  <c r="L968" i="1"/>
  <c r="L918" i="1"/>
  <c r="L311" i="1"/>
  <c r="L787" i="1"/>
  <c r="L870" i="1"/>
  <c r="L647" i="1"/>
  <c r="L164" i="1"/>
  <c r="L646" i="1"/>
  <c r="L401" i="1"/>
  <c r="L645" i="1"/>
  <c r="L522" i="1"/>
  <c r="L148" i="1"/>
  <c r="L558" i="1"/>
  <c r="L328" i="1"/>
  <c r="L820" i="1"/>
  <c r="L572" i="1"/>
  <c r="L825" i="1"/>
  <c r="L320" i="1"/>
  <c r="L583" i="1"/>
  <c r="L789" i="1"/>
  <c r="L244" i="1"/>
  <c r="L231" i="1"/>
  <c r="L313" i="1"/>
  <c r="L84" i="1"/>
  <c r="L110" i="1"/>
  <c r="L414" i="1"/>
  <c r="L824" i="1"/>
  <c r="L466" i="1"/>
  <c r="L382" i="1"/>
  <c r="L396" i="1"/>
  <c r="L18" i="1"/>
  <c r="L1001" i="1"/>
  <c r="L538" i="1"/>
  <c r="L89" i="1"/>
  <c r="L43" i="1"/>
  <c r="L17" i="1"/>
  <c r="L533" i="1"/>
  <c r="L277" i="1"/>
  <c r="L809" i="1"/>
  <c r="L919" i="1"/>
  <c r="L487" i="1"/>
  <c r="L992" i="1"/>
  <c r="L431" i="1"/>
  <c r="L179" i="1"/>
  <c r="L844" i="1"/>
  <c r="L685" i="1"/>
  <c r="L723" i="1"/>
  <c r="L336" i="1"/>
  <c r="L899" i="1"/>
  <c r="L456" i="1"/>
  <c r="L835" i="1"/>
  <c r="L80" i="1"/>
  <c r="L226" i="1"/>
  <c r="L356" i="1"/>
  <c r="L800" i="1"/>
  <c r="L924" i="1"/>
  <c r="L344" i="1"/>
  <c r="L11" i="1"/>
  <c r="L665" i="1"/>
  <c r="L35" i="1"/>
  <c r="L427" i="1"/>
  <c r="L259" i="1"/>
  <c r="L887" i="1"/>
  <c r="L463" i="1"/>
  <c r="L585" i="1"/>
  <c r="L254" i="1"/>
  <c r="L714" i="1"/>
  <c r="L221" i="1"/>
  <c r="L48" i="1"/>
  <c r="L822" i="1"/>
  <c r="L28" i="1"/>
  <c r="L441" i="1"/>
  <c r="L982" i="1"/>
  <c r="L475" i="1"/>
  <c r="L897" i="1"/>
  <c r="L403" i="1"/>
  <c r="L973" i="1"/>
  <c r="L262" i="1"/>
  <c r="L264" i="1"/>
  <c r="L516" i="1"/>
  <c r="L582" i="1"/>
  <c r="L217" i="1"/>
  <c r="L447" i="1"/>
  <c r="L643" i="1"/>
  <c r="L416" i="1"/>
  <c r="L578" i="1"/>
  <c r="L537" i="1"/>
  <c r="L722" i="1"/>
  <c r="L547" i="1"/>
  <c r="L934" i="1"/>
  <c r="L593" i="1"/>
  <c r="L806" i="1"/>
  <c r="L659" i="1"/>
  <c r="L361" i="1"/>
  <c r="L999" i="1"/>
  <c r="L298" i="1"/>
  <c r="L142" i="1"/>
  <c r="L579" i="1"/>
  <c r="L91" i="1"/>
  <c r="L841" i="1"/>
  <c r="L562" i="1"/>
  <c r="L812" i="1"/>
  <c r="L385" i="1"/>
  <c r="L765" i="1"/>
  <c r="L285" i="1"/>
  <c r="L476" i="1"/>
  <c r="L684" i="1"/>
  <c r="L799" i="1"/>
  <c r="L964" i="1"/>
  <c r="L293" i="1"/>
  <c r="L224" i="1"/>
  <c r="L702" i="1"/>
  <c r="L707" i="1"/>
  <c r="L588" i="1"/>
  <c r="L161" i="1"/>
  <c r="L920" i="1"/>
  <c r="L766" i="1"/>
  <c r="L994" i="1"/>
  <c r="L136" i="1"/>
  <c r="L287" i="1"/>
  <c r="L480" i="1"/>
  <c r="L639" i="1"/>
  <c r="L278" i="1"/>
  <c r="L366" i="1"/>
  <c r="L310" i="1"/>
  <c r="L325" i="1"/>
  <c r="L893" i="1"/>
  <c r="L106" i="1"/>
  <c r="L971" i="1"/>
  <c r="L266" i="1"/>
  <c r="L869" i="1"/>
  <c r="L412" i="1"/>
  <c r="L82" i="1"/>
  <c r="L131" i="1"/>
  <c r="L587" i="1"/>
  <c r="L337" i="1"/>
  <c r="L303" i="1"/>
  <c r="L966" i="1"/>
  <c r="L62" i="1"/>
  <c r="L60" i="1"/>
  <c r="L864" i="1"/>
  <c r="L169" i="1"/>
  <c r="L509" i="1"/>
  <c r="L384" i="1"/>
  <c r="L482" i="1"/>
  <c r="L478" i="1"/>
  <c r="L309" i="1"/>
  <c r="L402" i="1"/>
  <c r="L969" i="1"/>
  <c r="L980" i="1"/>
  <c r="L668" i="1"/>
  <c r="L768" i="1"/>
  <c r="L145" i="1"/>
  <c r="L651" i="1"/>
  <c r="L807" i="1"/>
  <c r="L875" i="1"/>
  <c r="L341" i="1"/>
  <c r="L911" i="1"/>
  <c r="L78" i="1"/>
  <c r="L545" i="1"/>
  <c r="L993" i="1"/>
  <c r="L788" i="1"/>
  <c r="L817" i="1"/>
  <c r="L528" i="1"/>
  <c r="L523" i="1"/>
  <c r="L711" i="1"/>
  <c r="L498" i="1"/>
  <c r="L347" i="1"/>
  <c r="L317" i="1"/>
  <c r="L322" i="1"/>
  <c r="L265" i="1"/>
  <c r="L544" i="1"/>
  <c r="L771" i="1"/>
  <c r="L881" i="1"/>
  <c r="L147" i="1"/>
  <c r="L251" i="1"/>
  <c r="L775" i="1"/>
  <c r="L882" i="1"/>
  <c r="L83" i="1"/>
  <c r="L676" i="1"/>
  <c r="L627" i="1"/>
  <c r="L653" i="1"/>
  <c r="L79" i="1"/>
  <c r="L10" i="1"/>
  <c r="B4" i="23" s="1" a="1"/>
  <c r="L216" i="1"/>
  <c r="L631" i="1"/>
  <c r="L791" i="1"/>
  <c r="L658" i="1"/>
  <c r="L663" i="1"/>
  <c r="L124" i="1"/>
  <c r="L895" i="1"/>
  <c r="L672" i="1"/>
  <c r="L915" i="1"/>
  <c r="L420" i="1"/>
  <c r="L644" i="1"/>
  <c r="L618" i="1"/>
  <c r="L121" i="1"/>
  <c r="L898" i="1"/>
  <c r="L363" i="1"/>
  <c r="L698" i="1"/>
  <c r="L913" i="1"/>
  <c r="L306" i="1"/>
  <c r="L486" i="1"/>
  <c r="L735" i="1"/>
  <c r="L505" i="1"/>
  <c r="L139" i="1"/>
  <c r="L202" i="1"/>
  <c r="L561" i="1"/>
  <c r="L712" i="1"/>
  <c r="L743" i="1"/>
  <c r="L389" i="1"/>
  <c r="L343" i="1"/>
  <c r="L847" i="1"/>
  <c r="L445" i="1"/>
  <c r="L192" i="1"/>
  <c r="L883" i="1"/>
  <c r="L605" i="1"/>
  <c r="L649" i="1"/>
  <c r="L185" i="1"/>
  <c r="L732" i="1"/>
  <c r="L415" i="1"/>
  <c r="L725" i="1"/>
  <c r="L513" i="1"/>
  <c r="L199" i="1"/>
  <c r="L499" i="1"/>
  <c r="L156" i="1"/>
  <c r="L235" i="1"/>
  <c r="L122" i="1"/>
  <c r="L521" i="1"/>
  <c r="L727" i="1"/>
  <c r="L783" i="1"/>
  <c r="L603" i="1"/>
  <c r="L353" i="1"/>
  <c r="L318" i="1"/>
  <c r="L524" i="1"/>
  <c r="L613" i="1"/>
  <c r="L198" i="1"/>
  <c r="L495" i="1"/>
  <c r="L274" i="1"/>
  <c r="L112" i="1"/>
  <c r="L696" i="1"/>
  <c r="L162" i="1"/>
  <c r="L542" i="1"/>
  <c r="L573" i="1"/>
  <c r="L829" i="1"/>
  <c r="L178" i="1"/>
  <c r="L901" i="1"/>
  <c r="L176" i="1"/>
  <c r="L671" i="1"/>
  <c r="L726" i="1"/>
  <c r="L272" i="1"/>
  <c r="L113" i="1"/>
  <c r="L433" i="1"/>
  <c r="L116" i="1"/>
  <c r="L962" i="1"/>
  <c r="L827" i="1"/>
  <c r="L923" i="1"/>
  <c r="L281" i="1"/>
  <c r="L154" i="1"/>
  <c r="L879" i="1"/>
  <c r="L693" i="1"/>
  <c r="L748" i="1"/>
  <c r="L417" i="1"/>
  <c r="L237" i="1"/>
  <c r="L695" i="1"/>
  <c r="L245" i="1"/>
  <c r="L624" i="1"/>
  <c r="L383" i="1"/>
  <c r="L81" i="1"/>
  <c r="L442" i="1"/>
  <c r="L529" i="1"/>
  <c r="L425" i="1"/>
  <c r="L31" i="1"/>
  <c r="L330" i="1"/>
  <c r="L589" i="1"/>
  <c r="L559" i="1"/>
  <c r="L93" i="1"/>
  <c r="L38" i="1"/>
  <c r="L488" i="1"/>
  <c r="L243" i="1"/>
  <c r="L569" i="1"/>
  <c r="L683" i="1"/>
  <c r="L29" i="1"/>
  <c r="L153" i="1"/>
  <c r="L944" i="1"/>
  <c r="L793" i="1"/>
  <c r="L429" i="1"/>
  <c r="L792" i="1"/>
  <c r="L66" i="1"/>
  <c r="L398" i="1"/>
  <c r="L719" i="1"/>
  <c r="L689" i="1"/>
  <c r="L946" i="1"/>
  <c r="L718" i="1"/>
  <c r="L267" i="1"/>
  <c r="L496" i="1"/>
  <c r="L888" i="1"/>
  <c r="L938" i="1"/>
  <c r="L157" i="1"/>
  <c r="L941" i="1"/>
  <c r="L307" i="1"/>
  <c r="L781" i="1"/>
  <c r="L717" i="1"/>
  <c r="L543" i="1"/>
  <c r="L859" i="1"/>
  <c r="L988" i="1"/>
  <c r="L706" i="1"/>
  <c r="L268" i="1"/>
  <c r="L497" i="1"/>
  <c r="L935" i="1"/>
  <c r="L874" i="1"/>
  <c r="L854" i="1"/>
  <c r="L539" i="1"/>
  <c r="L877" i="1"/>
  <c r="L517" i="1"/>
  <c r="L214" i="1"/>
  <c r="L779" i="1"/>
  <c r="L914" i="1"/>
  <c r="L422" i="1"/>
  <c r="L257" i="1"/>
  <c r="L59" i="1"/>
  <c r="L710" i="1"/>
  <c r="L36" i="1"/>
  <c r="L300" i="1"/>
  <c r="L940" i="1"/>
  <c r="L978" i="1"/>
  <c r="L276" i="1"/>
  <c r="L808" i="1"/>
  <c r="L991" i="1"/>
  <c r="L450" i="1"/>
  <c r="L638" i="1"/>
  <c r="L120" i="1"/>
  <c r="L255" i="1"/>
  <c r="L921" i="1"/>
  <c r="L837" i="1"/>
  <c r="L209" i="1"/>
  <c r="L885" i="1"/>
  <c r="L876" i="1"/>
  <c r="L1003" i="1"/>
  <c r="L625" i="1"/>
  <c r="L705" i="1"/>
  <c r="L633" i="1"/>
  <c r="L228" i="1"/>
  <c r="L249" i="1"/>
  <c r="L381" i="1"/>
  <c r="L140" i="1"/>
  <c r="L614" i="1"/>
  <c r="L721" i="1"/>
  <c r="L519" i="1"/>
  <c r="L838" i="1"/>
  <c r="L150" i="1"/>
  <c r="L94" i="1"/>
  <c r="L564" i="1"/>
  <c r="L426" i="1"/>
  <c r="L678" i="1"/>
  <c r="L782" i="1"/>
  <c r="L390" i="1"/>
  <c r="L174" i="1"/>
  <c r="L126" i="1"/>
  <c r="L358" i="1"/>
  <c r="L301" i="1"/>
  <c r="L454" i="1"/>
  <c r="L275" i="1"/>
  <c r="L857" i="1"/>
  <c r="L13" i="1"/>
  <c r="B4" i="12" s="1" a="1"/>
  <c r="L288" i="1"/>
  <c r="L54" i="1"/>
  <c r="L900" i="1"/>
  <c r="L654" i="1"/>
  <c r="L850" i="1"/>
  <c r="L421" i="1"/>
  <c r="L380" i="1"/>
  <c r="L280" i="1"/>
  <c r="L423" i="1"/>
  <c r="L467" i="1"/>
  <c r="L67" i="1"/>
  <c r="L411" i="1"/>
  <c r="L387" i="1"/>
  <c r="L976" i="1"/>
  <c r="L208" i="1"/>
  <c r="L386" i="1"/>
  <c r="L751" i="1"/>
  <c r="L39" i="1"/>
  <c r="L677" i="1"/>
  <c r="L626" i="1"/>
  <c r="L158" i="1"/>
  <c r="L49" i="1"/>
  <c r="L364" i="1"/>
  <c r="L167" i="1"/>
  <c r="L810" i="1"/>
  <c r="L359" i="1"/>
  <c r="L756" i="1"/>
  <c r="L826" i="1"/>
  <c r="L50" i="1"/>
  <c r="L842" i="1"/>
  <c r="L933" i="1"/>
  <c r="L757" i="1"/>
  <c r="L697" i="1"/>
  <c r="L574" i="1"/>
  <c r="L263" i="1"/>
  <c r="L878" i="1"/>
  <c r="L811" i="1"/>
  <c r="L236" i="1"/>
  <c r="L866" i="1"/>
  <c r="L805" i="1"/>
  <c r="L815" i="1"/>
  <c r="L970" i="1"/>
  <c r="L746" i="1"/>
  <c r="L393" i="1"/>
  <c r="L501" i="1"/>
  <c r="L97" i="1"/>
  <c r="L493" i="1"/>
  <c r="L575" i="1"/>
  <c r="L418" i="1"/>
  <c r="L440" i="1"/>
  <c r="L371" i="1"/>
  <c r="L729" i="1"/>
  <c r="L241" i="1"/>
  <c r="L753" i="1"/>
  <c r="L586" i="1"/>
  <c r="L362" i="1"/>
  <c r="L118" i="1"/>
  <c r="L391" i="1"/>
  <c r="L141" i="1"/>
  <c r="L551" i="1"/>
  <c r="L24" i="1"/>
  <c r="L532" i="1"/>
  <c r="L253" i="1"/>
  <c r="L294" i="1"/>
  <c r="L502" i="1"/>
  <c r="L780" i="1"/>
  <c r="L995" i="1"/>
  <c r="L960" i="1"/>
  <c r="L95" i="1"/>
  <c r="L462" i="1"/>
  <c r="L291" i="1"/>
  <c r="L137" i="1"/>
  <c r="L377" i="1"/>
  <c r="L125" i="1"/>
  <c r="L471" i="1"/>
  <c r="L896" i="1"/>
  <c r="L546" i="1"/>
  <c r="L388" i="1"/>
  <c r="L700" i="1"/>
  <c r="L34" i="1"/>
  <c r="L623" i="1"/>
  <c r="L296" i="1"/>
  <c r="L703" i="1"/>
  <c r="L749" i="1"/>
  <c r="L713" i="1"/>
  <c r="L530" i="1"/>
  <c r="L494" i="1"/>
  <c r="L903" i="1"/>
  <c r="L737" i="1"/>
  <c r="L286" i="1"/>
  <c r="L856" i="1"/>
  <c r="L424" i="1"/>
  <c r="L664" i="1"/>
  <c r="L728" i="1"/>
  <c r="L709" i="1"/>
  <c r="L350" i="1"/>
  <c r="L507" i="1"/>
  <c r="L963" i="1"/>
  <c r="L661" i="1"/>
  <c r="L730" i="1"/>
  <c r="L58" i="1"/>
  <c r="L602" i="1"/>
  <c r="L193" i="1"/>
  <c r="L252" i="1"/>
  <c r="L316" i="1"/>
  <c r="L233" i="1"/>
  <c r="L873" i="1"/>
  <c r="L688" i="1"/>
  <c r="L577" i="1"/>
  <c r="L595" i="1"/>
  <c r="L691" i="1"/>
  <c r="L400" i="1"/>
  <c r="L652" i="1"/>
  <c r="L250" i="1"/>
  <c r="L368" i="1"/>
  <c r="L104" i="1"/>
  <c r="L902" i="1"/>
  <c r="L90" i="1"/>
  <c r="L855" i="1"/>
  <c r="L373" i="1"/>
  <c r="L194" i="1"/>
  <c r="L750" i="1"/>
  <c r="L929" i="1"/>
  <c r="L650" i="1"/>
  <c r="L71" i="1"/>
  <c r="L399" i="1"/>
  <c r="L163" i="1"/>
  <c r="L600" i="1"/>
  <c r="L297" i="1"/>
  <c r="L518" i="1"/>
  <c r="L189" i="1"/>
  <c r="L612" i="1"/>
  <c r="L636" i="1"/>
  <c r="L979" i="1"/>
  <c r="L731" i="1"/>
  <c r="L937" i="1"/>
  <c r="L186" i="1"/>
  <c r="L85" i="1"/>
  <c r="L557" i="1"/>
  <c r="L823" i="1"/>
  <c r="L155" i="1"/>
  <c r="L926" i="1"/>
  <c r="L591" i="1"/>
  <c r="L814" i="1"/>
  <c r="L998" i="1"/>
  <c r="L922" i="1"/>
  <c r="L983" i="1"/>
  <c r="L21" i="1"/>
  <c r="L802" i="1"/>
  <c r="L861" i="1"/>
  <c r="L755" i="1"/>
  <c r="L795" i="1"/>
  <c r="L959" i="1"/>
  <c r="L331" i="1"/>
  <c r="L724" i="1"/>
  <c r="L796" i="1"/>
  <c r="L744" i="1"/>
  <c r="L520" i="1"/>
  <c r="L184" i="1"/>
  <c r="L607" i="1"/>
  <c r="L349" i="1"/>
  <c r="L464" i="1"/>
  <c r="L180" i="1"/>
  <c r="L42" i="1"/>
  <c r="L597" i="1"/>
  <c r="L269" i="1"/>
  <c r="L599" i="1"/>
  <c r="L99" i="1"/>
  <c r="L745" i="1"/>
  <c r="L997" i="1"/>
  <c r="L862" i="1"/>
  <c r="L641" i="1"/>
  <c r="L990" i="1"/>
  <c r="L984" i="1"/>
  <c r="L840" i="1"/>
  <c r="L839" i="1"/>
  <c r="L134" i="1"/>
  <c r="L438" i="1"/>
  <c r="L598" i="1"/>
  <c r="L123" i="1"/>
  <c r="L367" i="1"/>
  <c r="L566" i="1"/>
  <c r="L46" i="1"/>
  <c r="L200" i="1"/>
  <c r="L369" i="1"/>
  <c r="L75" i="1"/>
  <c r="L312" i="1"/>
  <c r="L348" i="1"/>
  <c r="L242" i="1"/>
  <c r="L506" i="1"/>
  <c r="L1000" i="1"/>
  <c r="L430" i="1"/>
  <c r="L444" i="1"/>
  <c r="L61" i="1"/>
  <c r="L536" i="1"/>
  <c r="L552" i="1"/>
  <c r="L354" i="1"/>
  <c r="L953" i="1"/>
  <c r="L127" i="1"/>
  <c r="L240" i="1"/>
  <c r="L955" i="1"/>
  <c r="L376" i="1"/>
  <c r="L30" i="1"/>
  <c r="L932" i="1"/>
  <c r="L818" i="1"/>
  <c r="L511" i="1"/>
  <c r="L107" i="1"/>
  <c r="L239" i="1"/>
  <c r="L308" i="1"/>
  <c r="L220" i="1"/>
  <c r="L435" i="1"/>
  <c r="L568" i="1"/>
  <c r="L283" i="1"/>
  <c r="L608" i="1"/>
  <c r="L225" i="1"/>
  <c r="L101" i="1"/>
  <c r="L580" i="1"/>
  <c r="L541" i="1"/>
  <c r="L282" i="1"/>
  <c r="L410" i="1"/>
  <c r="L619" i="1"/>
  <c r="L271" i="1"/>
  <c r="L289" i="1"/>
  <c r="L260" i="1"/>
  <c r="L939" i="1"/>
  <c r="L565" i="1"/>
  <c r="L715" i="1"/>
  <c r="L452" i="1"/>
  <c r="L73" i="1"/>
  <c r="L831" i="1"/>
  <c r="L512" i="1"/>
  <c r="L490" i="1"/>
  <c r="L152" i="1"/>
  <c r="L215" i="1"/>
  <c r="L232" i="1"/>
  <c r="L323" i="1"/>
  <c r="L45" i="1"/>
  <c r="L965" i="1"/>
  <c r="L949" i="1"/>
  <c r="L674" i="1"/>
  <c r="L596" i="1"/>
  <c r="L129" i="1"/>
  <c r="L821" i="1"/>
  <c r="L526" i="1"/>
  <c r="L102" i="1"/>
  <c r="L409" i="1"/>
  <c r="L525" i="1"/>
  <c r="L334" i="1"/>
  <c r="L894" i="1"/>
  <c r="L872" i="1"/>
  <c r="L977" i="1"/>
  <c r="L149" i="1"/>
  <c r="L135" i="1"/>
  <c r="L100" i="1"/>
  <c r="L761" i="1"/>
  <c r="L860" i="1"/>
  <c r="L37" i="1"/>
  <c r="L247" i="1"/>
  <c r="L119" i="1"/>
  <c r="L951" i="1"/>
  <c r="L738" i="1"/>
  <c r="L682" i="1"/>
  <c r="L948" i="1"/>
  <c r="L360" i="1"/>
  <c r="L338" i="1"/>
  <c r="L339" i="1"/>
  <c r="L594" i="1"/>
  <c r="L534" i="1"/>
  <c r="L581" i="1"/>
  <c r="L531" i="1"/>
  <c r="L927" i="1"/>
  <c r="L853" i="1"/>
  <c r="L105" i="1"/>
  <c r="L617" i="1"/>
  <c r="L514" i="1"/>
  <c r="L928" i="1"/>
  <c r="L669" i="1"/>
  <c r="L752" i="1"/>
  <c r="L790" i="1"/>
  <c r="L115" i="1"/>
  <c r="L904" i="1"/>
  <c r="L774" i="1"/>
  <c r="L628" i="1"/>
  <c r="L957" i="1"/>
  <c r="L222" i="1"/>
  <c r="L20" i="1"/>
  <c r="L556" i="1"/>
  <c r="L681" i="1"/>
  <c r="L784" i="1"/>
  <c r="L342" i="1"/>
  <c r="L15" i="1"/>
  <c r="L405" i="1"/>
  <c r="L98" i="1"/>
  <c r="L370" i="1"/>
  <c r="L436" i="1"/>
  <c r="L967" i="1"/>
  <c r="L227" i="1"/>
  <c r="L190" i="1"/>
  <c r="L69" i="1"/>
  <c r="L133" i="1"/>
  <c r="L7" i="1"/>
  <c r="L890" i="1"/>
  <c r="L230" i="1"/>
  <c r="L848" i="1"/>
  <c r="L785" i="1"/>
  <c r="L187" i="1"/>
  <c r="L407" i="1"/>
  <c r="L640" i="1"/>
  <c r="L767" i="1"/>
  <c r="L491" i="1"/>
  <c r="L567" i="1"/>
  <c r="L632" i="1"/>
  <c r="L886" i="1"/>
  <c r="L14" i="1"/>
  <c r="L132" i="1"/>
  <c r="L273" i="1"/>
  <c r="L679" i="1"/>
  <c r="L548" i="1"/>
  <c r="L404" i="1"/>
  <c r="L680" i="1"/>
  <c r="L397" i="1"/>
  <c r="L621" i="1"/>
  <c r="L832" i="1"/>
  <c r="L986" i="1"/>
  <c r="L108" i="1"/>
  <c r="L798" i="1"/>
  <c r="L675" i="1"/>
  <c r="L9" i="1"/>
  <c r="B4" i="5" s="1" a="1"/>
  <c r="L942" i="1"/>
  <c r="L985" i="1"/>
  <c r="L477" i="1"/>
  <c r="L333" i="1"/>
  <c r="L299" i="1"/>
  <c r="L109" i="1"/>
  <c r="L716" i="1"/>
  <c r="L206" i="1"/>
  <c r="L907" i="1"/>
  <c r="L481" i="1"/>
  <c r="L314" i="1"/>
  <c r="L432" i="1"/>
  <c r="L584" i="1"/>
  <c r="L160" i="1"/>
  <c r="L449" i="1"/>
  <c r="L740" i="1"/>
  <c r="L549" i="1"/>
  <c r="L846" i="1"/>
  <c r="L489" i="1"/>
  <c r="L833" i="1"/>
  <c r="L219" i="1"/>
  <c r="L758" i="1"/>
  <c r="L428" i="1"/>
  <c r="L372" i="1"/>
  <c r="L804" i="1"/>
  <c r="L203" i="1"/>
  <c r="L439" i="1"/>
  <c r="L352" i="1"/>
  <c r="L891" i="1"/>
  <c r="L394" i="1"/>
  <c r="L760" i="1"/>
  <c r="L434" i="1"/>
  <c r="L345" i="1"/>
  <c r="L733" i="1"/>
  <c r="L234" i="1"/>
  <c r="L592" i="1"/>
  <c r="L86" i="1"/>
  <c r="L196" i="1"/>
  <c r="L863" i="1"/>
  <c r="L819" i="1"/>
  <c r="L459" i="1"/>
  <c r="L23" i="1"/>
  <c r="L279" i="1"/>
  <c r="L446" i="1"/>
  <c r="L699" i="1"/>
  <c r="L510" i="1"/>
  <c r="L616" i="1"/>
  <c r="L622" i="1"/>
  <c r="L41" i="1"/>
  <c r="L615" i="1"/>
  <c r="L392" i="1"/>
  <c r="L843" i="1"/>
  <c r="L77" i="1"/>
  <c r="L469" i="1"/>
  <c r="L183" i="1"/>
  <c r="L734" i="1"/>
  <c r="L666" i="1"/>
  <c r="L828" i="1"/>
  <c r="L165" i="1"/>
  <c r="L527" i="1"/>
  <c r="L889" i="1"/>
  <c r="L32" i="1"/>
  <c r="L950" i="1"/>
  <c r="L620" i="1"/>
  <c r="L667" i="1"/>
  <c r="L57" i="1"/>
  <c r="L692" i="1"/>
  <c r="L473" i="1"/>
  <c r="L319" i="1"/>
  <c r="L563" i="1"/>
  <c r="L642" i="1"/>
  <c r="L606" i="1"/>
  <c r="L905" i="1"/>
  <c r="L44" i="1"/>
  <c r="L327" i="1"/>
  <c r="L173" i="1"/>
  <c r="L910" i="1"/>
  <c r="L555" i="1"/>
  <c r="L246" i="1"/>
  <c r="L419" i="1"/>
  <c r="L159" i="1"/>
  <c r="L144" i="1"/>
  <c r="N10" i="3" l="1"/>
  <c r="E5" i="3"/>
  <c r="E5" i="21"/>
  <c r="N5" i="3"/>
  <c r="B4" i="5"/>
  <c r="D5" i="21"/>
  <c r="C5" i="21"/>
  <c r="F5" i="21"/>
  <c r="J5" i="3"/>
  <c r="B30" i="13" a="1"/>
  <c r="B4" i="9" a="1"/>
  <c r="B4" i="13" a="1"/>
  <c r="B4" i="16" a="1"/>
  <c r="AE23" i="3"/>
  <c r="AJ23" i="3"/>
  <c r="AN23" i="3"/>
  <c r="O23" i="21"/>
  <c r="B4" i="12"/>
  <c r="Q23" i="21"/>
  <c r="R23" i="21"/>
  <c r="P23" i="21"/>
  <c r="J5" i="22"/>
  <c r="H5" i="22"/>
  <c r="E5" i="22"/>
  <c r="B4" i="23"/>
  <c r="C5" i="22" s="1"/>
  <c r="B4" i="11" a="1"/>
  <c r="AE15" i="3" s="1"/>
  <c r="B17" i="13" a="1"/>
  <c r="L6" i="1"/>
  <c r="L23" i="21" l="1"/>
  <c r="W23" i="3"/>
  <c r="I23" i="21"/>
  <c r="AA23" i="3"/>
  <c r="R23" i="3"/>
  <c r="K23" i="21"/>
  <c r="B4" i="9"/>
  <c r="J23" i="21"/>
  <c r="AC23" i="3"/>
  <c r="N23" i="21"/>
  <c r="B4" i="13"/>
  <c r="AR5" i="3" s="1"/>
  <c r="AT5" i="3"/>
  <c r="AY5" i="3"/>
  <c r="BC5" i="3"/>
  <c r="AA16" i="3"/>
  <c r="W16" i="3"/>
  <c r="AA15" i="3"/>
  <c r="R16" i="3"/>
  <c r="I16" i="21"/>
  <c r="W15" i="3"/>
  <c r="L15" i="21"/>
  <c r="P16" i="3"/>
  <c r="K15" i="21"/>
  <c r="R15" i="3"/>
  <c r="L16" i="21"/>
  <c r="H16" i="21"/>
  <c r="I15" i="21"/>
  <c r="J16" i="21"/>
  <c r="J15" i="21"/>
  <c r="B4" i="16"/>
  <c r="K16" i="21"/>
  <c r="B30" i="13"/>
  <c r="AR21" i="3" s="1"/>
  <c r="BC21" i="3"/>
  <c r="AT21" i="3"/>
  <c r="AY21" i="3"/>
  <c r="C5" i="3"/>
  <c r="B5" i="21"/>
  <c r="P15" i="21"/>
  <c r="AN15" i="3"/>
  <c r="O15" i="21"/>
  <c r="R15" i="21"/>
  <c r="B4" i="11"/>
  <c r="N15" i="21" s="1"/>
  <c r="AJ15" i="3"/>
  <c r="B17" i="13"/>
  <c r="AR13" i="3" s="1"/>
  <c r="AY13" i="3"/>
  <c r="BC13" i="3"/>
  <c r="AT13" i="3"/>
  <c r="Q15" i="21"/>
  <c r="B4" i="7" a="1"/>
  <c r="B4" i="15" a="1"/>
  <c r="B4" i="29" s="1" a="1"/>
  <c r="Z5" i="29" l="1"/>
  <c r="V4" i="29"/>
  <c r="B4" i="29"/>
  <c r="P15" i="3"/>
  <c r="H15" i="21"/>
  <c r="H23" i="21"/>
  <c r="P23" i="3"/>
  <c r="B4" i="28" a="1"/>
  <c r="B4" i="26" a="1"/>
  <c r="B4" i="27" a="1"/>
  <c r="AC15" i="3"/>
  <c r="B4" i="24" a="1"/>
  <c r="B4" i="25" a="1"/>
  <c r="B4" i="17" a="1"/>
  <c r="E24" i="21"/>
  <c r="F24" i="21"/>
  <c r="N24" i="3"/>
  <c r="E24" i="3"/>
  <c r="C24" i="21"/>
  <c r="C24" i="3"/>
  <c r="D24" i="21"/>
  <c r="J24" i="3"/>
  <c r="B24" i="21"/>
  <c r="B4" i="15"/>
  <c r="B4" i="7"/>
  <c r="N23" i="3"/>
  <c r="C23" i="21"/>
  <c r="E23" i="3"/>
  <c r="E23" i="21"/>
  <c r="J23" i="3"/>
  <c r="D23" i="21"/>
  <c r="F23" i="21"/>
  <c r="AA4" i="29" l="1"/>
  <c r="Y4" i="29"/>
  <c r="Z4" i="29"/>
  <c r="AF34" i="29" s="1" a="1"/>
  <c r="W4" i="29"/>
  <c r="X4" i="29"/>
  <c r="AF19" i="29" a="1"/>
  <c r="AF19" i="29" s="1"/>
  <c r="T64" i="3" s="1"/>
  <c r="AF4" i="29" a="1"/>
  <c r="AF4" i="29" s="1"/>
  <c r="D64" i="3" s="1"/>
  <c r="V9" i="27"/>
  <c r="V4" i="27"/>
  <c r="Z5" i="27"/>
  <c r="B4" i="27"/>
  <c r="V5" i="27"/>
  <c r="Y5" i="27"/>
  <c r="W5" i="27"/>
  <c r="X5" i="27"/>
  <c r="AA5" i="27"/>
  <c r="V9" i="26"/>
  <c r="V5" i="26"/>
  <c r="X5" i="26"/>
  <c r="AA5" i="26"/>
  <c r="W5" i="26"/>
  <c r="B4" i="26"/>
  <c r="Y5" i="26"/>
  <c r="V4" i="26"/>
  <c r="Z5" i="26"/>
  <c r="V9" i="28"/>
  <c r="W5" i="28"/>
  <c r="AA5" i="28"/>
  <c r="Y5" i="28"/>
  <c r="V4" i="28"/>
  <c r="V5" i="28"/>
  <c r="X5" i="28"/>
  <c r="Z5" i="28"/>
  <c r="B4" i="28"/>
  <c r="Z6" i="25"/>
  <c r="Y6" i="25"/>
  <c r="AA6" i="25"/>
  <c r="V6" i="25"/>
  <c r="W6" i="25"/>
  <c r="X6" i="25"/>
  <c r="V9" i="25"/>
  <c r="Y5" i="25"/>
  <c r="B4" i="25"/>
  <c r="V4" i="25"/>
  <c r="AA5" i="25"/>
  <c r="V5" i="25"/>
  <c r="X5" i="25"/>
  <c r="Z5" i="25"/>
  <c r="W5" i="25"/>
  <c r="W8" i="24"/>
  <c r="AA6" i="24"/>
  <c r="Z5" i="24"/>
  <c r="B4" i="24"/>
  <c r="Y6" i="24"/>
  <c r="V5" i="24"/>
  <c r="X5" i="24"/>
  <c r="W6" i="24"/>
  <c r="AA5" i="24"/>
  <c r="X6" i="24"/>
  <c r="W5" i="24"/>
  <c r="V6" i="24"/>
  <c r="V4" i="24"/>
  <c r="Y5" i="24"/>
  <c r="Z6" i="24"/>
  <c r="AA9" i="17"/>
  <c r="X9" i="17"/>
  <c r="Y9" i="17"/>
  <c r="V9" i="17"/>
  <c r="W9" i="17"/>
  <c r="Z9" i="17"/>
  <c r="AA8" i="17"/>
  <c r="V8" i="17"/>
  <c r="Z8" i="17"/>
  <c r="X8" i="17"/>
  <c r="W8" i="17"/>
  <c r="Y8" i="17"/>
  <c r="AA5" i="17"/>
  <c r="AA6" i="17"/>
  <c r="AA7" i="17"/>
  <c r="Z7" i="17"/>
  <c r="W7" i="17"/>
  <c r="V7" i="17"/>
  <c r="X7" i="17"/>
  <c r="Y7" i="17"/>
  <c r="B4" i="17"/>
  <c r="AA4" i="17" s="1"/>
  <c r="X6" i="17"/>
  <c r="V6" i="17"/>
  <c r="Y6" i="17"/>
  <c r="Z6" i="17"/>
  <c r="W6" i="17"/>
  <c r="Z5" i="17"/>
  <c r="V5" i="17"/>
  <c r="V4" i="17"/>
  <c r="Y5" i="17"/>
  <c r="W5" i="17"/>
  <c r="X5" i="17"/>
  <c r="B23" i="21"/>
  <c r="C23" i="3"/>
  <c r="AV64" i="3" l="1"/>
  <c r="AO64" i="3"/>
  <c r="AI45" i="29"/>
  <c r="AF34" i="29"/>
  <c r="AM64" i="3" s="1"/>
  <c r="AZ64" i="3"/>
  <c r="BA64" i="3" s="1"/>
  <c r="BC64" i="3" s="1"/>
  <c r="AY64" i="3"/>
  <c r="W4" i="28"/>
  <c r="AF19" i="28" s="1" a="1"/>
  <c r="AA4" i="28"/>
  <c r="X4" i="28"/>
  <c r="Z4" i="28"/>
  <c r="Y4" i="28"/>
  <c r="Y4" i="27"/>
  <c r="Z4" i="27"/>
  <c r="AA4" i="27"/>
  <c r="X4" i="27"/>
  <c r="W4" i="27"/>
  <c r="AF4" i="27" s="1" a="1"/>
  <c r="AF4" i="28" a="1"/>
  <c r="AF4" i="28" s="1"/>
  <c r="D59" i="3" s="1"/>
  <c r="AF34" i="28" a="1"/>
  <c r="AF19" i="26" a="1"/>
  <c r="AF34" i="26" a="1"/>
  <c r="AF34" i="26" s="1"/>
  <c r="AM49" i="3" s="1"/>
  <c r="W4" i="26"/>
  <c r="X4" i="26"/>
  <c r="Z4" i="26"/>
  <c r="Y4" i="26"/>
  <c r="AA4" i="26"/>
  <c r="AF34" i="27" a="1"/>
  <c r="AF34" i="27" s="1"/>
  <c r="AM54" i="3" s="1"/>
  <c r="AF19" i="27" a="1"/>
  <c r="AF34" i="25" a="1"/>
  <c r="AA4" i="25"/>
  <c r="Z4" i="25"/>
  <c r="X4" i="25"/>
  <c r="W4" i="25"/>
  <c r="AF19" i="25" s="1" a="1"/>
  <c r="Y4" i="25"/>
  <c r="AF4" i="25" s="1" a="1"/>
  <c r="X4" i="24"/>
  <c r="Z4" i="24"/>
  <c r="AA4" i="24"/>
  <c r="W4" i="24"/>
  <c r="Y4" i="24"/>
  <c r="AF34" i="24" a="1"/>
  <c r="AF4" i="24" a="1"/>
  <c r="AF4" i="24" s="1"/>
  <c r="D39" i="3" s="1"/>
  <c r="AF19" i="24" a="1"/>
  <c r="Z4" i="17"/>
  <c r="X4" i="17"/>
  <c r="W4" i="17"/>
  <c r="Y4" i="17"/>
  <c r="AF19" i="17" a="1"/>
  <c r="AF34" i="17" a="1"/>
  <c r="O54" i="3" l="1"/>
  <c r="Q54" i="3" s="1"/>
  <c r="K54" i="3"/>
  <c r="N54" i="3"/>
  <c r="F54" i="3"/>
  <c r="AH49" i="3"/>
  <c r="AI49" i="3" s="1"/>
  <c r="AF49" i="3"/>
  <c r="AB49" i="3"/>
  <c r="V49" i="3"/>
  <c r="AY59" i="3"/>
  <c r="AV59" i="3"/>
  <c r="AO59" i="3"/>
  <c r="AZ59" i="3"/>
  <c r="BA59" i="3" s="1"/>
  <c r="V45" i="3"/>
  <c r="T45" i="3"/>
  <c r="AF45" i="3"/>
  <c r="AH45" i="3"/>
  <c r="AH44" i="3"/>
  <c r="AF44" i="3"/>
  <c r="AB44" i="3"/>
  <c r="V44" i="3"/>
  <c r="AB45" i="3"/>
  <c r="AH54" i="3"/>
  <c r="AI54" i="3" s="1"/>
  <c r="AF54" i="3"/>
  <c r="AB54" i="3"/>
  <c r="V54" i="3"/>
  <c r="AH59" i="3"/>
  <c r="AI59" i="3" s="1"/>
  <c r="AF59" i="3"/>
  <c r="AB59" i="3"/>
  <c r="V59" i="3"/>
  <c r="AF4" i="26" a="1"/>
  <c r="AF4" i="27"/>
  <c r="D54" i="3" s="1"/>
  <c r="AI15" i="27"/>
  <c r="AI45" i="28"/>
  <c r="AF34" i="28"/>
  <c r="AM59" i="3" s="1"/>
  <c r="AI30" i="28"/>
  <c r="AF19" i="28"/>
  <c r="T59" i="3" s="1"/>
  <c r="AI30" i="27"/>
  <c r="AF19" i="27"/>
  <c r="T54" i="3" s="1"/>
  <c r="AI30" i="26"/>
  <c r="AF19" i="26"/>
  <c r="T49" i="3" s="1"/>
  <c r="N44" i="3"/>
  <c r="K44" i="3"/>
  <c r="O44" i="3"/>
  <c r="AF4" i="25"/>
  <c r="D44" i="3" s="1"/>
  <c r="F44" i="3"/>
  <c r="AI15" i="25"/>
  <c r="AF4" i="17" a="1"/>
  <c r="F34" i="3" s="1"/>
  <c r="AF34" i="25"/>
  <c r="AM44" i="3" s="1"/>
  <c r="AI45" i="25"/>
  <c r="AI30" i="24"/>
  <c r="V40" i="3"/>
  <c r="AB40" i="3"/>
  <c r="AF40" i="3"/>
  <c r="T40" i="3"/>
  <c r="AH40" i="3"/>
  <c r="AH39" i="3"/>
  <c r="AF39" i="3"/>
  <c r="AB39" i="3"/>
  <c r="V39" i="3"/>
  <c r="AF19" i="24"/>
  <c r="T39" i="3" s="1"/>
  <c r="AY39" i="3"/>
  <c r="AZ39" i="3"/>
  <c r="BA39" i="3" s="1"/>
  <c r="AV39" i="3"/>
  <c r="AO39" i="3"/>
  <c r="AI45" i="24"/>
  <c r="AF34" i="24"/>
  <c r="AM39" i="3" s="1"/>
  <c r="AI30" i="25"/>
  <c r="AF19" i="25"/>
  <c r="T44" i="3" s="1"/>
  <c r="AF34" i="17"/>
  <c r="AM34" i="3" s="1"/>
  <c r="AY35" i="3"/>
  <c r="AM35" i="3"/>
  <c r="AY34" i="3"/>
  <c r="AZ35" i="3"/>
  <c r="AV35" i="3"/>
  <c r="AI45" i="17"/>
  <c r="AO34" i="3"/>
  <c r="AO35" i="3"/>
  <c r="AZ34" i="3"/>
  <c r="AV34" i="3"/>
  <c r="AF36" i="3"/>
  <c r="AH36" i="3"/>
  <c r="V36" i="3"/>
  <c r="T36" i="3"/>
  <c r="AB36" i="3"/>
  <c r="AH35" i="3"/>
  <c r="T35" i="3"/>
  <c r="V35" i="3"/>
  <c r="AB35" i="3"/>
  <c r="AF35" i="3"/>
  <c r="F36" i="3"/>
  <c r="O36" i="3"/>
  <c r="K36" i="3"/>
  <c r="D36" i="3"/>
  <c r="N36" i="3"/>
  <c r="AF19" i="17"/>
  <c r="T34" i="3" s="1"/>
  <c r="AF34" i="3"/>
  <c r="AI30" i="17"/>
  <c r="AH34" i="3"/>
  <c r="AB34" i="3"/>
  <c r="V34" i="3"/>
  <c r="O35" i="3"/>
  <c r="N35" i="3"/>
  <c r="F35" i="3"/>
  <c r="K35" i="3"/>
  <c r="D35" i="3"/>
  <c r="BA34" i="3" l="1"/>
  <c r="AI44" i="3"/>
  <c r="AK44" i="3" s="1"/>
  <c r="AF4" i="26"/>
  <c r="D49" i="3" s="1"/>
  <c r="O49" i="3"/>
  <c r="Q49" i="3" s="1"/>
  <c r="N49" i="3"/>
  <c r="K49" i="3"/>
  <c r="F49" i="3"/>
  <c r="AK54" i="3"/>
  <c r="BC59" i="3"/>
  <c r="AI15" i="26"/>
  <c r="AK59" i="3"/>
  <c r="AK49" i="3"/>
  <c r="R54" i="3"/>
  <c r="K34" i="3"/>
  <c r="AI15" i="17"/>
  <c r="O34" i="3"/>
  <c r="Q34" i="3" s="1"/>
  <c r="N34" i="3"/>
  <c r="AF4" i="17"/>
  <c r="D34" i="3" s="1"/>
  <c r="BC39" i="3"/>
  <c r="AI34" i="3"/>
  <c r="AH32" i="3" s="1"/>
  <c r="AI39" i="3"/>
  <c r="AK39" i="3" s="1"/>
  <c r="BC34" i="3" l="1"/>
  <c r="BA32" i="3"/>
  <c r="AK34" i="3"/>
  <c r="R49" i="3"/>
  <c r="R34" i="3"/>
  <c r="Q44" i="3"/>
  <c r="R44" i="3" s="1"/>
  <c r="Q39" i="3"/>
  <c r="R39" i="3" s="1"/>
  <c r="O32" i="3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<sst xmlns="http://schemas.openxmlformats.org/spreadsheetml/2006/main" count="868" uniqueCount="80">
  <si>
    <t xml:space="preserve"> = Uitbesteed</t>
  </si>
  <si>
    <t xml:space="preserve"> = Afgeleverd</t>
  </si>
  <si>
    <t xml:space="preserve"> = Gereed</t>
  </si>
  <si>
    <t>Als order is afgeleverd, BEIDE op Afgevelerd zetten</t>
  </si>
  <si>
    <t xml:space="preserve"> = Bij coater/verzinkerij</t>
  </si>
  <si>
    <t>Ordernummer:</t>
  </si>
  <si>
    <t>Omschrijving:</t>
  </si>
  <si>
    <t>Klant:</t>
  </si>
  <si>
    <t>Week:</t>
  </si>
  <si>
    <t>Totale uren:</t>
  </si>
  <si>
    <t>Medewerker 1:</t>
  </si>
  <si>
    <t>% uren 1:</t>
  </si>
  <si>
    <t>Uren 1:</t>
  </si>
  <si>
    <t>Medewerker 2:</t>
  </si>
  <si>
    <t>% uren 2:</t>
  </si>
  <si>
    <t>Uren 2:</t>
  </si>
  <si>
    <t>Status:</t>
  </si>
  <si>
    <t>Hulpmaterialen:</t>
  </si>
  <si>
    <t xml:space="preserve"> = Niet invullen!</t>
  </si>
  <si>
    <t>10 - Afgeleverd</t>
  </si>
  <si>
    <t>Tomasz</t>
  </si>
  <si>
    <t>Overig</t>
  </si>
  <si>
    <t>Ed</t>
  </si>
  <si>
    <t>Dariusz</t>
  </si>
  <si>
    <t>4 - Afgeleverd</t>
  </si>
  <si>
    <t xml:space="preserve"> </t>
  </si>
  <si>
    <t>4 - Materiaal binnen</t>
  </si>
  <si>
    <t>6 - In productie (Nobelweg 3)</t>
  </si>
  <si>
    <t>3 - Materiaal besteld</t>
  </si>
  <si>
    <t>1 - Werkvoorbereiding</t>
  </si>
  <si>
    <t>Orderstatus</t>
  </si>
  <si>
    <t xml:space="preserve">Hulpmaterialen </t>
  </si>
  <si>
    <t>7 - Klaar voor coater/verzinkerij</t>
  </si>
  <si>
    <t>Hulpmaterialen - Nog bestellen</t>
  </si>
  <si>
    <t>Order</t>
  </si>
  <si>
    <t>Omschrijving</t>
  </si>
  <si>
    <t>Klant</t>
  </si>
  <si>
    <t>Week</t>
  </si>
  <si>
    <t>Hulpmaterialen - Besteld</t>
  </si>
  <si>
    <t>2 - Materiaal deels besteld</t>
  </si>
  <si>
    <t>5 - Voorbereiden (Nobelweg 2B)</t>
  </si>
  <si>
    <t>8 - Bij coater/verzinkerij</t>
  </si>
  <si>
    <t>Hulpmaterialen - Compleet</t>
  </si>
  <si>
    <t>9 - Gereed, kan worden opgehaald</t>
  </si>
  <si>
    <t>St.</t>
  </si>
  <si>
    <t>Uren</t>
  </si>
  <si>
    <t>Tot.</t>
  </si>
  <si>
    <t>Ov.</t>
  </si>
  <si>
    <t>Uitbesteed</t>
  </si>
  <si>
    <t>UITBESTEED</t>
  </si>
  <si>
    <t>Ordernummer</t>
  </si>
  <si>
    <t>Invulmogelijkheden:</t>
  </si>
  <si>
    <t>Medewerker:</t>
  </si>
  <si>
    <t>0 - Niet nodig</t>
  </si>
  <si>
    <t>1 - Nog bestellen</t>
  </si>
  <si>
    <t>2 - Besteld</t>
  </si>
  <si>
    <t>3 - Compleet</t>
  </si>
  <si>
    <t>Planning</t>
  </si>
  <si>
    <t>Omrekening status:</t>
  </si>
  <si>
    <t>Order:</t>
  </si>
  <si>
    <t>Uren:</t>
  </si>
  <si>
    <t>Nummer:</t>
  </si>
  <si>
    <t>U</t>
  </si>
  <si>
    <t>Totaal</t>
  </si>
  <si>
    <t>1 - Werkvoobereiding</t>
  </si>
  <si>
    <t>Werknemer 1</t>
  </si>
  <si>
    <t>Datum gereed:</t>
  </si>
  <si>
    <t>Datum coater/verzinkerij:</t>
  </si>
  <si>
    <t>Medewerker 3:</t>
  </si>
  <si>
    <t>% uren 3:</t>
  </si>
  <si>
    <t>Uren 3:</t>
  </si>
  <si>
    <t>Tomasz, Ed, Tomasz F, Mark, Zoltan, Voorbewerking</t>
  </si>
  <si>
    <t>Tomasz F</t>
  </si>
  <si>
    <t>Mark</t>
  </si>
  <si>
    <t>Zoltan</t>
  </si>
  <si>
    <t>Voorbewerking</t>
  </si>
  <si>
    <t>Controle %</t>
  </si>
  <si>
    <t>Voorbewerk.</t>
  </si>
  <si>
    <t>Totale uren p. week:</t>
  </si>
  <si>
    <t>Beschikbaar: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</si>
</sst>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48"/>
      <color rgb="FFFF000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2060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8">
    <xf numFmtId="0" fontId="0" fillId="0" borderId="0" xfId="0"/>
    <xf numFmtId="0" fontId="0" fillId="0" borderId="0" xfId="0" applyAlignment="1">
      <alignment horizontal="center"/>
    </xf>
    <xf numFmtId="0" fontId="0" fillId="0" borderId="7" xfId="0" applyBorder="1"/>
    <xf numFmtId="0" fontId="0" fillId="0" borderId="9" xfId="0" applyBorder="1"/>
    <xf numFmtId="0" fontId="1" fillId="0" borderId="24" xfId="0" applyFont="1" applyBorder="1" applyAlignment="1">
      <alignment horizontal="left"/>
    </xf>
    <xf numFmtId="0" fontId="1" fillId="0" borderId="23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17" xfId="0" applyBorder="1" applyAlignment="1">
      <alignment horizontal="left"/>
    </xf>
    <xf numFmtId="0" fontId="1" fillId="0" borderId="22" xfId="0" applyFont="1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2" borderId="0" xfId="0" applyFill="1"/>
    <xf numFmtId="0" fontId="1" fillId="2" borderId="15" xfId="0" applyFont="1" applyFill="1" applyBorder="1"/>
    <xf numFmtId="0" fontId="0" fillId="2" borderId="0" xfId="0" applyFill="1" applyAlignment="1">
      <alignment horizontal="left"/>
    </xf>
    <xf numFmtId="0" fontId="0" fillId="2" borderId="6" xfId="0" applyFill="1" applyBorder="1" applyAlignment="1">
      <alignment horizontal="center"/>
    </xf>
    <xf numFmtId="0" fontId="0" fillId="2" borderId="3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10" xfId="0" applyBorder="1"/>
    <xf numFmtId="0" fontId="0" fillId="0" borderId="12" xfId="0" applyBorder="1"/>
    <xf numFmtId="0" fontId="1" fillId="0" borderId="13" xfId="0" applyFont="1" applyBorder="1"/>
    <xf numFmtId="0" fontId="1" fillId="0" borderId="15" xfId="0" applyFont="1" applyBorder="1"/>
    <xf numFmtId="0" fontId="1" fillId="0" borderId="28" xfId="0" applyFont="1" applyBorder="1"/>
    <xf numFmtId="0" fontId="1" fillId="0" borderId="29" xfId="0" applyFont="1" applyBorder="1"/>
    <xf numFmtId="0" fontId="1" fillId="0" borderId="30" xfId="0" applyFont="1" applyBorder="1"/>
    <xf numFmtId="9" fontId="0" fillId="0" borderId="11" xfId="0" applyNumberFormat="1" applyBorder="1" applyAlignment="1">
      <alignment horizontal="center"/>
    </xf>
    <xf numFmtId="9" fontId="0" fillId="0" borderId="0" xfId="0" applyNumberFormat="1" applyAlignment="1">
      <alignment horizontal="center"/>
    </xf>
    <xf numFmtId="0" fontId="0" fillId="5" borderId="0" xfId="0" applyFill="1"/>
    <xf numFmtId="0" fontId="5" fillId="0" borderId="0" xfId="0" applyFont="1"/>
    <xf numFmtId="9" fontId="0" fillId="0" borderId="0" xfId="0" applyNumberFormat="1"/>
    <xf numFmtId="9" fontId="1" fillId="0" borderId="29" xfId="0" applyNumberFormat="1" applyFont="1" applyBorder="1"/>
    <xf numFmtId="9" fontId="0" fillId="0" borderId="3" xfId="0" applyNumberFormat="1" applyBorder="1"/>
    <xf numFmtId="9" fontId="0" fillId="0" borderId="1" xfId="0" applyNumberFormat="1" applyBorder="1"/>
    <xf numFmtId="9" fontId="0" fillId="0" borderId="8" xfId="0" applyNumberFormat="1" applyBorder="1"/>
    <xf numFmtId="0" fontId="0" fillId="0" borderId="9" xfId="0" applyBorder="1" applyAlignment="1">
      <alignment horizontal="center"/>
    </xf>
    <xf numFmtId="0" fontId="2" fillId="2" borderId="42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5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31" xfId="0" applyBorder="1"/>
    <xf numFmtId="0" fontId="0" fillId="3" borderId="15" xfId="0" applyFill="1" applyBorder="1" applyAlignment="1">
      <alignment horizontal="center"/>
    </xf>
    <xf numFmtId="0" fontId="6" fillId="2" borderId="0" xfId="0" applyFont="1" applyFill="1"/>
    <xf numFmtId="0" fontId="0" fillId="2" borderId="37" xfId="0" applyFill="1" applyBorder="1"/>
    <xf numFmtId="0" fontId="0" fillId="2" borderId="40" xfId="0" applyFill="1" applyBorder="1"/>
    <xf numFmtId="0" fontId="0" fillId="2" borderId="39" xfId="0" applyFill="1" applyBorder="1"/>
    <xf numFmtId="0" fontId="0" fillId="2" borderId="42" xfId="0" applyFill="1" applyBorder="1"/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2" borderId="38" xfId="0" applyFill="1" applyBorder="1"/>
    <xf numFmtId="0" fontId="0" fillId="2" borderId="41" xfId="0" applyFill="1" applyBorder="1"/>
    <xf numFmtId="0" fontId="0" fillId="2" borderId="42" xfId="0" applyFill="1" applyBorder="1" applyAlignment="1">
      <alignment horizontal="left"/>
    </xf>
    <xf numFmtId="0" fontId="0" fillId="2" borderId="42" xfId="0" applyFill="1" applyBorder="1" applyAlignment="1">
      <alignment horizontal="center"/>
    </xf>
    <xf numFmtId="0" fontId="0" fillId="2" borderId="43" xfId="0" applyFill="1" applyBorder="1"/>
    <xf numFmtId="0" fontId="0" fillId="3" borderId="0" xfId="0" applyFill="1" applyAlignment="1">
      <alignment horizontal="center"/>
    </xf>
    <xf numFmtId="0" fontId="6" fillId="2" borderId="40" xfId="0" applyFont="1" applyFill="1" applyBorder="1" applyAlignment="1">
      <alignment horizontal="center"/>
    </xf>
    <xf numFmtId="0" fontId="1" fillId="2" borderId="40" xfId="0" applyFont="1" applyFill="1" applyBorder="1"/>
    <xf numFmtId="0" fontId="0" fillId="2" borderId="40" xfId="0" applyFill="1" applyBorder="1" applyAlignment="1">
      <alignment horizontal="center"/>
    </xf>
    <xf numFmtId="0" fontId="6" fillId="2" borderId="40" xfId="0" applyFont="1" applyFill="1" applyBorder="1"/>
    <xf numFmtId="0" fontId="0" fillId="3" borderId="0" xfId="0" applyFill="1"/>
    <xf numFmtId="0" fontId="0" fillId="3" borderId="0" xfId="0" applyFill="1" applyAlignment="1">
      <alignment horizontal="left"/>
    </xf>
    <xf numFmtId="0" fontId="2" fillId="3" borderId="0" xfId="0" applyFont="1" applyFill="1" applyAlignment="1">
      <alignment vertical="center"/>
    </xf>
    <xf numFmtId="0" fontId="0" fillId="0" borderId="17" xfId="0" applyBorder="1" applyAlignment="1">
      <alignment horizontal="center"/>
    </xf>
    <xf numFmtId="0" fontId="1" fillId="0" borderId="13" xfId="0" applyFont="1" applyBorder="1" applyAlignment="1">
      <alignment horizontal="left"/>
    </xf>
    <xf numFmtId="9" fontId="1" fillId="0" borderId="14" xfId="0" applyNumberFormat="1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26" xfId="0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1" xfId="0" applyBorder="1"/>
    <xf numFmtId="0" fontId="1" fillId="0" borderId="14" xfId="0" applyFont="1" applyBorder="1"/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7" borderId="12" xfId="0" applyFill="1" applyBorder="1" applyAlignment="1">
      <alignment horizontal="center"/>
    </xf>
    <xf numFmtId="0" fontId="0" fillId="7" borderId="20" xfId="0" applyFill="1" applyBorder="1" applyAlignment="1">
      <alignment horizontal="center"/>
    </xf>
    <xf numFmtId="0" fontId="0" fillId="7" borderId="0" xfId="0" applyFill="1"/>
    <xf numFmtId="0" fontId="0" fillId="19" borderId="0" xfId="0" applyFill="1"/>
    <xf numFmtId="0" fontId="0" fillId="17" borderId="0" xfId="0" applyFill="1"/>
    <xf numFmtId="0" fontId="0" fillId="18" borderId="0" xfId="0" applyFill="1"/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1" fillId="0" borderId="28" xfId="0" applyFont="1" applyBorder="1" applyAlignment="1">
      <alignment horizontal="left"/>
    </xf>
    <xf numFmtId="0" fontId="0" fillId="0" borderId="9" xfId="0" applyBorder="1" applyAlignment="1">
      <alignment horizontal="right"/>
    </xf>
    <xf numFmtId="9" fontId="0" fillId="0" borderId="1" xfId="0" applyNumberFormat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9" fillId="2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14" xfId="0" applyFont="1" applyBorder="1" applyAlignment="1">
      <alignment vertical="center"/>
    </xf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0" fillId="2" borderId="36" xfId="0" applyFill="1" applyBorder="1"/>
    <xf numFmtId="0" fontId="8" fillId="2" borderId="37" xfId="0" applyFont="1" applyFill="1" applyBorder="1" applyAlignment="1">
      <alignment horizontal="center" vertical="center"/>
    </xf>
    <xf numFmtId="0" fontId="7" fillId="2" borderId="37" xfId="0" applyFont="1" applyFill="1" applyBorder="1" applyAlignment="1">
      <alignment horizontal="center" vertical="center"/>
    </xf>
    <xf numFmtId="0" fontId="10" fillId="3" borderId="55" xfId="0" applyFont="1" applyFill="1" applyBorder="1" applyAlignment="1">
      <alignment vertical="center"/>
    </xf>
    <xf numFmtId="0" fontId="10" fillId="0" borderId="19" xfId="0" applyFont="1" applyBorder="1" applyAlignment="1">
      <alignment horizontal="left" vertical="center"/>
    </xf>
    <xf numFmtId="0" fontId="9" fillId="0" borderId="45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10" fillId="0" borderId="29" xfId="0" applyFont="1" applyBorder="1" applyAlignment="1">
      <alignment vertical="center"/>
    </xf>
    <xf numFmtId="0" fontId="10" fillId="0" borderId="29" xfId="0" applyFont="1" applyBorder="1" applyAlignment="1">
      <alignment horizontal="left" vertical="center"/>
    </xf>
    <xf numFmtId="0" fontId="8" fillId="2" borderId="37" xfId="0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left"/>
    </xf>
    <xf numFmtId="0" fontId="0" fillId="7" borderId="21" xfId="0" applyFill="1" applyBorder="1" applyAlignment="1">
      <alignment horizontal="center"/>
    </xf>
    <xf numFmtId="14" fontId="5" fillId="0" borderId="0" xfId="0" applyNumberFormat="1" applyFont="1" applyAlignment="1">
      <alignment horizontal="center"/>
    </xf>
    <xf numFmtId="14" fontId="1" fillId="0" borderId="42" xfId="0" applyNumberFormat="1" applyFont="1" applyBorder="1" applyAlignment="1">
      <alignment horizontal="left"/>
    </xf>
    <xf numFmtId="14" fontId="0" fillId="0" borderId="0" xfId="0" applyNumberFormat="1" applyAlignment="1">
      <alignment horizontal="center"/>
    </xf>
    <xf numFmtId="14" fontId="0" fillId="0" borderId="2" xfId="0" applyNumberFormat="1" applyBorder="1" applyAlignment="1">
      <alignment horizontal="center"/>
    </xf>
    <xf numFmtId="14" fontId="0" fillId="0" borderId="65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14" fontId="0" fillId="0" borderId="66" xfId="0" applyNumberForma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14" fontId="0" fillId="0" borderId="67" xfId="0" applyNumberFormat="1" applyBorder="1" applyAlignment="1">
      <alignment horizontal="center"/>
    </xf>
    <xf numFmtId="14" fontId="0" fillId="0" borderId="68" xfId="0" applyNumberFormat="1" applyBorder="1" applyAlignment="1">
      <alignment horizontal="center"/>
    </xf>
    <xf numFmtId="14" fontId="0" fillId="0" borderId="43" xfId="0" applyNumberFormat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0" borderId="68" xfId="0" applyBorder="1" applyAlignment="1">
      <alignment horizontal="center"/>
    </xf>
    <xf numFmtId="0" fontId="0" fillId="7" borderId="69" xfId="0" applyFill="1" applyBorder="1" applyAlignment="1">
      <alignment horizontal="center"/>
    </xf>
    <xf numFmtId="9" fontId="1" fillId="0" borderId="42" xfId="0" applyNumberFormat="1" applyFont="1" applyBorder="1" applyAlignment="1">
      <alignment horizontal="left"/>
    </xf>
    <xf numFmtId="9" fontId="0" fillId="7" borderId="51" xfId="0" applyNumberFormat="1" applyFill="1" applyBorder="1" applyAlignment="1">
      <alignment horizontal="center"/>
    </xf>
    <xf numFmtId="9" fontId="0" fillId="7" borderId="64" xfId="0" applyNumberFormat="1" applyFill="1" applyBorder="1" applyAlignment="1">
      <alignment horizontal="center"/>
    </xf>
    <xf numFmtId="9" fontId="0" fillId="7" borderId="50" xfId="0" applyNumberFormat="1" applyFill="1" applyBorder="1" applyAlignment="1">
      <alignment horizontal="center"/>
    </xf>
    <xf numFmtId="9" fontId="0" fillId="7" borderId="42" xfId="0" applyNumberFormat="1" applyFill="1" applyBorder="1" applyAlignment="1">
      <alignment horizontal="center"/>
    </xf>
    <xf numFmtId="9" fontId="0" fillId="0" borderId="11" xfId="0" applyNumberFormat="1" applyBorder="1"/>
    <xf numFmtId="9" fontId="1" fillId="0" borderId="14" xfId="0" applyNumberFormat="1" applyFont="1" applyBorder="1"/>
    <xf numFmtId="0" fontId="5" fillId="0" borderId="0" xfId="0" applyFont="1" applyAlignment="1">
      <alignment horizontal="center"/>
    </xf>
    <xf numFmtId="0" fontId="9" fillId="21" borderId="54" xfId="0" applyFont="1" applyFill="1" applyBorder="1" applyAlignment="1">
      <alignment horizontal="center" vertical="center" textRotation="90"/>
    </xf>
    <xf numFmtId="0" fontId="9" fillId="21" borderId="48" xfId="0" applyFont="1" applyFill="1" applyBorder="1" applyAlignment="1">
      <alignment horizontal="center" vertical="center" textRotation="90"/>
    </xf>
    <xf numFmtId="0" fontId="9" fillId="21" borderId="47" xfId="0" applyFont="1" applyFill="1" applyBorder="1" applyAlignment="1">
      <alignment horizontal="center" vertical="center" textRotation="90"/>
    </xf>
    <xf numFmtId="0" fontId="9" fillId="0" borderId="2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10" fillId="3" borderId="63" xfId="0" applyFont="1" applyFill="1" applyBorder="1" applyAlignment="1">
      <alignment horizontal="center" vertical="center"/>
    </xf>
    <xf numFmtId="0" fontId="10" fillId="3" borderId="38" xfId="0" applyFont="1" applyFill="1" applyBorder="1" applyAlignment="1">
      <alignment horizontal="center" vertical="center"/>
    </xf>
    <xf numFmtId="0" fontId="10" fillId="3" borderId="62" xfId="0" applyFont="1" applyFill="1" applyBorder="1" applyAlignment="1">
      <alignment horizontal="center" vertical="center"/>
    </xf>
    <xf numFmtId="0" fontId="10" fillId="3" borderId="40" xfId="0" applyFont="1" applyFill="1" applyBorder="1" applyAlignment="1">
      <alignment horizontal="center" vertical="center"/>
    </xf>
    <xf numFmtId="0" fontId="10" fillId="3" borderId="24" xfId="0" applyFont="1" applyFill="1" applyBorder="1" applyAlignment="1">
      <alignment horizontal="center" vertical="center"/>
    </xf>
    <xf numFmtId="0" fontId="10" fillId="3" borderId="43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9" fillId="5" borderId="54" xfId="0" applyFont="1" applyFill="1" applyBorder="1" applyAlignment="1">
      <alignment horizontal="center" vertical="center" textRotation="90"/>
    </xf>
    <xf numFmtId="0" fontId="9" fillId="5" borderId="48" xfId="0" applyFont="1" applyFill="1" applyBorder="1" applyAlignment="1">
      <alignment horizontal="center" vertical="center" textRotation="90"/>
    </xf>
    <xf numFmtId="0" fontId="9" fillId="5" borderId="47" xfId="0" applyFont="1" applyFill="1" applyBorder="1" applyAlignment="1">
      <alignment horizontal="center" vertical="center" textRotation="90"/>
    </xf>
    <xf numFmtId="0" fontId="9" fillId="20" borderId="54" xfId="0" applyFont="1" applyFill="1" applyBorder="1" applyAlignment="1">
      <alignment horizontal="center" vertical="center" textRotation="90"/>
    </xf>
    <xf numFmtId="0" fontId="9" fillId="20" borderId="48" xfId="0" applyFont="1" applyFill="1" applyBorder="1" applyAlignment="1">
      <alignment horizontal="center" vertical="center" textRotation="90"/>
    </xf>
    <xf numFmtId="0" fontId="9" fillId="20" borderId="47" xfId="0" applyFont="1" applyFill="1" applyBorder="1" applyAlignment="1">
      <alignment horizontal="center" vertical="center" textRotation="90"/>
    </xf>
    <xf numFmtId="0" fontId="9" fillId="21" borderId="49" xfId="0" applyFont="1" applyFill="1" applyBorder="1" applyAlignment="1">
      <alignment horizontal="center" vertical="center" textRotation="90"/>
    </xf>
    <xf numFmtId="0" fontId="9" fillId="0" borderId="3" xfId="0" applyFont="1" applyBorder="1" applyAlignment="1">
      <alignment horizontal="center" vertical="center"/>
    </xf>
    <xf numFmtId="0" fontId="10" fillId="3" borderId="36" xfId="0" applyFont="1" applyFill="1" applyBorder="1" applyAlignment="1">
      <alignment horizontal="center" vertical="center"/>
    </xf>
    <xf numFmtId="0" fontId="10" fillId="3" borderId="39" xfId="0" applyFont="1" applyFill="1" applyBorder="1" applyAlignment="1">
      <alignment horizontal="center" vertical="center"/>
    </xf>
    <xf numFmtId="0" fontId="10" fillId="3" borderId="4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5" borderId="49" xfId="0" applyFont="1" applyFill="1" applyBorder="1" applyAlignment="1">
      <alignment horizontal="center" vertical="center" textRotation="90"/>
    </xf>
    <xf numFmtId="0" fontId="9" fillId="20" borderId="49" xfId="0" applyFont="1" applyFill="1" applyBorder="1" applyAlignment="1">
      <alignment horizontal="center" vertical="center" textRotation="90"/>
    </xf>
    <xf numFmtId="0" fontId="9" fillId="21" borderId="56" xfId="0" applyFont="1" applyFill="1" applyBorder="1" applyAlignment="1">
      <alignment horizontal="center" vertical="center" textRotation="90"/>
    </xf>
    <xf numFmtId="0" fontId="9" fillId="21" borderId="57" xfId="0" applyFont="1" applyFill="1" applyBorder="1" applyAlignment="1">
      <alignment horizontal="center" vertical="center" textRotation="90"/>
    </xf>
    <xf numFmtId="0" fontId="9" fillId="21" borderId="58" xfId="0" applyFont="1" applyFill="1" applyBorder="1" applyAlignment="1">
      <alignment horizontal="center" vertical="center" textRotation="90"/>
    </xf>
    <xf numFmtId="0" fontId="9" fillId="0" borderId="45" xfId="0" applyFont="1" applyBorder="1" applyAlignment="1">
      <alignment horizontal="center" vertical="center"/>
    </xf>
    <xf numFmtId="0" fontId="10" fillId="3" borderId="59" xfId="0" applyFont="1" applyFill="1" applyBorder="1" applyAlignment="1">
      <alignment horizontal="center" vertical="center"/>
    </xf>
    <xf numFmtId="0" fontId="10" fillId="3" borderId="61" xfId="0" applyFont="1" applyFill="1" applyBorder="1" applyAlignment="1">
      <alignment horizontal="center" vertical="center"/>
    </xf>
    <xf numFmtId="0" fontId="10" fillId="3" borderId="60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9" fillId="5" borderId="56" xfId="0" applyFont="1" applyFill="1" applyBorder="1" applyAlignment="1">
      <alignment horizontal="center" vertical="center" textRotation="90"/>
    </xf>
    <xf numFmtId="0" fontId="9" fillId="5" borderId="57" xfId="0" applyFont="1" applyFill="1" applyBorder="1" applyAlignment="1">
      <alignment horizontal="center" vertical="center" textRotation="90"/>
    </xf>
    <xf numFmtId="0" fontId="9" fillId="5" borderId="58" xfId="0" applyFont="1" applyFill="1" applyBorder="1" applyAlignment="1">
      <alignment horizontal="center" vertical="center" textRotation="90"/>
    </xf>
    <xf numFmtId="0" fontId="9" fillId="20" borderId="56" xfId="0" applyFont="1" applyFill="1" applyBorder="1" applyAlignment="1">
      <alignment horizontal="center" vertical="center" textRotation="90"/>
    </xf>
    <xf numFmtId="0" fontId="9" fillId="20" borderId="57" xfId="0" applyFont="1" applyFill="1" applyBorder="1" applyAlignment="1">
      <alignment horizontal="center" vertical="center" textRotation="90"/>
    </xf>
    <xf numFmtId="0" fontId="9" fillId="20" borderId="58" xfId="0" applyFont="1" applyFill="1" applyBorder="1" applyAlignment="1">
      <alignment horizontal="center" vertical="center" textRotation="90"/>
    </xf>
    <xf numFmtId="0" fontId="10" fillId="3" borderId="2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9" fillId="16" borderId="36" xfId="0" applyFont="1" applyFill="1" applyBorder="1" applyAlignment="1">
      <alignment horizontal="center" vertical="center" textRotation="90"/>
    </xf>
    <xf numFmtId="0" fontId="9" fillId="16" borderId="41" xfId="0" applyFont="1" applyFill="1" applyBorder="1" applyAlignment="1">
      <alignment horizontal="center" vertical="center" textRotation="90"/>
    </xf>
    <xf numFmtId="0" fontId="8" fillId="2" borderId="37" xfId="0" applyFont="1" applyFill="1" applyBorder="1" applyAlignment="1">
      <alignment horizontal="left" vertical="center"/>
    </xf>
    <xf numFmtId="0" fontId="9" fillId="0" borderId="26" xfId="0" applyFont="1" applyBorder="1" applyAlignment="1">
      <alignment horizontal="left" vertical="center"/>
    </xf>
    <xf numFmtId="0" fontId="9" fillId="0" borderId="26" xfId="0" applyFont="1" applyBorder="1" applyAlignment="1">
      <alignment horizontal="center" vertical="center"/>
    </xf>
    <xf numFmtId="0" fontId="9" fillId="0" borderId="31" xfId="0" applyFont="1" applyBorder="1" applyAlignment="1">
      <alignment horizontal="left" vertical="center"/>
    </xf>
    <xf numFmtId="0" fontId="0" fillId="2" borderId="8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9" fillId="18" borderId="49" xfId="0" applyFont="1" applyFill="1" applyBorder="1" applyAlignment="1">
      <alignment horizontal="center" vertical="center" textRotation="90"/>
    </xf>
    <xf numFmtId="0" fontId="9" fillId="18" borderId="48" xfId="0" applyFont="1" applyFill="1" applyBorder="1" applyAlignment="1">
      <alignment horizontal="center" vertical="center" textRotation="90"/>
    </xf>
    <xf numFmtId="0" fontId="9" fillId="18" borderId="47" xfId="0" applyFont="1" applyFill="1" applyBorder="1" applyAlignment="1">
      <alignment horizontal="center" vertical="center" textRotation="90"/>
    </xf>
    <xf numFmtId="0" fontId="9" fillId="19" borderId="54" xfId="0" applyFont="1" applyFill="1" applyBorder="1" applyAlignment="1">
      <alignment horizontal="center" vertical="center" textRotation="90"/>
    </xf>
    <xf numFmtId="0" fontId="9" fillId="19" borderId="48" xfId="0" applyFont="1" applyFill="1" applyBorder="1" applyAlignment="1">
      <alignment horizontal="center" vertical="center" textRotation="90"/>
    </xf>
    <xf numFmtId="0" fontId="9" fillId="19" borderId="47" xfId="0" applyFont="1" applyFill="1" applyBorder="1" applyAlignment="1">
      <alignment horizontal="center" vertical="center" textRotation="90"/>
    </xf>
    <xf numFmtId="0" fontId="9" fillId="17" borderId="49" xfId="0" applyFont="1" applyFill="1" applyBorder="1" applyAlignment="1">
      <alignment horizontal="center" vertical="center" textRotation="90"/>
    </xf>
    <xf numFmtId="0" fontId="9" fillId="17" borderId="48" xfId="0" applyFont="1" applyFill="1" applyBorder="1" applyAlignment="1">
      <alignment horizontal="center" vertical="center" textRotation="90"/>
    </xf>
    <xf numFmtId="0" fontId="9" fillId="17" borderId="52" xfId="0" applyFont="1" applyFill="1" applyBorder="1" applyAlignment="1">
      <alignment horizontal="center" vertical="center" textRotation="90"/>
    </xf>
    <xf numFmtId="0" fontId="9" fillId="19" borderId="49" xfId="0" applyFont="1" applyFill="1" applyBorder="1" applyAlignment="1">
      <alignment horizontal="center" vertical="center" textRotation="90"/>
    </xf>
    <xf numFmtId="0" fontId="1" fillId="2" borderId="36" xfId="0" applyFont="1" applyFill="1" applyBorder="1" applyAlignment="1">
      <alignment horizontal="left"/>
    </xf>
    <xf numFmtId="0" fontId="1" fillId="2" borderId="37" xfId="0" applyFont="1" applyFill="1" applyBorder="1" applyAlignment="1">
      <alignment horizontal="left"/>
    </xf>
    <xf numFmtId="0" fontId="10" fillId="0" borderId="14" xfId="0" applyFont="1" applyBorder="1" applyAlignment="1">
      <alignment horizontal="left" vertical="center"/>
    </xf>
    <xf numFmtId="0" fontId="10" fillId="0" borderId="19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28" xfId="0" applyFont="1" applyBorder="1" applyAlignment="1">
      <alignment horizontal="left" vertical="center"/>
    </xf>
    <xf numFmtId="0" fontId="10" fillId="0" borderId="29" xfId="0" applyFont="1" applyBorder="1" applyAlignment="1">
      <alignment horizontal="left" vertical="center"/>
    </xf>
    <xf numFmtId="0" fontId="10" fillId="3" borderId="33" xfId="0" applyFont="1" applyFill="1" applyBorder="1" applyAlignment="1">
      <alignment horizontal="left" vertical="center"/>
    </xf>
    <xf numFmtId="0" fontId="10" fillId="3" borderId="35" xfId="0" applyFont="1" applyFill="1" applyBorder="1" applyAlignment="1">
      <alignment horizontal="left" vertical="center"/>
    </xf>
    <xf numFmtId="0" fontId="10" fillId="0" borderId="34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1" fillId="2" borderId="14" xfId="0" applyFont="1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1" fillId="2" borderId="13" xfId="0" applyFont="1" applyFill="1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9" borderId="36" xfId="0" applyFill="1" applyBorder="1" applyAlignment="1">
      <alignment horizontal="center"/>
    </xf>
    <xf numFmtId="0" fontId="0" fillId="9" borderId="37" xfId="0" applyFill="1" applyBorder="1" applyAlignment="1">
      <alignment horizontal="center"/>
    </xf>
    <xf numFmtId="0" fontId="0" fillId="9" borderId="38" xfId="0" applyFill="1" applyBorder="1" applyAlignment="1">
      <alignment horizontal="center"/>
    </xf>
    <xf numFmtId="0" fontId="0" fillId="6" borderId="36" xfId="0" applyFill="1" applyBorder="1" applyAlignment="1">
      <alignment horizontal="center"/>
    </xf>
    <xf numFmtId="0" fontId="0" fillId="6" borderId="37" xfId="0" applyFill="1" applyBorder="1" applyAlignment="1">
      <alignment horizontal="center"/>
    </xf>
    <xf numFmtId="0" fontId="0" fillId="6" borderId="38" xfId="0" applyFill="1" applyBorder="1" applyAlignment="1">
      <alignment horizontal="center"/>
    </xf>
    <xf numFmtId="0" fontId="9" fillId="17" borderId="56" xfId="0" applyFont="1" applyFill="1" applyBorder="1" applyAlignment="1">
      <alignment horizontal="center" vertical="center" textRotation="90"/>
    </xf>
    <xf numFmtId="0" fontId="9" fillId="17" borderId="57" xfId="0" applyFont="1" applyFill="1" applyBorder="1" applyAlignment="1">
      <alignment horizontal="center" vertical="center" textRotation="90"/>
    </xf>
    <xf numFmtId="0" fontId="9" fillId="17" borderId="58" xfId="0" applyFont="1" applyFill="1" applyBorder="1" applyAlignment="1">
      <alignment horizontal="center" vertical="center" textRotation="90"/>
    </xf>
    <xf numFmtId="0" fontId="9" fillId="18" borderId="56" xfId="0" applyFont="1" applyFill="1" applyBorder="1" applyAlignment="1">
      <alignment horizontal="center" vertical="center" textRotation="90"/>
    </xf>
    <xf numFmtId="0" fontId="9" fillId="18" borderId="57" xfId="0" applyFont="1" applyFill="1" applyBorder="1" applyAlignment="1">
      <alignment horizontal="center" vertical="center" textRotation="90"/>
    </xf>
    <xf numFmtId="0" fontId="9" fillId="18" borderId="58" xfId="0" applyFont="1" applyFill="1" applyBorder="1" applyAlignment="1">
      <alignment horizontal="center" vertical="center" textRotation="90"/>
    </xf>
    <xf numFmtId="0" fontId="9" fillId="19" borderId="56" xfId="0" applyFont="1" applyFill="1" applyBorder="1" applyAlignment="1">
      <alignment horizontal="center" vertical="center" textRotation="90"/>
    </xf>
    <xf numFmtId="0" fontId="9" fillId="19" borderId="57" xfId="0" applyFont="1" applyFill="1" applyBorder="1" applyAlignment="1">
      <alignment horizontal="center" vertical="center" textRotation="90"/>
    </xf>
    <xf numFmtId="0" fontId="9" fillId="19" borderId="58" xfId="0" applyFont="1" applyFill="1" applyBorder="1" applyAlignment="1">
      <alignment horizontal="center" vertical="center" textRotation="90"/>
    </xf>
    <xf numFmtId="0" fontId="4" fillId="8" borderId="36" xfId="0" applyFont="1" applyFill="1" applyBorder="1" applyAlignment="1">
      <alignment horizontal="center"/>
    </xf>
    <xf numFmtId="0" fontId="4" fillId="8" borderId="37" xfId="0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0" fillId="4" borderId="36" xfId="0" applyFill="1" applyBorder="1" applyAlignment="1">
      <alignment horizontal="center"/>
    </xf>
    <xf numFmtId="0" fontId="0" fillId="4" borderId="37" xfId="0" applyFill="1" applyBorder="1" applyAlignment="1">
      <alignment horizontal="center"/>
    </xf>
    <xf numFmtId="0" fontId="0" fillId="4" borderId="38" xfId="0" applyFill="1" applyBorder="1" applyAlignment="1">
      <alignment horizontal="center"/>
    </xf>
    <xf numFmtId="0" fontId="0" fillId="15" borderId="36" xfId="0" applyFill="1" applyBorder="1" applyAlignment="1">
      <alignment horizontal="center"/>
    </xf>
    <xf numFmtId="0" fontId="0" fillId="15" borderId="37" xfId="0" applyFill="1" applyBorder="1" applyAlignment="1">
      <alignment horizontal="center"/>
    </xf>
    <xf numFmtId="0" fontId="0" fillId="15" borderId="38" xfId="0" applyFill="1" applyBorder="1" applyAlignment="1">
      <alignment horizontal="center"/>
    </xf>
    <xf numFmtId="0" fontId="0" fillId="10" borderId="36" xfId="0" applyFill="1" applyBorder="1" applyAlignment="1">
      <alignment horizontal="center"/>
    </xf>
    <xf numFmtId="0" fontId="0" fillId="10" borderId="37" xfId="0" applyFill="1" applyBorder="1" applyAlignment="1">
      <alignment horizontal="center"/>
    </xf>
    <xf numFmtId="0" fontId="0" fillId="10" borderId="38" xfId="0" applyFill="1" applyBorder="1" applyAlignment="1">
      <alignment horizontal="center"/>
    </xf>
    <xf numFmtId="0" fontId="6" fillId="7" borderId="36" xfId="0" applyFont="1" applyFill="1" applyBorder="1" applyAlignment="1">
      <alignment horizontal="center"/>
    </xf>
    <xf numFmtId="0" fontId="6" fillId="7" borderId="37" xfId="0" applyFont="1" applyFill="1" applyBorder="1" applyAlignment="1">
      <alignment horizontal="center"/>
    </xf>
    <xf numFmtId="0" fontId="6" fillId="7" borderId="38" xfId="0" applyFont="1" applyFill="1" applyBorder="1" applyAlignment="1">
      <alignment horizontal="center"/>
    </xf>
    <xf numFmtId="0" fontId="4" fillId="12" borderId="36" xfId="0" applyFont="1" applyFill="1" applyBorder="1" applyAlignment="1">
      <alignment horizontal="center"/>
    </xf>
    <xf numFmtId="0" fontId="4" fillId="12" borderId="37" xfId="0" applyFont="1" applyFill="1" applyBorder="1" applyAlignment="1">
      <alignment horizontal="center"/>
    </xf>
    <xf numFmtId="0" fontId="4" fillId="12" borderId="38" xfId="0" applyFont="1" applyFill="1" applyBorder="1" applyAlignment="1">
      <alignment horizontal="center"/>
    </xf>
    <xf numFmtId="0" fontId="4" fillId="11" borderId="36" xfId="0" applyFont="1" applyFill="1" applyBorder="1" applyAlignment="1">
      <alignment horizontal="center"/>
    </xf>
    <xf numFmtId="0" fontId="4" fillId="11" borderId="37" xfId="0" applyFont="1" applyFill="1" applyBorder="1" applyAlignment="1">
      <alignment horizontal="center"/>
    </xf>
    <xf numFmtId="0" fontId="4" fillId="11" borderId="38" xfId="0" applyFont="1" applyFill="1" applyBorder="1" applyAlignment="1">
      <alignment horizontal="center"/>
    </xf>
    <xf numFmtId="0" fontId="11" fillId="2" borderId="61" xfId="0" applyFont="1" applyFill="1" applyBorder="1" applyAlignment="1">
      <alignment horizontal="left" vertical="center"/>
    </xf>
    <xf numFmtId="0" fontId="6" fillId="3" borderId="36" xfId="0" applyFont="1" applyFill="1" applyBorder="1" applyAlignment="1">
      <alignment horizontal="center"/>
    </xf>
    <xf numFmtId="0" fontId="6" fillId="3" borderId="37" xfId="0" applyFont="1" applyFill="1" applyBorder="1" applyAlignment="1">
      <alignment horizontal="center"/>
    </xf>
    <xf numFmtId="0" fontId="6" fillId="3" borderId="38" xfId="0" applyFont="1" applyFill="1" applyBorder="1" applyAlignment="1">
      <alignment horizontal="center"/>
    </xf>
    <xf numFmtId="0" fontId="6" fillId="14" borderId="36" xfId="0" applyFont="1" applyFill="1" applyBorder="1" applyAlignment="1">
      <alignment horizontal="center"/>
    </xf>
    <xf numFmtId="0" fontId="6" fillId="14" borderId="37" xfId="0" applyFont="1" applyFill="1" applyBorder="1" applyAlignment="1">
      <alignment horizontal="center"/>
    </xf>
    <xf numFmtId="0" fontId="6" fillId="14" borderId="38" xfId="0" applyFont="1" applyFill="1" applyBorder="1" applyAlignment="1">
      <alignment horizontal="center"/>
    </xf>
    <xf numFmtId="0" fontId="6" fillId="13" borderId="36" xfId="0" applyFont="1" applyFill="1" applyBorder="1" applyAlignment="1">
      <alignment horizontal="center"/>
    </xf>
    <xf numFmtId="0" fontId="6" fillId="13" borderId="37" xfId="0" applyFont="1" applyFill="1" applyBorder="1" applyAlignment="1">
      <alignment horizontal="center"/>
    </xf>
    <xf numFmtId="0" fontId="6" fillId="13" borderId="38" xfId="0" applyFont="1" applyFill="1" applyBorder="1" applyAlignment="1">
      <alignment horizontal="center"/>
    </xf>
    <xf numFmtId="0" fontId="10" fillId="3" borderId="63" xfId="0" applyFont="1" applyFill="1" applyBorder="1" applyAlignment="1">
      <alignment horizontal="left" vertical="center"/>
    </xf>
    <xf numFmtId="0" fontId="10" fillId="3" borderId="38" xfId="0" applyFont="1" applyFill="1" applyBorder="1" applyAlignment="1">
      <alignment horizontal="left" vertical="center"/>
    </xf>
    <xf numFmtId="0" fontId="0" fillId="2" borderId="39" xfId="0" applyFill="1" applyBorder="1" applyAlignment="1">
      <alignment horizontal="center"/>
    </xf>
    <xf numFmtId="0" fontId="11" fillId="2" borderId="39" xfId="0" applyFont="1" applyFill="1" applyBorder="1" applyAlignment="1">
      <alignment horizontal="left" vertical="center"/>
    </xf>
    <xf numFmtId="0" fontId="4" fillId="12" borderId="33" xfId="0" applyFont="1" applyFill="1" applyBorder="1" applyAlignment="1">
      <alignment horizontal="center"/>
    </xf>
    <xf numFmtId="0" fontId="4" fillId="12" borderId="34" xfId="0" applyFont="1" applyFill="1" applyBorder="1" applyAlignment="1">
      <alignment horizontal="center"/>
    </xf>
    <xf numFmtId="0" fontId="4" fillId="12" borderId="35" xfId="0" applyFont="1" applyFill="1" applyBorder="1" applyAlignment="1">
      <alignment horizontal="center"/>
    </xf>
    <xf numFmtId="0" fontId="1" fillId="2" borderId="33" xfId="0" applyFont="1" applyFill="1" applyBorder="1" applyAlignment="1">
      <alignment horizontal="left"/>
    </xf>
    <xf numFmtId="0" fontId="1" fillId="2" borderId="16" xfId="0" applyFont="1" applyFill="1" applyBorder="1" applyAlignment="1">
      <alignment horizontal="left"/>
    </xf>
    <xf numFmtId="0" fontId="1" fillId="2" borderId="19" xfId="0" applyFont="1" applyFill="1" applyBorder="1" applyAlignment="1">
      <alignment horizontal="left"/>
    </xf>
    <xf numFmtId="0" fontId="1" fillId="2" borderId="34" xfId="0" applyFont="1" applyFill="1" applyBorder="1" applyAlignment="1">
      <alignment horizontal="left"/>
    </xf>
    <xf numFmtId="0" fontId="0" fillId="2" borderId="49" xfId="0" applyFill="1" applyBorder="1" applyAlignment="1">
      <alignment horizontal="left"/>
    </xf>
    <xf numFmtId="0" fontId="0" fillId="2" borderId="44" xfId="0" applyFill="1" applyBorder="1" applyAlignment="1">
      <alignment horizontal="left"/>
    </xf>
    <xf numFmtId="0" fontId="0" fillId="2" borderId="45" xfId="0" applyFill="1" applyBorder="1" applyAlignment="1">
      <alignment horizontal="left"/>
    </xf>
    <xf numFmtId="0" fontId="0" fillId="2" borderId="51" xfId="0" applyFill="1" applyBorder="1" applyAlignment="1">
      <alignment horizontal="left"/>
    </xf>
    <xf numFmtId="0" fontId="0" fillId="2" borderId="48" xfId="0" applyFill="1" applyBorder="1" applyAlignment="1">
      <alignment horizontal="left"/>
    </xf>
    <xf numFmtId="0" fontId="0" fillId="2" borderId="18" xfId="0" applyFill="1" applyBorder="1" applyAlignment="1">
      <alignment horizontal="left"/>
    </xf>
    <xf numFmtId="0" fontId="0" fillId="2" borderId="21" xfId="0" applyFill="1" applyBorder="1" applyAlignment="1">
      <alignment horizontal="left"/>
    </xf>
    <xf numFmtId="0" fontId="0" fillId="2" borderId="50" xfId="0" applyFill="1" applyBorder="1" applyAlignment="1">
      <alignment horizontal="left"/>
    </xf>
    <xf numFmtId="0" fontId="0" fillId="0" borderId="52" xfId="0" applyBorder="1" applyAlignment="1">
      <alignment horizontal="left"/>
    </xf>
    <xf numFmtId="0" fontId="0" fillId="0" borderId="25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5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0" xfId="0" applyAlignment="1">
      <alignment horizontal="left"/>
    </xf>
    <xf numFmtId="0" fontId="0" fillId="3" borderId="13" xfId="0" applyFill="1" applyBorder="1" applyAlignment="1">
      <alignment horizontal="left"/>
    </xf>
    <xf numFmtId="0" fontId="0" fillId="3" borderId="14" xfId="0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9" fillId="0" borderId="65" xfId="0" applyFont="1" applyBorder="1" applyAlignment="1">
      <alignment horizontal="center" vertical="center"/>
    </xf>
    <xf numFmtId="0" fontId="9" fillId="0" borderId="45" xfId="0" applyFont="1" applyBorder="1" applyAlignment="1">
      <alignment horizontal="left" vertical="center"/>
    </xf>
    <xf numFmtId="0" fontId="9" fillId="0" borderId="51" xfId="0" applyFont="1" applyBorder="1" applyAlignment="1">
      <alignment horizontal="left" vertical="center"/>
    </xf>
    <xf numFmtId="0" fontId="9" fillId="0" borderId="44" xfId="0" applyFont="1" applyBorder="1" applyAlignment="1">
      <alignment horizontal="left" vertical="center"/>
    </xf>
    <xf numFmtId="0" fontId="9" fillId="0" borderId="49" xfId="0" applyFont="1" applyBorder="1" applyAlignment="1">
      <alignment horizontal="left" vertical="center"/>
    </xf>
    <xf numFmtId="0" fontId="9" fillId="2" borderId="61" xfId="0" applyFont="1" applyFill="1" applyBorder="1" applyAlignment="1">
      <alignment horizontal="center" vertical="center"/>
    </xf>
    <xf numFmtId="0" fontId="9" fillId="2" borderId="61" xfId="0" applyFont="1" applyFill="1" applyBorder="1" applyAlignment="1">
      <alignment horizontal="center"/>
    </xf>
    <xf numFmtId="0" fontId="9" fillId="0" borderId="48" xfId="0" applyFont="1" applyBorder="1" applyAlignment="1">
      <alignment horizontal="left" vertical="center"/>
    </xf>
    <xf numFmtId="0" fontId="9" fillId="0" borderId="18" xfId="0" applyFont="1" applyBorder="1" applyAlignment="1">
      <alignment horizontal="left" vertical="center"/>
    </xf>
    <xf numFmtId="0" fontId="9" fillId="0" borderId="67" xfId="0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/>
    </xf>
    <xf numFmtId="0" fontId="9" fillId="0" borderId="50" xfId="0" applyFont="1" applyBorder="1" applyAlignment="1">
      <alignment horizontal="left" vertical="center"/>
    </xf>
    <xf numFmtId="0" fontId="9" fillId="0" borderId="70" xfId="0" applyFont="1" applyBorder="1" applyAlignment="1">
      <alignment horizontal="center" vertical="center"/>
    </xf>
    <xf numFmtId="0" fontId="9" fillId="0" borderId="46" xfId="0" applyFont="1" applyBorder="1" applyAlignment="1">
      <alignment horizontal="left" vertical="center"/>
    </xf>
    <xf numFmtId="0" fontId="9" fillId="0" borderId="71" xfId="0" applyFont="1" applyBorder="1" applyAlignment="1">
      <alignment horizontal="left" vertical="center"/>
    </xf>
    <xf numFmtId="0" fontId="9" fillId="0" borderId="72" xfId="0" applyFont="1" applyBorder="1" applyAlignment="1">
      <alignment horizontal="left" vertical="center"/>
    </xf>
    <xf numFmtId="0" fontId="9" fillId="0" borderId="47" xfId="0" applyFont="1" applyBorder="1" applyAlignment="1">
      <alignment horizontal="left" vertical="center"/>
    </xf>
    <xf numFmtId="0" fontId="1" fillId="2" borderId="34" xfId="0" applyFont="1" applyFill="1" applyBorder="1" applyAlignment="1">
      <alignment horizontal="right" vertical="center"/>
    </xf>
    <xf numFmtId="0" fontId="1" fillId="2" borderId="34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</cellXfs>
  <cellStyles count="1">
    <cellStyle name="Standaard" xfId="0" builtinId="0"/>
  </cellStyles>
  <dxfs count="192"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 val="0"/>
        <i val="0"/>
        <u val="none"/>
        <color auto="1"/>
      </font>
      <fill>
        <patternFill patternType="solid">
          <bgColor rgb="FF00B050"/>
        </patternFill>
      </fill>
    </dxf>
    <dxf>
      <font>
        <b val="0"/>
        <i val="0"/>
        <u val="none"/>
        <color auto="1"/>
      </font>
      <fill>
        <patternFill patternType="solid">
          <bgColor rgb="FFFFC000"/>
        </patternFill>
      </fill>
    </dxf>
    <dxf>
      <font>
        <b val="0"/>
        <i val="0"/>
        <u val="none"/>
        <color auto="1"/>
      </font>
      <fill>
        <patternFill patternType="solid">
          <bgColor rgb="FFFFFF00"/>
        </patternFill>
      </fill>
    </dxf>
    <dxf>
      <font>
        <b val="0"/>
        <i val="0"/>
        <u val="none"/>
        <color auto="1"/>
      </font>
      <fill>
        <patternFill patternType="solid">
          <bgColor rgb="FF00B0F0"/>
        </patternFill>
      </fill>
    </dxf>
    <dxf>
      <font>
        <b val="0"/>
        <i val="0"/>
        <u val="none"/>
        <color auto="1"/>
      </font>
      <fill>
        <patternFill patternType="solid">
          <bgColor rgb="FF00B050"/>
        </patternFill>
      </fill>
    </dxf>
    <dxf>
      <font>
        <b val="0"/>
        <i val="0"/>
        <u val="none"/>
        <color auto="1"/>
      </font>
      <fill>
        <patternFill patternType="solid">
          <bgColor rgb="FFFFC000"/>
        </patternFill>
      </fill>
    </dxf>
    <dxf>
      <font>
        <b val="0"/>
        <i val="0"/>
        <u val="none"/>
        <color auto="1"/>
      </font>
      <fill>
        <patternFill patternType="solid">
          <bgColor rgb="FFFFFF00"/>
        </patternFill>
      </fill>
    </dxf>
    <dxf>
      <font>
        <b val="0"/>
        <i val="0"/>
        <u val="none"/>
        <color auto="1"/>
      </font>
      <fill>
        <patternFill patternType="solid">
          <bgColor rgb="FF00B0F0"/>
        </patternFill>
      </fill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 val="0"/>
        <i val="0"/>
        <u val="none"/>
        <color auto="1"/>
      </font>
      <fill>
        <patternFill patternType="solid">
          <bgColor rgb="FF00B050"/>
        </patternFill>
      </fill>
    </dxf>
    <dxf>
      <font>
        <b val="0"/>
        <i val="0"/>
        <u val="none"/>
        <color auto="1"/>
      </font>
      <fill>
        <patternFill patternType="solid">
          <bgColor rgb="FFFFC000"/>
        </patternFill>
      </fill>
    </dxf>
    <dxf>
      <font>
        <b val="0"/>
        <i val="0"/>
        <u val="none"/>
        <color auto="1"/>
      </font>
      <fill>
        <patternFill patternType="solid">
          <bgColor rgb="FFFFFF00"/>
        </patternFill>
      </fill>
    </dxf>
    <dxf>
      <font>
        <b val="0"/>
        <i val="0"/>
        <u val="none"/>
        <color auto="1"/>
      </font>
      <fill>
        <patternFill patternType="solid">
          <bgColor rgb="FF00B0F0"/>
        </patternFill>
      </fill>
    </dxf>
    <dxf>
      <font>
        <b val="0"/>
        <i val="0"/>
        <u val="none"/>
        <color auto="1"/>
      </font>
      <fill>
        <patternFill patternType="solid">
          <bgColor rgb="FF00B050"/>
        </patternFill>
      </fill>
    </dxf>
    <dxf>
      <font>
        <b val="0"/>
        <i val="0"/>
        <u val="none"/>
        <color auto="1"/>
      </font>
      <fill>
        <patternFill patternType="solid">
          <bgColor rgb="FFFFC000"/>
        </patternFill>
      </fill>
    </dxf>
    <dxf>
      <font>
        <b val="0"/>
        <i val="0"/>
        <u val="none"/>
        <color auto="1"/>
      </font>
      <fill>
        <patternFill patternType="solid">
          <bgColor rgb="FFFFFF00"/>
        </patternFill>
      </fill>
    </dxf>
    <dxf>
      <font>
        <b val="0"/>
        <i val="0"/>
        <u val="none"/>
        <color auto="1"/>
      </font>
      <fill>
        <patternFill patternType="solid">
          <bgColor rgb="FF00B0F0"/>
        </patternFill>
      </fill>
    </dxf>
    <dxf>
      <font>
        <b val="0"/>
        <i val="0"/>
        <u val="none"/>
        <color auto="1"/>
      </font>
      <fill>
        <patternFill patternType="solid">
          <bgColor rgb="FF00B050"/>
        </patternFill>
      </fill>
    </dxf>
    <dxf>
      <font>
        <b val="0"/>
        <i val="0"/>
        <u val="none"/>
        <color auto="1"/>
      </font>
      <fill>
        <patternFill patternType="solid">
          <bgColor rgb="FFFFC000"/>
        </patternFill>
      </fill>
    </dxf>
    <dxf>
      <font>
        <b val="0"/>
        <i val="0"/>
        <u val="none"/>
        <color auto="1"/>
      </font>
      <fill>
        <patternFill patternType="solid">
          <bgColor rgb="FFFFFF00"/>
        </patternFill>
      </fill>
    </dxf>
    <dxf>
      <font>
        <b val="0"/>
        <i val="0"/>
        <u val="none"/>
        <color auto="1"/>
      </font>
      <fill>
        <patternFill patternType="solid">
          <bgColor rgb="FF00B0F0"/>
        </patternFill>
      </fill>
    </dxf>
    <dxf>
      <font>
        <b val="0"/>
        <i val="0"/>
        <u val="none"/>
        <color auto="1"/>
      </font>
      <fill>
        <patternFill patternType="solid">
          <bgColor rgb="FF00B050"/>
        </patternFill>
      </fill>
    </dxf>
    <dxf>
      <font>
        <b val="0"/>
        <i val="0"/>
        <u val="none"/>
        <color auto="1"/>
      </font>
      <fill>
        <patternFill patternType="solid">
          <bgColor rgb="FFFFC000"/>
        </patternFill>
      </fill>
    </dxf>
    <dxf>
      <font>
        <b val="0"/>
        <i val="0"/>
        <u val="none"/>
        <color auto="1"/>
      </font>
      <fill>
        <patternFill patternType="solid">
          <bgColor rgb="FFFFFF00"/>
        </patternFill>
      </fill>
    </dxf>
    <dxf>
      <font>
        <b val="0"/>
        <i val="0"/>
        <u val="none"/>
        <color auto="1"/>
      </font>
      <fill>
        <patternFill patternType="solid">
          <bgColor rgb="FF00B0F0"/>
        </patternFill>
      </fill>
    </dxf>
    <dxf>
      <font>
        <b val="0"/>
        <i val="0"/>
        <u val="none"/>
        <color auto="1"/>
      </font>
      <fill>
        <patternFill patternType="solid">
          <bgColor rgb="FF00B050"/>
        </patternFill>
      </fill>
    </dxf>
    <dxf>
      <font>
        <b val="0"/>
        <i val="0"/>
        <u val="none"/>
        <color auto="1"/>
      </font>
      <fill>
        <patternFill patternType="solid">
          <bgColor rgb="FFFFC000"/>
        </patternFill>
      </fill>
    </dxf>
    <dxf>
      <font>
        <b val="0"/>
        <i val="0"/>
        <u val="none"/>
        <color auto="1"/>
      </font>
      <fill>
        <patternFill patternType="solid">
          <bgColor rgb="FFFFFF00"/>
        </patternFill>
      </fill>
    </dxf>
    <dxf>
      <font>
        <b val="0"/>
        <i val="0"/>
        <u val="none"/>
        <color auto="1"/>
      </font>
      <fill>
        <patternFill patternType="solid">
          <bgColor rgb="FF00B0F0"/>
        </patternFill>
      </fill>
    </dxf>
    <dxf>
      <font>
        <b val="0"/>
        <i val="0"/>
        <u val="none"/>
        <color auto="1"/>
      </font>
      <fill>
        <patternFill patternType="solid">
          <bgColor rgb="FF00B050"/>
        </patternFill>
      </fill>
    </dxf>
    <dxf>
      <font>
        <b val="0"/>
        <i val="0"/>
        <u val="none"/>
        <color auto="1"/>
      </font>
      <fill>
        <patternFill patternType="solid">
          <bgColor rgb="FFFFC000"/>
        </patternFill>
      </fill>
    </dxf>
    <dxf>
      <font>
        <b val="0"/>
        <i val="0"/>
        <u val="none"/>
        <color auto="1"/>
      </font>
      <fill>
        <patternFill patternType="solid">
          <bgColor rgb="FFFFFF00"/>
        </patternFill>
      </fill>
    </dxf>
    <dxf>
      <font>
        <b val="0"/>
        <i val="0"/>
        <u val="none"/>
        <color auto="1"/>
      </font>
      <fill>
        <patternFill patternType="solid">
          <bgColor rgb="FF00B0F0"/>
        </patternFill>
      </fill>
    </dxf>
    <dxf>
      <font>
        <b val="0"/>
        <i val="0"/>
        <u val="none"/>
        <color auto="1"/>
      </font>
      <fill>
        <patternFill patternType="solid">
          <bgColor rgb="FF00B050"/>
        </patternFill>
      </fill>
    </dxf>
    <dxf>
      <font>
        <b val="0"/>
        <i val="0"/>
        <u val="none"/>
        <color auto="1"/>
      </font>
      <fill>
        <patternFill patternType="solid">
          <bgColor rgb="FFFFC000"/>
        </patternFill>
      </fill>
    </dxf>
    <dxf>
      <font>
        <b val="0"/>
        <i val="0"/>
        <u val="none"/>
        <color auto="1"/>
      </font>
      <fill>
        <patternFill patternType="solid">
          <bgColor rgb="FFFFFF00"/>
        </patternFill>
      </fill>
    </dxf>
    <dxf>
      <font>
        <b val="0"/>
        <i val="0"/>
        <u val="none"/>
        <color auto="1"/>
      </font>
      <fill>
        <patternFill patternType="solid">
          <bgColor rgb="FF00B0F0"/>
        </patternFill>
      </fill>
    </dxf>
    <dxf>
      <font>
        <b val="0"/>
        <i val="0"/>
        <u val="none"/>
        <color auto="1"/>
      </font>
      <fill>
        <patternFill patternType="solid">
          <bgColor rgb="FF00B050"/>
        </patternFill>
      </fill>
    </dxf>
    <dxf>
      <font>
        <b val="0"/>
        <i val="0"/>
        <u val="none"/>
        <color auto="1"/>
      </font>
      <fill>
        <patternFill patternType="solid">
          <bgColor rgb="FFFFC000"/>
        </patternFill>
      </fill>
    </dxf>
    <dxf>
      <font>
        <b val="0"/>
        <i val="0"/>
        <u val="none"/>
        <color auto="1"/>
      </font>
      <fill>
        <patternFill patternType="solid">
          <bgColor rgb="FFFFFF00"/>
        </patternFill>
      </fill>
    </dxf>
    <dxf>
      <font>
        <b val="0"/>
        <i val="0"/>
        <u val="none"/>
        <color auto="1"/>
      </font>
      <fill>
        <patternFill patternType="solid">
          <bgColor rgb="FF00B0F0"/>
        </patternFill>
      </fill>
    </dxf>
    <dxf>
      <font>
        <b val="0"/>
        <i val="0"/>
        <u val="none"/>
        <color auto="1"/>
      </font>
      <fill>
        <patternFill patternType="solid">
          <bgColor rgb="FF00B050"/>
        </patternFill>
      </fill>
    </dxf>
    <dxf>
      <font>
        <b val="0"/>
        <i val="0"/>
        <u val="none"/>
        <color auto="1"/>
      </font>
      <fill>
        <patternFill patternType="solid">
          <bgColor rgb="FFFFC000"/>
        </patternFill>
      </fill>
    </dxf>
    <dxf>
      <font>
        <b val="0"/>
        <i val="0"/>
        <u val="none"/>
        <color auto="1"/>
      </font>
      <fill>
        <patternFill patternType="solid">
          <bgColor rgb="FFFFFF00"/>
        </patternFill>
      </fill>
    </dxf>
    <dxf>
      <font>
        <b val="0"/>
        <i val="0"/>
        <u val="none"/>
        <color auto="1"/>
      </font>
      <fill>
        <patternFill patternType="solid">
          <bgColor rgb="FF00B0F0"/>
        </patternFill>
      </fill>
    </dxf>
    <dxf>
      <font>
        <b val="0"/>
        <i val="0"/>
        <u val="none"/>
        <color auto="1"/>
      </font>
      <fill>
        <patternFill patternType="solid">
          <bgColor rgb="FF00B050"/>
        </patternFill>
      </fill>
    </dxf>
    <dxf>
      <font>
        <b val="0"/>
        <i val="0"/>
        <u val="none"/>
        <color auto="1"/>
      </font>
      <fill>
        <patternFill patternType="solid">
          <bgColor rgb="FFFFC000"/>
        </patternFill>
      </fill>
    </dxf>
    <dxf>
      <font>
        <b val="0"/>
        <i val="0"/>
        <u val="none"/>
        <color auto="1"/>
      </font>
      <fill>
        <patternFill patternType="solid">
          <bgColor rgb="FFFFFF00"/>
        </patternFill>
      </fill>
    </dxf>
    <dxf>
      <font>
        <b val="0"/>
        <i val="0"/>
        <u val="none"/>
        <color auto="1"/>
      </font>
      <fill>
        <patternFill patternType="solid">
          <bgColor rgb="FF00B0F0"/>
        </patternFill>
      </fill>
    </dxf>
    <dxf>
      <font>
        <b val="0"/>
        <i val="0"/>
        <u val="none"/>
        <color auto="1"/>
      </font>
      <fill>
        <patternFill patternType="solid">
          <bgColor rgb="FF00B050"/>
        </patternFill>
      </fill>
    </dxf>
    <dxf>
      <font>
        <b val="0"/>
        <i val="0"/>
        <u val="none"/>
        <color auto="1"/>
      </font>
      <fill>
        <patternFill patternType="solid">
          <bgColor rgb="FFFFC000"/>
        </patternFill>
      </fill>
    </dxf>
    <dxf>
      <font>
        <b val="0"/>
        <i val="0"/>
        <u val="none"/>
        <color auto="1"/>
      </font>
      <fill>
        <patternFill patternType="solid">
          <bgColor rgb="FFFFFF00"/>
        </patternFill>
      </fill>
    </dxf>
    <dxf>
      <font>
        <b val="0"/>
        <i val="0"/>
        <u val="none"/>
        <color auto="1"/>
      </font>
      <fill>
        <patternFill patternType="solid">
          <bgColor rgb="FF00B0F0"/>
        </patternFill>
      </fill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numFmt numFmtId="19" formatCode="d/m/yyyy"/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19" formatCode="d/m/yyyy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numFmt numFmtId="13" formatCode="0%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numFmt numFmtId="13" formatCode="0%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/>
        <bottom style="thin">
          <color indexed="64"/>
        </bottom>
        <vertical style="thin">
          <color indexed="64"/>
        </vertical>
        <horizontal/>
      </border>
    </dxf>
    <dxf>
      <numFmt numFmtId="0" formatCode="General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3" formatCode="0%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13" formatCode="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2D2D"/>
      <color rgb="FFFF3F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microsoft.com/office/2017/06/relationships/rdRichValueStructure" Target="richData/rdrichvaluestructure.xml"/></Relationships>
</file>

<file path=xl/ctrlProps/ctrlProp1.xml><?xml version="1.0" encoding="utf-8"?>
<formControlPr xmlns="http://schemas.microsoft.com/office/spreadsheetml/2009/9/main" objectType="Spin" dx="22" fmlaLink="$E$32" max="49" min="1" page="10" val="9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466725</xdr:colOff>
          <xdr:row>31</xdr:row>
          <xdr:rowOff>19050</xdr:rowOff>
        </xdr:from>
        <xdr:to>
          <xdr:col>5</xdr:col>
          <xdr:colOff>200025</xdr:colOff>
          <xdr:row>31</xdr:row>
          <xdr:rowOff>257175</xdr:rowOff>
        </xdr:to>
        <xdr:sp macro="" textlink="">
          <xdr:nvSpPr>
            <xdr:cNvPr id="4099" name="Spinner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1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3</v>
  </rv>
  <rv s="1">
    <v>13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73B44F-1103-4D69-A7D5-EDC9F52EF6E8}" name="Tabel1" displayName="Tabel1" ref="B5:T1003" totalsRowShown="0" headerRowDxfId="191" headerRowBorderDxfId="190" tableBorderDxfId="189">
  <autoFilter ref="B5:T1003" xr:uid="{3573B44F-1103-4D69-A7D5-EDC9F52EF6E8}"/>
  <sortState xmlns:xlrd2="http://schemas.microsoft.com/office/spreadsheetml/2017/richdata2" ref="B6:T1003">
    <sortCondition ref="E5:E1003"/>
  </sortState>
  <tableColumns count="19">
    <tableColumn id="1" xr3:uid="{B130A95D-B39B-4856-96C2-89341DFD54AF}" name="Ordernummer:" dataDxfId="188"/>
    <tableColumn id="2" xr3:uid="{61BABC4A-D6D6-460E-BC87-C55E338E8886}" name="Omschrijving:" dataDxfId="187"/>
    <tableColumn id="3" xr3:uid="{1C469668-2F00-4E7D-9C6E-C90044039E6F}" name="Klant:" dataDxfId="186"/>
    <tableColumn id="4" xr3:uid="{CA87F285-3CC0-4ED9-9B37-66603293175A}" name="Week:" dataDxfId="185"/>
    <tableColumn id="9" xr3:uid="{D3E26338-A6A8-44FA-82E3-6C6B1D0FC44B}" name="Totale uren:" dataDxfId="184"/>
    <tableColumn id="5" xr3:uid="{B0E60B82-71F7-4C88-BA71-C978C4D6F459}" name="Medewerker 1:" dataDxfId="183"/>
    <tableColumn id="10" xr3:uid="{D72A2146-3BFE-4898-AF35-4DFD5172B310}" name="% uren 1:" dataDxfId="182"/>
    <tableColumn id="6" xr3:uid="{49AEBA47-CD64-4A59-8AA2-D454769ECB43}" name="Uren 1:" dataDxfId="181">
      <calculatedColumnFormula>IF(Tabel1[[#This Row],[% uren 1:]]="","",Tabel1[[#This Row],[% uren 1:]]*Tabel1[[#This Row],[Totale uren:]])</calculatedColumnFormula>
    </tableColumn>
    <tableColumn id="11" xr3:uid="{2762350F-A444-4236-BF38-C3B4D7A5AE9C}" name="Medewerker 2:" dataDxfId="180"/>
    <tableColumn id="12" xr3:uid="{5088EFEE-FAF6-4F46-B6BF-3BDC37C1B639}" name="% uren 2:" dataDxfId="179"/>
    <tableColumn id="13" xr3:uid="{AA43E30E-FA11-410C-ABBE-072DAF24395C}" name="Uren 2:" dataDxfId="178">
      <calculatedColumnFormula>IF(Tabel1[[#This Row],[% uren 2:]]="","",Tabel1[[#This Row],[% uren 2:]]*Tabel1[[#This Row],[Totale uren:]])</calculatedColumnFormula>
    </tableColumn>
    <tableColumn id="17" xr3:uid="{C89A55C0-2CC8-47E6-9ADA-80A9B1FEC50D}" name="Medewerker 3:" dataDxfId="177"/>
    <tableColumn id="18" xr3:uid="{E2439683-8699-45CD-A46E-1AE359298B97}" name="% uren 3:" dataDxfId="176"/>
    <tableColumn id="19" xr3:uid="{E6086DA6-8CA3-4CCC-BCCB-85FD26425560}" name="Uren 3:" dataDxfId="175">
      <calculatedColumnFormula>IF(Tabel1[[#This Row],[% uren 3:]]="","",Tabel1[[#This Row],[% uren 3:]]*Tabel1[[#This Row],[Totale uren:]])</calculatedColumnFormula>
    </tableColumn>
    <tableColumn id="20" xr3:uid="{403DE44F-5D26-41D3-80A8-E01D0DF8F6FE}" name="Controle %" dataDxfId="174">
      <calculatedColumnFormula>IF(Tabel1[[#This Row],[Ordernummer:]]="","",SUM(Tabel1[[#This Row],[% uren 1:]],Tabel1[[#This Row],[% uren 2:]],Tabel1[[#This Row],[% uren 3:]]))</calculatedColumnFormula>
    </tableColumn>
    <tableColumn id="15" xr3:uid="{5B58502F-3DEA-46DD-A050-B3FBD7592A52}" name="Datum coater/verzinkerij:" dataDxfId="173"/>
    <tableColumn id="16" xr3:uid="{5116D12C-40AF-4BA4-9FCC-46E2F583FEF8}" name="Datum gereed:" dataDxfId="172"/>
    <tableColumn id="7" xr3:uid="{59822950-E30B-4B3F-936A-95DA90029613}" name="Status:" dataDxfId="171"/>
    <tableColumn id="8" xr3:uid="{DA5A25F8-66DA-429E-9EDB-B881768E184D}" name="Hulpmaterialen:" dataDxfId="17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2F502-4A82-41AD-8A63-A6A1B21F4FE8}">
  <dimension ref="B1:W1003"/>
  <sheetViews>
    <sheetView workbookViewId="0">
      <pane ySplit="5" topLeftCell="A6" activePane="bottomLeft" state="frozen"/>
      <selection pane="bottomLeft" activeCell="W13" sqref="W13"/>
    </sheetView>
  </sheetViews>
  <sheetFormatPr defaultRowHeight="15" x14ac:dyDescent="0.25"/>
  <cols>
    <col min="1" max="1" width="4.28515625" customWidth="1"/>
    <col min="2" max="2" width="17.140625" style="6" customWidth="1"/>
    <col min="3" max="3" width="35" style="6" customWidth="1"/>
    <col min="4" max="4" width="17.140625" style="6" customWidth="1"/>
    <col min="5" max="5" width="10" style="1" customWidth="1"/>
    <col min="6" max="6" width="14" style="1" bestFit="1" customWidth="1"/>
    <col min="7" max="7" width="17.140625" style="1" customWidth="1"/>
    <col min="8" max="8" width="11.42578125" style="32" bestFit="1" customWidth="1"/>
    <col min="9" max="9" width="8.5703125" style="1" customWidth="1"/>
    <col min="10" max="10" width="17" style="1" bestFit="1" customWidth="1"/>
    <col min="11" max="11" width="11.42578125" style="32" bestFit="1" customWidth="1"/>
    <col min="12" max="12" width="8.5703125" style="1" customWidth="1"/>
    <col min="13" max="13" width="17" style="1" bestFit="1" customWidth="1"/>
    <col min="14" max="14" width="11.42578125" style="32" bestFit="1" customWidth="1"/>
    <col min="15" max="15" width="9.85546875" style="1" bestFit="1" customWidth="1"/>
    <col min="16" max="16" width="11.85546875" style="32" bestFit="1" customWidth="1"/>
    <col min="17" max="17" width="24" style="124" bestFit="1" customWidth="1"/>
    <col min="18" max="18" width="15" style="124" bestFit="1" customWidth="1"/>
    <col min="19" max="19" width="32.85546875" style="6" customWidth="1"/>
    <col min="20" max="20" width="17.85546875" bestFit="1" customWidth="1"/>
    <col min="23" max="23" width="21.85546875" bestFit="1" customWidth="1"/>
  </cols>
  <sheetData>
    <row r="1" spans="2:23" x14ac:dyDescent="0.25">
      <c r="V1" s="90"/>
      <c r="W1" t="s">
        <v>0</v>
      </c>
    </row>
    <row r="2" spans="2:23" x14ac:dyDescent="0.25">
      <c r="V2" s="88"/>
      <c r="W2" t="s">
        <v>1</v>
      </c>
    </row>
    <row r="3" spans="2:23" x14ac:dyDescent="0.25">
      <c r="V3" s="89"/>
      <c r="W3" t="s">
        <v>2</v>
      </c>
    </row>
    <row r="4" spans="2:23" ht="15.75" thickBot="1" x14ac:dyDescent="0.3">
      <c r="Q4" s="122"/>
      <c r="R4" s="122"/>
      <c r="S4" s="143" t="s">
        <v>3</v>
      </c>
      <c r="T4" s="143"/>
      <c r="V4" s="33"/>
      <c r="W4" t="s">
        <v>4</v>
      </c>
    </row>
    <row r="5" spans="2:23" ht="15.75" thickBot="1" x14ac:dyDescent="0.3">
      <c r="B5" s="8" t="s">
        <v>5</v>
      </c>
      <c r="C5" s="5" t="s">
        <v>6</v>
      </c>
      <c r="D5" s="4" t="s">
        <v>7</v>
      </c>
      <c r="E5" s="69" t="s">
        <v>8</v>
      </c>
      <c r="F5" s="71" t="s">
        <v>9</v>
      </c>
      <c r="G5" s="69" t="s">
        <v>10</v>
      </c>
      <c r="H5" s="70" t="s">
        <v>11</v>
      </c>
      <c r="I5" s="71" t="s">
        <v>12</v>
      </c>
      <c r="J5" s="8" t="s">
        <v>13</v>
      </c>
      <c r="K5" s="70" t="s">
        <v>14</v>
      </c>
      <c r="L5" s="4" t="s">
        <v>15</v>
      </c>
      <c r="M5" s="8" t="s">
        <v>68</v>
      </c>
      <c r="N5" s="70" t="s">
        <v>69</v>
      </c>
      <c r="O5" s="4" t="s">
        <v>70</v>
      </c>
      <c r="P5" s="136" t="s">
        <v>76</v>
      </c>
      <c r="Q5" s="123" t="s">
        <v>67</v>
      </c>
      <c r="R5" s="123" t="s">
        <v>66</v>
      </c>
      <c r="S5" s="69" t="s">
        <v>16</v>
      </c>
      <c r="T5" s="27" t="s">
        <v>17</v>
      </c>
      <c r="V5" s="87"/>
      <c r="W5" s="34" t="s">
        <v>18</v>
      </c>
    </row>
    <row r="6" spans="2:23" x14ac:dyDescent="0.25">
      <c r="B6" s="7"/>
      <c r="C6" s="10"/>
      <c r="D6" s="10"/>
      <c r="E6" s="72"/>
      <c r="F6" s="73"/>
      <c r="G6" s="72"/>
      <c r="H6" s="31"/>
      <c r="I6" s="85" t="str">
        <f>IF(Tabel1[[#This Row],[% uren 1:]]="","",Tabel1[[#This Row],[% uren 1:]]*Tabel1[[#This Row],[Totale uren:]])</f>
        <v/>
      </c>
      <c r="J6" s="68"/>
      <c r="K6" s="31"/>
      <c r="L6" s="86" t="str">
        <f>IF(Tabel1[[#This Row],[% uren 2:]]="","",Tabel1[[#This Row],[% uren 2:]]*Tabel1[[#This Row],[Totale uren:]])</f>
        <v/>
      </c>
      <c r="M6" s="76"/>
      <c r="N6" s="31"/>
      <c r="O6" s="133" t="str">
        <f>IF(Tabel1[[#This Row],[% uren 3:]]="","",Tabel1[[#This Row],[% uren 3:]]*Tabel1[[#This Row],[Totale uren:]])</f>
        <v/>
      </c>
      <c r="P6" s="137" t="str">
        <f>IF(Tabel1[[#This Row],[Ordernummer:]]="","",SUM(Tabel1[[#This Row],[% uren 1:]],Tabel1[[#This Row],[% uren 2:]],Tabel1[[#This Row],[% uren 3:]]))</f>
        <v/>
      </c>
      <c r="Q6" s="125"/>
      <c r="R6" s="126"/>
      <c r="S6" s="44"/>
      <c r="T6" s="25"/>
    </row>
    <row r="7" spans="2:23" x14ac:dyDescent="0.25">
      <c r="B7" s="7"/>
      <c r="C7" s="10"/>
      <c r="D7" s="10"/>
      <c r="E7" s="72"/>
      <c r="F7" s="73"/>
      <c r="G7" s="72"/>
      <c r="H7" s="31"/>
      <c r="I7" s="85" t="str">
        <f>IF(Tabel1[[#This Row],[% uren 1:]]="","",Tabel1[[#This Row],[% uren 1:]]*Tabel1[[#This Row],[Totale uren:]])</f>
        <v/>
      </c>
      <c r="J7" s="68"/>
      <c r="K7" s="31"/>
      <c r="L7" s="86" t="str">
        <f>IF(Tabel1[[#This Row],[% uren 2:]]="","",Tabel1[[#This Row],[% uren 2:]]*Tabel1[[#This Row],[Totale uren:]])</f>
        <v/>
      </c>
      <c r="M7" s="72"/>
      <c r="N7" s="31"/>
      <c r="O7" s="85" t="str">
        <f>IF(Tabel1[[#This Row],[% uren 3:]]="","",Tabel1[[#This Row],[% uren 3:]]*Tabel1[[#This Row],[Totale uren:]])</f>
        <v/>
      </c>
      <c r="P7" s="138" t="str">
        <f>IF(Tabel1[[#This Row],[Ordernummer:]]="","",SUM(Tabel1[[#This Row],[% uren 1:]],Tabel1[[#This Row],[% uren 2:]],Tabel1[[#This Row],[% uren 3:]]))</f>
        <v/>
      </c>
      <c r="Q7" s="127"/>
      <c r="R7" s="128"/>
      <c r="S7" s="44"/>
      <c r="T7" s="25"/>
    </row>
    <row r="8" spans="2:23" x14ac:dyDescent="0.25">
      <c r="B8" s="7"/>
      <c r="C8" s="10"/>
      <c r="D8" s="10"/>
      <c r="E8" s="72"/>
      <c r="F8" s="73"/>
      <c r="G8" s="72"/>
      <c r="H8" s="31"/>
      <c r="I8" s="85" t="str">
        <f>IF(Tabel1[[#This Row],[% uren 1:]]="","",Tabel1[[#This Row],[% uren 1:]]*Tabel1[[#This Row],[Totale uren:]])</f>
        <v/>
      </c>
      <c r="J8" s="68"/>
      <c r="K8" s="31"/>
      <c r="L8" s="86" t="str">
        <f>IF(Tabel1[[#This Row],[% uren 2:]]="","",Tabel1[[#This Row],[% uren 2:]]*Tabel1[[#This Row],[Totale uren:]])</f>
        <v/>
      </c>
      <c r="M8" s="72"/>
      <c r="N8" s="31"/>
      <c r="O8" s="85" t="str">
        <f>IF(Tabel1[[#This Row],[% uren 3:]]="","",Tabel1[[#This Row],[% uren 3:]]*Tabel1[[#This Row],[Totale uren:]])</f>
        <v/>
      </c>
      <c r="P8" s="138" t="str">
        <f>IF(Tabel1[[#This Row],[Ordernummer:]]="","",SUM(Tabel1[[#This Row],[% uren 1:]],Tabel1[[#This Row],[% uren 2:]],Tabel1[[#This Row],[% uren 3:]]))</f>
        <v/>
      </c>
      <c r="Q8" s="127"/>
      <c r="R8" s="128"/>
      <c r="S8" s="44"/>
      <c r="T8" s="25"/>
    </row>
    <row r="9" spans="2:23" x14ac:dyDescent="0.25">
      <c r="B9" s="7"/>
      <c r="C9" s="10"/>
      <c r="D9" s="10"/>
      <c r="E9" s="72"/>
      <c r="F9" s="73"/>
      <c r="G9" s="72"/>
      <c r="H9" s="31"/>
      <c r="I9" s="85" t="str">
        <f>IF(Tabel1[[#This Row],[% uren 1:]]="","",Tabel1[[#This Row],[% uren 1:]]*Tabel1[[#This Row],[Totale uren:]])</f>
        <v/>
      </c>
      <c r="J9" s="68"/>
      <c r="K9" s="31"/>
      <c r="L9" s="86" t="str">
        <f>IF(Tabel1[[#This Row],[% uren 2:]]="","",Tabel1[[#This Row],[% uren 2:]]*Tabel1[[#This Row],[Totale uren:]])</f>
        <v/>
      </c>
      <c r="M9" s="72"/>
      <c r="N9" s="31"/>
      <c r="O9" s="85" t="str">
        <f>IF(Tabel1[[#This Row],[% uren 3:]]="","",Tabel1[[#This Row],[% uren 3:]]*Tabel1[[#This Row],[Totale uren:]])</f>
        <v/>
      </c>
      <c r="P9" s="138" t="str">
        <f>IF(Tabel1[[#This Row],[Ordernummer:]]="","",SUM(Tabel1[[#This Row],[% uren 1:]],Tabel1[[#This Row],[% uren 2:]],Tabel1[[#This Row],[% uren 3:]]))</f>
        <v/>
      </c>
      <c r="Q9" s="127"/>
      <c r="R9" s="128"/>
      <c r="S9" s="44"/>
      <c r="T9" s="25"/>
    </row>
    <row r="10" spans="2:23" x14ac:dyDescent="0.25">
      <c r="B10" s="7"/>
      <c r="C10" s="10"/>
      <c r="D10" s="10"/>
      <c r="E10" s="72"/>
      <c r="F10" s="73"/>
      <c r="G10" s="72"/>
      <c r="H10" s="31"/>
      <c r="I10" s="85" t="str">
        <f>IF(Tabel1[[#This Row],[% uren 1:]]="","",Tabel1[[#This Row],[% uren 1:]]*Tabel1[[#This Row],[Totale uren:]])</f>
        <v/>
      </c>
      <c r="J10" s="68"/>
      <c r="K10" s="31"/>
      <c r="L10" s="86" t="str">
        <f>IF(Tabel1[[#This Row],[% uren 2:]]="","",Tabel1[[#This Row],[% uren 2:]]*Tabel1[[#This Row],[Totale uren:]])</f>
        <v/>
      </c>
      <c r="M10" s="72"/>
      <c r="N10" s="31"/>
      <c r="O10" s="85" t="str">
        <f>IF(Tabel1[[#This Row],[% uren 3:]]="","",Tabel1[[#This Row],[% uren 3:]]*Tabel1[[#This Row],[Totale uren:]])</f>
        <v/>
      </c>
      <c r="P10" s="138" t="str">
        <f>IF(Tabel1[[#This Row],[Ordernummer:]]="","",SUM(Tabel1[[#This Row],[% uren 1:]],Tabel1[[#This Row],[% uren 2:]],Tabel1[[#This Row],[% uren 3:]]))</f>
        <v/>
      </c>
      <c r="Q10" s="127"/>
      <c r="R10" s="128"/>
      <c r="S10" s="44"/>
      <c r="T10" s="25"/>
    </row>
    <row r="11" spans="2:23" x14ac:dyDescent="0.25">
      <c r="B11" s="7"/>
      <c r="C11" s="10"/>
      <c r="D11" s="10"/>
      <c r="E11" s="72"/>
      <c r="F11" s="73"/>
      <c r="G11" s="72"/>
      <c r="H11" s="31"/>
      <c r="I11" s="85" t="str">
        <f>IF(Tabel1[[#This Row],[% uren 1:]]="","",Tabel1[[#This Row],[% uren 1:]]*Tabel1[[#This Row],[Totale uren:]])</f>
        <v/>
      </c>
      <c r="J11" s="68"/>
      <c r="K11" s="31"/>
      <c r="L11" s="86" t="str">
        <f>IF(Tabel1[[#This Row],[% uren 2:]]="","",Tabel1[[#This Row],[% uren 2:]]*Tabel1[[#This Row],[Totale uren:]])</f>
        <v/>
      </c>
      <c r="M11" s="72"/>
      <c r="N11" s="31"/>
      <c r="O11" s="85" t="str">
        <f>IF(Tabel1[[#This Row],[% uren 3:]]="","",Tabel1[[#This Row],[% uren 3:]]*Tabel1[[#This Row],[Totale uren:]])</f>
        <v/>
      </c>
      <c r="P11" s="138" t="str">
        <f>IF(Tabel1[[#This Row],[Ordernummer:]]="","",SUM(Tabel1[[#This Row],[% uren 1:]],Tabel1[[#This Row],[% uren 2:]],Tabel1[[#This Row],[% uren 3:]]))</f>
        <v/>
      </c>
      <c r="Q11" s="127"/>
      <c r="R11" s="128"/>
      <c r="S11" s="44"/>
      <c r="T11" s="25"/>
    </row>
    <row r="12" spans="2:23" x14ac:dyDescent="0.25">
      <c r="B12" s="7"/>
      <c r="C12" s="10"/>
      <c r="D12" s="10"/>
      <c r="E12" s="72"/>
      <c r="F12" s="73"/>
      <c r="G12" s="72"/>
      <c r="H12" s="31"/>
      <c r="I12" s="85" t="str">
        <f>IF(Tabel1[[#This Row],[% uren 1:]]="","",Tabel1[[#This Row],[% uren 1:]]*Tabel1[[#This Row],[Totale uren:]])</f>
        <v/>
      </c>
      <c r="J12" s="68"/>
      <c r="K12" s="31"/>
      <c r="L12" s="86" t="str">
        <f>IF(Tabel1[[#This Row],[% uren 2:]]="","",Tabel1[[#This Row],[% uren 2:]]*Tabel1[[#This Row],[Totale uren:]])</f>
        <v/>
      </c>
      <c r="M12" s="72"/>
      <c r="N12" s="31"/>
      <c r="O12" s="85" t="str">
        <f>IF(Tabel1[[#This Row],[% uren 3:]]="","",Tabel1[[#This Row],[% uren 3:]]*Tabel1[[#This Row],[Totale uren:]])</f>
        <v/>
      </c>
      <c r="P12" s="138" t="str">
        <f>IF(Tabel1[[#This Row],[Ordernummer:]]="","",SUM(Tabel1[[#This Row],[% uren 1:]],Tabel1[[#This Row],[% uren 2:]],Tabel1[[#This Row],[% uren 3:]]))</f>
        <v/>
      </c>
      <c r="Q12" s="127"/>
      <c r="R12" s="128"/>
      <c r="S12" s="44"/>
      <c r="T12" s="25"/>
    </row>
    <row r="13" spans="2:23" x14ac:dyDescent="0.25">
      <c r="B13" s="7"/>
      <c r="C13" s="10"/>
      <c r="D13" s="10"/>
      <c r="E13" s="72"/>
      <c r="F13" s="73"/>
      <c r="G13" s="72"/>
      <c r="H13" s="31"/>
      <c r="I13" s="85" t="str">
        <f>IF(Tabel1[[#This Row],[% uren 1:]]="","",Tabel1[[#This Row],[% uren 1:]]*Tabel1[[#This Row],[Totale uren:]])</f>
        <v/>
      </c>
      <c r="J13" s="68"/>
      <c r="K13" s="31"/>
      <c r="L13" s="86" t="str">
        <f>IF(Tabel1[[#This Row],[% uren 2:]]="","",Tabel1[[#This Row],[% uren 2:]]*Tabel1[[#This Row],[Totale uren:]])</f>
        <v/>
      </c>
      <c r="M13" s="72"/>
      <c r="N13" s="31"/>
      <c r="O13" s="85" t="str">
        <f>IF(Tabel1[[#This Row],[% uren 3:]]="","",Tabel1[[#This Row],[% uren 3:]]*Tabel1[[#This Row],[Totale uren:]])</f>
        <v/>
      </c>
      <c r="P13" s="138" t="str">
        <f>IF(Tabel1[[#This Row],[Ordernummer:]]="","",SUM(Tabel1[[#This Row],[% uren 1:]],Tabel1[[#This Row],[% uren 2:]],Tabel1[[#This Row],[% uren 3:]]))</f>
        <v/>
      </c>
      <c r="Q13" s="127"/>
      <c r="R13" s="128"/>
      <c r="S13" s="44"/>
      <c r="T13" s="25"/>
    </row>
    <row r="14" spans="2:23" x14ac:dyDescent="0.25">
      <c r="B14" s="7"/>
      <c r="C14" s="10"/>
      <c r="D14" s="10"/>
      <c r="E14" s="72"/>
      <c r="F14" s="73"/>
      <c r="G14" s="72"/>
      <c r="H14" s="31"/>
      <c r="I14" s="85" t="str">
        <f>IF(Tabel1[[#This Row],[% uren 1:]]="","",Tabel1[[#This Row],[% uren 1:]]*Tabel1[[#This Row],[Totale uren:]])</f>
        <v/>
      </c>
      <c r="J14" s="68"/>
      <c r="K14" s="31"/>
      <c r="L14" s="86" t="str">
        <f>IF(Tabel1[[#This Row],[% uren 2:]]="","",Tabel1[[#This Row],[% uren 2:]]*Tabel1[[#This Row],[Totale uren:]])</f>
        <v/>
      </c>
      <c r="M14" s="72"/>
      <c r="N14" s="31"/>
      <c r="O14" s="85" t="str">
        <f>IF(Tabel1[[#This Row],[% uren 3:]]="","",Tabel1[[#This Row],[% uren 3:]]*Tabel1[[#This Row],[Totale uren:]])</f>
        <v/>
      </c>
      <c r="P14" s="138" t="str">
        <f>IF(Tabel1[[#This Row],[Ordernummer:]]="","",SUM(Tabel1[[#This Row],[% uren 1:]],Tabel1[[#This Row],[% uren 2:]],Tabel1[[#This Row],[% uren 3:]]))</f>
        <v/>
      </c>
      <c r="Q14" s="127"/>
      <c r="R14" s="128"/>
      <c r="S14" s="44"/>
      <c r="T14" s="25"/>
    </row>
    <row r="15" spans="2:23" x14ac:dyDescent="0.25">
      <c r="B15" s="7"/>
      <c r="C15" s="10"/>
      <c r="D15" s="10"/>
      <c r="E15" s="72"/>
      <c r="F15" s="73"/>
      <c r="G15" s="72"/>
      <c r="H15" s="31"/>
      <c r="I15" s="85" t="str">
        <f>IF(Tabel1[[#This Row],[% uren 1:]]="","",Tabel1[[#This Row],[% uren 1:]]*Tabel1[[#This Row],[Totale uren:]])</f>
        <v/>
      </c>
      <c r="J15" s="68"/>
      <c r="K15" s="31"/>
      <c r="L15" s="86" t="str">
        <f>IF(Tabel1[[#This Row],[% uren 2:]]="","",Tabel1[[#This Row],[% uren 2:]]*Tabel1[[#This Row],[Totale uren:]])</f>
        <v/>
      </c>
      <c r="M15" s="72"/>
      <c r="N15" s="31"/>
      <c r="O15" s="85" t="str">
        <f>IF(Tabel1[[#This Row],[% uren 3:]]="","",Tabel1[[#This Row],[% uren 3:]]*Tabel1[[#This Row],[Totale uren:]])</f>
        <v/>
      </c>
      <c r="P15" s="138" t="str">
        <f>IF(Tabel1[[#This Row],[Ordernummer:]]="","",SUM(Tabel1[[#This Row],[% uren 1:]],Tabel1[[#This Row],[% uren 2:]],Tabel1[[#This Row],[% uren 3:]]))</f>
        <v/>
      </c>
      <c r="Q15" s="127"/>
      <c r="R15" s="128"/>
      <c r="S15" s="44"/>
      <c r="T15" s="25"/>
    </row>
    <row r="16" spans="2:23" x14ac:dyDescent="0.25">
      <c r="B16" s="7"/>
      <c r="C16" s="10"/>
      <c r="D16" s="10"/>
      <c r="E16" s="72"/>
      <c r="F16" s="73"/>
      <c r="G16" s="72"/>
      <c r="H16" s="31"/>
      <c r="I16" s="85" t="str">
        <f>IF(Tabel1[[#This Row],[% uren 1:]]="","",Tabel1[[#This Row],[% uren 1:]]*Tabel1[[#This Row],[Totale uren:]])</f>
        <v/>
      </c>
      <c r="J16" s="68"/>
      <c r="K16" s="31"/>
      <c r="L16" s="86" t="str">
        <f>IF(Tabel1[[#This Row],[% uren 2:]]="","",Tabel1[[#This Row],[% uren 2:]]*Tabel1[[#This Row],[Totale uren:]])</f>
        <v/>
      </c>
      <c r="M16" s="72"/>
      <c r="N16" s="31"/>
      <c r="O16" s="85" t="str">
        <f>IF(Tabel1[[#This Row],[% uren 3:]]="","",Tabel1[[#This Row],[% uren 3:]]*Tabel1[[#This Row],[Totale uren:]])</f>
        <v/>
      </c>
      <c r="P16" s="138" t="str">
        <f>IF(Tabel1[[#This Row],[Ordernummer:]]="","",SUM(Tabel1[[#This Row],[% uren 1:]],Tabel1[[#This Row],[% uren 2:]],Tabel1[[#This Row],[% uren 3:]]))</f>
        <v/>
      </c>
      <c r="Q16" s="127"/>
      <c r="R16" s="128"/>
      <c r="S16" s="44"/>
      <c r="T16" s="25"/>
    </row>
    <row r="17" spans="2:20" x14ac:dyDescent="0.25">
      <c r="B17" s="7"/>
      <c r="C17" s="10"/>
      <c r="D17" s="10"/>
      <c r="E17" s="72"/>
      <c r="F17" s="73"/>
      <c r="G17" s="72"/>
      <c r="H17" s="31"/>
      <c r="I17" s="85" t="str">
        <f>IF(Tabel1[[#This Row],[% uren 1:]]="","",Tabel1[[#This Row],[% uren 1:]]*Tabel1[[#This Row],[Totale uren:]])</f>
        <v/>
      </c>
      <c r="J17" s="68"/>
      <c r="K17" s="31"/>
      <c r="L17" s="86" t="str">
        <f>IF(Tabel1[[#This Row],[% uren 2:]]="","",Tabel1[[#This Row],[% uren 2:]]*Tabel1[[#This Row],[Totale uren:]])</f>
        <v/>
      </c>
      <c r="M17" s="72"/>
      <c r="N17" s="31"/>
      <c r="O17" s="85" t="str">
        <f>IF(Tabel1[[#This Row],[% uren 3:]]="","",Tabel1[[#This Row],[% uren 3:]]*Tabel1[[#This Row],[Totale uren:]])</f>
        <v/>
      </c>
      <c r="P17" s="138" t="str">
        <f>IF(Tabel1[[#This Row],[Ordernummer:]]="","",SUM(Tabel1[[#This Row],[% uren 1:]],Tabel1[[#This Row],[% uren 2:]],Tabel1[[#This Row],[% uren 3:]]))</f>
        <v/>
      </c>
      <c r="Q17" s="127"/>
      <c r="R17" s="128"/>
      <c r="S17" s="44"/>
      <c r="T17" s="25"/>
    </row>
    <row r="18" spans="2:20" x14ac:dyDescent="0.25">
      <c r="B18" s="7"/>
      <c r="C18" s="10"/>
      <c r="D18" s="10"/>
      <c r="E18" s="72"/>
      <c r="F18" s="73"/>
      <c r="G18" s="72"/>
      <c r="H18" s="31"/>
      <c r="I18" s="85" t="str">
        <f>IF(Tabel1[[#This Row],[% uren 1:]]="","",Tabel1[[#This Row],[% uren 1:]]*Tabel1[[#This Row],[Totale uren:]])</f>
        <v/>
      </c>
      <c r="J18" s="68"/>
      <c r="K18" s="31"/>
      <c r="L18" s="86" t="str">
        <f>IF(Tabel1[[#This Row],[% uren 2:]]="","",Tabel1[[#This Row],[% uren 2:]]*Tabel1[[#This Row],[Totale uren:]])</f>
        <v/>
      </c>
      <c r="M18" s="72"/>
      <c r="N18" s="31"/>
      <c r="O18" s="85" t="str">
        <f>IF(Tabel1[[#This Row],[% uren 3:]]="","",Tabel1[[#This Row],[% uren 3:]]*Tabel1[[#This Row],[Totale uren:]])</f>
        <v/>
      </c>
      <c r="P18" s="138" t="str">
        <f>IF(Tabel1[[#This Row],[Ordernummer:]]="","",SUM(Tabel1[[#This Row],[% uren 1:]],Tabel1[[#This Row],[% uren 2:]],Tabel1[[#This Row],[% uren 3:]]))</f>
        <v/>
      </c>
      <c r="Q18" s="127"/>
      <c r="R18" s="128"/>
      <c r="S18" s="44"/>
      <c r="T18" s="25"/>
    </row>
    <row r="19" spans="2:20" x14ac:dyDescent="0.25">
      <c r="B19" s="7"/>
      <c r="C19" s="10"/>
      <c r="D19" s="10"/>
      <c r="E19" s="72"/>
      <c r="F19" s="73"/>
      <c r="G19" s="72"/>
      <c r="H19" s="31"/>
      <c r="I19" s="85" t="str">
        <f>IF(Tabel1[[#This Row],[% uren 1:]]="","",Tabel1[[#This Row],[% uren 1:]]*Tabel1[[#This Row],[Totale uren:]])</f>
        <v/>
      </c>
      <c r="J19" s="68"/>
      <c r="K19" s="31"/>
      <c r="L19" s="86" t="str">
        <f>IF(Tabel1[[#This Row],[% uren 2:]]="","",Tabel1[[#This Row],[% uren 2:]]*Tabel1[[#This Row],[Totale uren:]])</f>
        <v/>
      </c>
      <c r="M19" s="72"/>
      <c r="N19" s="31"/>
      <c r="O19" s="85" t="str">
        <f>IF(Tabel1[[#This Row],[% uren 3:]]="","",Tabel1[[#This Row],[% uren 3:]]*Tabel1[[#This Row],[Totale uren:]])</f>
        <v/>
      </c>
      <c r="P19" s="138" t="str">
        <f>IF(Tabel1[[#This Row],[Ordernummer:]]="","",SUM(Tabel1[[#This Row],[% uren 1:]],Tabel1[[#This Row],[% uren 2:]],Tabel1[[#This Row],[% uren 3:]]))</f>
        <v/>
      </c>
      <c r="Q19" s="127"/>
      <c r="R19" s="128"/>
      <c r="S19" s="44"/>
      <c r="T19" s="25"/>
    </row>
    <row r="20" spans="2:20" x14ac:dyDescent="0.25">
      <c r="B20" s="7"/>
      <c r="C20" s="10"/>
      <c r="D20" s="10"/>
      <c r="E20" s="72"/>
      <c r="F20" s="73"/>
      <c r="G20" s="72"/>
      <c r="H20" s="31"/>
      <c r="I20" s="85" t="str">
        <f>IF(Tabel1[[#This Row],[% uren 1:]]="","",Tabel1[[#This Row],[% uren 1:]]*Tabel1[[#This Row],[Totale uren:]])</f>
        <v/>
      </c>
      <c r="J20" s="68"/>
      <c r="K20" s="31"/>
      <c r="L20" s="86" t="str">
        <f>IF(Tabel1[[#This Row],[% uren 2:]]="","",Tabel1[[#This Row],[% uren 2:]]*Tabel1[[#This Row],[Totale uren:]])</f>
        <v/>
      </c>
      <c r="M20" s="72"/>
      <c r="N20" s="31"/>
      <c r="O20" s="85" t="str">
        <f>IF(Tabel1[[#This Row],[% uren 3:]]="","",Tabel1[[#This Row],[% uren 3:]]*Tabel1[[#This Row],[Totale uren:]])</f>
        <v/>
      </c>
      <c r="P20" s="138" t="str">
        <f>IF(Tabel1[[#This Row],[Ordernummer:]]="","",SUM(Tabel1[[#This Row],[% uren 1:]],Tabel1[[#This Row],[% uren 2:]],Tabel1[[#This Row],[% uren 3:]]))</f>
        <v/>
      </c>
      <c r="Q20" s="127"/>
      <c r="R20" s="128"/>
      <c r="S20" s="44"/>
      <c r="T20" s="25"/>
    </row>
    <row r="21" spans="2:20" x14ac:dyDescent="0.25">
      <c r="B21" s="7"/>
      <c r="C21" s="10"/>
      <c r="D21" s="10"/>
      <c r="E21" s="72"/>
      <c r="F21" s="73"/>
      <c r="G21" s="72"/>
      <c r="H21" s="31"/>
      <c r="I21" s="85" t="str">
        <f>IF(Tabel1[[#This Row],[% uren 1:]]="","",Tabel1[[#This Row],[% uren 1:]]*Tabel1[[#This Row],[Totale uren:]])</f>
        <v/>
      </c>
      <c r="J21" s="68"/>
      <c r="K21" s="31"/>
      <c r="L21" s="86" t="str">
        <f>IF(Tabel1[[#This Row],[% uren 2:]]="","",Tabel1[[#This Row],[% uren 2:]]*Tabel1[[#This Row],[Totale uren:]])</f>
        <v/>
      </c>
      <c r="M21" s="72"/>
      <c r="N21" s="31"/>
      <c r="O21" s="85" t="str">
        <f>IF(Tabel1[[#This Row],[% uren 3:]]="","",Tabel1[[#This Row],[% uren 3:]]*Tabel1[[#This Row],[Totale uren:]])</f>
        <v/>
      </c>
      <c r="P21" s="138" t="str">
        <f>IF(Tabel1[[#This Row],[Ordernummer:]]="","",SUM(Tabel1[[#This Row],[% uren 1:]],Tabel1[[#This Row],[% uren 2:]],Tabel1[[#This Row],[% uren 3:]]))</f>
        <v/>
      </c>
      <c r="Q21" s="127"/>
      <c r="R21" s="128"/>
      <c r="S21" s="44"/>
      <c r="T21" s="25"/>
    </row>
    <row r="22" spans="2:20" x14ac:dyDescent="0.25">
      <c r="B22" s="7"/>
      <c r="C22" s="10"/>
      <c r="D22" s="10"/>
      <c r="E22" s="72"/>
      <c r="F22" s="73"/>
      <c r="G22" s="72"/>
      <c r="H22" s="31"/>
      <c r="I22" s="85" t="str">
        <f>IF(Tabel1[[#This Row],[% uren 1:]]="","",Tabel1[[#This Row],[% uren 1:]]*Tabel1[[#This Row],[Totale uren:]])</f>
        <v/>
      </c>
      <c r="J22" s="68"/>
      <c r="K22" s="31"/>
      <c r="L22" s="86" t="str">
        <f>IF(Tabel1[[#This Row],[% uren 2:]]="","",Tabel1[[#This Row],[% uren 2:]]*Tabel1[[#This Row],[Totale uren:]])</f>
        <v/>
      </c>
      <c r="M22" s="72"/>
      <c r="N22" s="31"/>
      <c r="O22" s="85" t="str">
        <f>IF(Tabel1[[#This Row],[% uren 3:]]="","",Tabel1[[#This Row],[% uren 3:]]*Tabel1[[#This Row],[Totale uren:]])</f>
        <v/>
      </c>
      <c r="P22" s="138" t="str">
        <f>IF(Tabel1[[#This Row],[Ordernummer:]]="","",SUM(Tabel1[[#This Row],[% uren 1:]],Tabel1[[#This Row],[% uren 2:]],Tabel1[[#This Row],[% uren 3:]]))</f>
        <v/>
      </c>
      <c r="Q22" s="127"/>
      <c r="R22" s="128"/>
      <c r="S22" s="44"/>
      <c r="T22" s="25"/>
    </row>
    <row r="23" spans="2:20" x14ac:dyDescent="0.25">
      <c r="B23" s="7"/>
      <c r="C23" s="10"/>
      <c r="D23" s="10"/>
      <c r="E23" s="72"/>
      <c r="F23" s="73"/>
      <c r="G23" s="72"/>
      <c r="H23" s="31"/>
      <c r="I23" s="85" t="str">
        <f>IF(Tabel1[[#This Row],[% uren 1:]]="","",Tabel1[[#This Row],[% uren 1:]]*Tabel1[[#This Row],[Totale uren:]])</f>
        <v/>
      </c>
      <c r="J23" s="68"/>
      <c r="K23" s="31"/>
      <c r="L23" s="86" t="str">
        <f>IF(Tabel1[[#This Row],[% uren 2:]]="","",Tabel1[[#This Row],[% uren 2:]]*Tabel1[[#This Row],[Totale uren:]])</f>
        <v/>
      </c>
      <c r="M23" s="72"/>
      <c r="N23" s="31"/>
      <c r="O23" s="85" t="str">
        <f>IF(Tabel1[[#This Row],[% uren 3:]]="","",Tabel1[[#This Row],[% uren 3:]]*Tabel1[[#This Row],[Totale uren:]])</f>
        <v/>
      </c>
      <c r="P23" s="138" t="str">
        <f>IF(Tabel1[[#This Row],[Ordernummer:]]="","",SUM(Tabel1[[#This Row],[% uren 1:]],Tabel1[[#This Row],[% uren 2:]],Tabel1[[#This Row],[% uren 3:]]))</f>
        <v/>
      </c>
      <c r="Q23" s="127"/>
      <c r="R23" s="128"/>
      <c r="S23" s="44"/>
      <c r="T23" s="25"/>
    </row>
    <row r="24" spans="2:20" x14ac:dyDescent="0.25">
      <c r="B24" s="7"/>
      <c r="C24" s="10"/>
      <c r="D24" s="10"/>
      <c r="E24" s="72"/>
      <c r="F24" s="73"/>
      <c r="G24" s="72"/>
      <c r="H24" s="31"/>
      <c r="I24" s="85" t="str">
        <f>IF(Tabel1[[#This Row],[% uren 1:]]="","",Tabel1[[#This Row],[% uren 1:]]*Tabel1[[#This Row],[Totale uren:]])</f>
        <v/>
      </c>
      <c r="J24" s="68"/>
      <c r="K24" s="31"/>
      <c r="L24" s="86" t="str">
        <f>IF(Tabel1[[#This Row],[% uren 2:]]="","",Tabel1[[#This Row],[% uren 2:]]*Tabel1[[#This Row],[Totale uren:]])</f>
        <v/>
      </c>
      <c r="M24" s="72"/>
      <c r="N24" s="31"/>
      <c r="O24" s="85" t="str">
        <f>IF(Tabel1[[#This Row],[% uren 3:]]="","",Tabel1[[#This Row],[% uren 3:]]*Tabel1[[#This Row],[Totale uren:]])</f>
        <v/>
      </c>
      <c r="P24" s="138" t="str">
        <f>IF(Tabel1[[#This Row],[Ordernummer:]]="","",SUM(Tabel1[[#This Row],[% uren 1:]],Tabel1[[#This Row],[% uren 2:]],Tabel1[[#This Row],[% uren 3:]]))</f>
        <v/>
      </c>
      <c r="Q24" s="127"/>
      <c r="R24" s="128"/>
      <c r="S24" s="44"/>
      <c r="T24" s="25"/>
    </row>
    <row r="25" spans="2:20" x14ac:dyDescent="0.25">
      <c r="B25" s="7"/>
      <c r="C25" s="10"/>
      <c r="D25" s="10"/>
      <c r="E25" s="72"/>
      <c r="F25" s="73"/>
      <c r="G25" s="72"/>
      <c r="H25" s="31"/>
      <c r="I25" s="85" t="str">
        <f>IF(Tabel1[[#This Row],[% uren 1:]]="","",Tabel1[[#This Row],[% uren 1:]]*Tabel1[[#This Row],[Totale uren:]])</f>
        <v/>
      </c>
      <c r="J25" s="68"/>
      <c r="K25" s="31"/>
      <c r="L25" s="86" t="str">
        <f>IF(Tabel1[[#This Row],[% uren 2:]]="","",Tabel1[[#This Row],[% uren 2:]]*Tabel1[[#This Row],[Totale uren:]])</f>
        <v/>
      </c>
      <c r="M25" s="72"/>
      <c r="N25" s="31"/>
      <c r="O25" s="85" t="str">
        <f>IF(Tabel1[[#This Row],[% uren 3:]]="","",Tabel1[[#This Row],[% uren 3:]]*Tabel1[[#This Row],[Totale uren:]])</f>
        <v/>
      </c>
      <c r="P25" s="138" t="str">
        <f>IF(Tabel1[[#This Row],[Ordernummer:]]="","",SUM(Tabel1[[#This Row],[% uren 1:]],Tabel1[[#This Row],[% uren 2:]],Tabel1[[#This Row],[% uren 3:]]))</f>
        <v/>
      </c>
      <c r="Q25" s="127"/>
      <c r="R25" s="128"/>
      <c r="S25" s="44"/>
      <c r="T25" s="25"/>
    </row>
    <row r="26" spans="2:20" x14ac:dyDescent="0.25">
      <c r="B26" s="7"/>
      <c r="C26" s="10"/>
      <c r="D26" s="10"/>
      <c r="E26" s="72"/>
      <c r="F26" s="73"/>
      <c r="G26" s="72"/>
      <c r="H26" s="31"/>
      <c r="I26" s="85" t="str">
        <f>IF(Tabel1[[#This Row],[% uren 1:]]="","",Tabel1[[#This Row],[% uren 1:]]*Tabel1[[#This Row],[Totale uren:]])</f>
        <v/>
      </c>
      <c r="J26" s="68"/>
      <c r="K26" s="31"/>
      <c r="L26" s="86" t="str">
        <f>IF(Tabel1[[#This Row],[% uren 2:]]="","",Tabel1[[#This Row],[% uren 2:]]*Tabel1[[#This Row],[Totale uren:]])</f>
        <v/>
      </c>
      <c r="M26" s="72"/>
      <c r="N26" s="31"/>
      <c r="O26" s="85" t="str">
        <f>IF(Tabel1[[#This Row],[% uren 3:]]="","",Tabel1[[#This Row],[% uren 3:]]*Tabel1[[#This Row],[Totale uren:]])</f>
        <v/>
      </c>
      <c r="P26" s="138" t="str">
        <f>IF(Tabel1[[#This Row],[Ordernummer:]]="","",SUM(Tabel1[[#This Row],[% uren 1:]],Tabel1[[#This Row],[% uren 2:]],Tabel1[[#This Row],[% uren 3:]]))</f>
        <v/>
      </c>
      <c r="Q26" s="127"/>
      <c r="R26" s="128"/>
      <c r="S26" s="44"/>
      <c r="T26" s="25"/>
    </row>
    <row r="27" spans="2:20" x14ac:dyDescent="0.25">
      <c r="B27" s="7"/>
      <c r="C27" s="10"/>
      <c r="D27" s="10"/>
      <c r="E27" s="72"/>
      <c r="F27" s="73"/>
      <c r="G27" s="72"/>
      <c r="H27" s="31"/>
      <c r="I27" s="85" t="str">
        <f>IF(Tabel1[[#This Row],[% uren 1:]]="","",Tabel1[[#This Row],[% uren 1:]]*Tabel1[[#This Row],[Totale uren:]])</f>
        <v/>
      </c>
      <c r="J27" s="68"/>
      <c r="K27" s="31"/>
      <c r="L27" s="86" t="str">
        <f>IF(Tabel1[[#This Row],[% uren 2:]]="","",Tabel1[[#This Row],[% uren 2:]]*Tabel1[[#This Row],[Totale uren:]])</f>
        <v/>
      </c>
      <c r="M27" s="72"/>
      <c r="N27" s="31"/>
      <c r="O27" s="85" t="str">
        <f>IF(Tabel1[[#This Row],[% uren 3:]]="","",Tabel1[[#This Row],[% uren 3:]]*Tabel1[[#This Row],[Totale uren:]])</f>
        <v/>
      </c>
      <c r="P27" s="138" t="str">
        <f>IF(Tabel1[[#This Row],[Ordernummer:]]="","",SUM(Tabel1[[#This Row],[% uren 1:]],Tabel1[[#This Row],[% uren 2:]],Tabel1[[#This Row],[% uren 3:]]))</f>
        <v/>
      </c>
      <c r="Q27" s="127"/>
      <c r="R27" s="128"/>
      <c r="S27" s="44"/>
      <c r="T27" s="25"/>
    </row>
    <row r="28" spans="2:20" x14ac:dyDescent="0.25">
      <c r="B28" s="7"/>
      <c r="C28" s="10"/>
      <c r="D28" s="10"/>
      <c r="E28" s="72"/>
      <c r="F28" s="73"/>
      <c r="G28" s="72"/>
      <c r="H28" s="31"/>
      <c r="I28" s="85" t="str">
        <f>IF(Tabel1[[#This Row],[% uren 1:]]="","",Tabel1[[#This Row],[% uren 1:]]*Tabel1[[#This Row],[Totale uren:]])</f>
        <v/>
      </c>
      <c r="J28" s="68"/>
      <c r="K28" s="31"/>
      <c r="L28" s="86" t="str">
        <f>IF(Tabel1[[#This Row],[% uren 2:]]="","",Tabel1[[#This Row],[% uren 2:]]*Tabel1[[#This Row],[Totale uren:]])</f>
        <v/>
      </c>
      <c r="M28" s="72"/>
      <c r="N28" s="31"/>
      <c r="O28" s="85" t="str">
        <f>IF(Tabel1[[#This Row],[% uren 3:]]="","",Tabel1[[#This Row],[% uren 3:]]*Tabel1[[#This Row],[Totale uren:]])</f>
        <v/>
      </c>
      <c r="P28" s="138" t="str">
        <f>IF(Tabel1[[#This Row],[Ordernummer:]]="","",SUM(Tabel1[[#This Row],[% uren 1:]],Tabel1[[#This Row],[% uren 2:]],Tabel1[[#This Row],[% uren 3:]]))</f>
        <v/>
      </c>
      <c r="Q28" s="127"/>
      <c r="R28" s="128"/>
      <c r="S28" s="44"/>
      <c r="T28" s="25"/>
    </row>
    <row r="29" spans="2:20" x14ac:dyDescent="0.25">
      <c r="B29" s="7"/>
      <c r="C29" s="10"/>
      <c r="D29" s="10"/>
      <c r="E29" s="72"/>
      <c r="F29" s="73"/>
      <c r="G29" s="72"/>
      <c r="H29" s="31"/>
      <c r="I29" s="85" t="str">
        <f>IF(Tabel1[[#This Row],[% uren 1:]]="","",Tabel1[[#This Row],[% uren 1:]]*Tabel1[[#This Row],[Totale uren:]])</f>
        <v/>
      </c>
      <c r="J29" s="68"/>
      <c r="K29" s="31"/>
      <c r="L29" s="86" t="str">
        <f>IF(Tabel1[[#This Row],[% uren 2:]]="","",Tabel1[[#This Row],[% uren 2:]]*Tabel1[[#This Row],[Totale uren:]])</f>
        <v/>
      </c>
      <c r="M29" s="72"/>
      <c r="N29" s="31"/>
      <c r="O29" s="85" t="str">
        <f>IF(Tabel1[[#This Row],[% uren 3:]]="","",Tabel1[[#This Row],[% uren 3:]]*Tabel1[[#This Row],[Totale uren:]])</f>
        <v/>
      </c>
      <c r="P29" s="138" t="str">
        <f>IF(Tabel1[[#This Row],[Ordernummer:]]="","",SUM(Tabel1[[#This Row],[% uren 1:]],Tabel1[[#This Row],[% uren 2:]],Tabel1[[#This Row],[% uren 3:]]))</f>
        <v/>
      </c>
      <c r="Q29" s="127"/>
      <c r="R29" s="128"/>
      <c r="S29" s="44"/>
      <c r="T29" s="25"/>
    </row>
    <row r="30" spans="2:20" x14ac:dyDescent="0.25">
      <c r="B30" s="7"/>
      <c r="C30" s="10"/>
      <c r="D30" s="10"/>
      <c r="E30" s="72"/>
      <c r="F30" s="73"/>
      <c r="G30" s="72"/>
      <c r="H30" s="31"/>
      <c r="I30" s="85" t="str">
        <f>IF(Tabel1[[#This Row],[% uren 1:]]="","",Tabel1[[#This Row],[% uren 1:]]*Tabel1[[#This Row],[Totale uren:]])</f>
        <v/>
      </c>
      <c r="J30" s="68"/>
      <c r="K30" s="31"/>
      <c r="L30" s="86" t="str">
        <f>IF(Tabel1[[#This Row],[% uren 2:]]="","",Tabel1[[#This Row],[% uren 2:]]*Tabel1[[#This Row],[Totale uren:]])</f>
        <v/>
      </c>
      <c r="M30" s="72"/>
      <c r="N30" s="31"/>
      <c r="O30" s="85" t="str">
        <f>IF(Tabel1[[#This Row],[% uren 3:]]="","",Tabel1[[#This Row],[% uren 3:]]*Tabel1[[#This Row],[Totale uren:]])</f>
        <v/>
      </c>
      <c r="P30" s="138" t="str">
        <f>IF(Tabel1[[#This Row],[Ordernummer:]]="","",SUM(Tabel1[[#This Row],[% uren 1:]],Tabel1[[#This Row],[% uren 2:]],Tabel1[[#This Row],[% uren 3:]]))</f>
        <v/>
      </c>
      <c r="Q30" s="127"/>
      <c r="R30" s="128"/>
      <c r="S30" s="44"/>
      <c r="T30" s="25"/>
    </row>
    <row r="31" spans="2:20" x14ac:dyDescent="0.25">
      <c r="B31" s="7"/>
      <c r="C31" s="10"/>
      <c r="D31" s="10"/>
      <c r="E31" s="72"/>
      <c r="F31" s="73"/>
      <c r="G31" s="72"/>
      <c r="H31" s="31"/>
      <c r="I31" s="85" t="str">
        <f>IF(Tabel1[[#This Row],[% uren 1:]]="","",Tabel1[[#This Row],[% uren 1:]]*Tabel1[[#This Row],[Totale uren:]])</f>
        <v/>
      </c>
      <c r="J31" s="68"/>
      <c r="K31" s="31"/>
      <c r="L31" s="86" t="str">
        <f>IF(Tabel1[[#This Row],[% uren 2:]]="","",Tabel1[[#This Row],[% uren 2:]]*Tabel1[[#This Row],[Totale uren:]])</f>
        <v/>
      </c>
      <c r="M31" s="72"/>
      <c r="N31" s="31"/>
      <c r="O31" s="85" t="str">
        <f>IF(Tabel1[[#This Row],[% uren 3:]]="","",Tabel1[[#This Row],[% uren 3:]]*Tabel1[[#This Row],[Totale uren:]])</f>
        <v/>
      </c>
      <c r="P31" s="138" t="str">
        <f>IF(Tabel1[[#This Row],[Ordernummer:]]="","",SUM(Tabel1[[#This Row],[% uren 1:]],Tabel1[[#This Row],[% uren 2:]],Tabel1[[#This Row],[% uren 3:]]))</f>
        <v/>
      </c>
      <c r="Q31" s="127"/>
      <c r="R31" s="128"/>
      <c r="S31" s="44"/>
      <c r="T31" s="25"/>
    </row>
    <row r="32" spans="2:20" x14ac:dyDescent="0.25">
      <c r="B32" s="7"/>
      <c r="C32" s="10"/>
      <c r="D32" s="10"/>
      <c r="E32" s="72"/>
      <c r="F32" s="73"/>
      <c r="G32" s="72"/>
      <c r="H32" s="31"/>
      <c r="I32" s="85" t="str">
        <f>IF(Tabel1[[#This Row],[% uren 1:]]="","",Tabel1[[#This Row],[% uren 1:]]*Tabel1[[#This Row],[Totale uren:]])</f>
        <v/>
      </c>
      <c r="J32" s="68"/>
      <c r="K32" s="31"/>
      <c r="L32" s="86" t="str">
        <f>IF(Tabel1[[#This Row],[% uren 2:]]="","",Tabel1[[#This Row],[% uren 2:]]*Tabel1[[#This Row],[Totale uren:]])</f>
        <v/>
      </c>
      <c r="M32" s="72"/>
      <c r="N32" s="31"/>
      <c r="O32" s="85" t="str">
        <f>IF(Tabel1[[#This Row],[% uren 3:]]="","",Tabel1[[#This Row],[% uren 3:]]*Tabel1[[#This Row],[Totale uren:]])</f>
        <v/>
      </c>
      <c r="P32" s="138" t="str">
        <f>IF(Tabel1[[#This Row],[Ordernummer:]]="","",SUM(Tabel1[[#This Row],[% uren 1:]],Tabel1[[#This Row],[% uren 2:]],Tabel1[[#This Row],[% uren 3:]]))</f>
        <v/>
      </c>
      <c r="Q32" s="127"/>
      <c r="R32" s="128"/>
      <c r="S32" s="44"/>
      <c r="T32" s="25"/>
    </row>
    <row r="33" spans="2:20" x14ac:dyDescent="0.25">
      <c r="B33" s="7"/>
      <c r="C33" s="10"/>
      <c r="D33" s="10"/>
      <c r="E33" s="72"/>
      <c r="F33" s="73"/>
      <c r="G33" s="72"/>
      <c r="H33" s="31"/>
      <c r="I33" s="85" t="str">
        <f>IF(Tabel1[[#This Row],[% uren 1:]]="","",Tabel1[[#This Row],[% uren 1:]]*Tabel1[[#This Row],[Totale uren:]])</f>
        <v/>
      </c>
      <c r="J33" s="68"/>
      <c r="K33" s="31"/>
      <c r="L33" s="86" t="str">
        <f>IF(Tabel1[[#This Row],[% uren 2:]]="","",Tabel1[[#This Row],[% uren 2:]]*Tabel1[[#This Row],[Totale uren:]])</f>
        <v/>
      </c>
      <c r="M33" s="72"/>
      <c r="N33" s="31"/>
      <c r="O33" s="85" t="str">
        <f>IF(Tabel1[[#This Row],[% uren 3:]]="","",Tabel1[[#This Row],[% uren 3:]]*Tabel1[[#This Row],[Totale uren:]])</f>
        <v/>
      </c>
      <c r="P33" s="138" t="str">
        <f>IF(Tabel1[[#This Row],[Ordernummer:]]="","",SUM(Tabel1[[#This Row],[% uren 1:]],Tabel1[[#This Row],[% uren 2:]],Tabel1[[#This Row],[% uren 3:]]))</f>
        <v/>
      </c>
      <c r="Q33" s="127"/>
      <c r="R33" s="128"/>
      <c r="S33" s="44"/>
      <c r="T33" s="25"/>
    </row>
    <row r="34" spans="2:20" x14ac:dyDescent="0.25">
      <c r="B34" s="7"/>
      <c r="C34" s="10"/>
      <c r="D34" s="10"/>
      <c r="E34" s="72"/>
      <c r="F34" s="73"/>
      <c r="G34" s="72"/>
      <c r="H34" s="31"/>
      <c r="I34" s="85" t="str">
        <f>IF(Tabel1[[#This Row],[% uren 1:]]="","",Tabel1[[#This Row],[% uren 1:]]*Tabel1[[#This Row],[Totale uren:]])</f>
        <v/>
      </c>
      <c r="J34" s="68"/>
      <c r="K34" s="31"/>
      <c r="L34" s="86" t="str">
        <f>IF(Tabel1[[#This Row],[% uren 2:]]="","",Tabel1[[#This Row],[% uren 2:]]*Tabel1[[#This Row],[Totale uren:]])</f>
        <v/>
      </c>
      <c r="M34" s="72"/>
      <c r="N34" s="31"/>
      <c r="O34" s="85" t="str">
        <f>IF(Tabel1[[#This Row],[% uren 3:]]="","",Tabel1[[#This Row],[% uren 3:]]*Tabel1[[#This Row],[Totale uren:]])</f>
        <v/>
      </c>
      <c r="P34" s="138" t="str">
        <f>IF(Tabel1[[#This Row],[Ordernummer:]]="","",SUM(Tabel1[[#This Row],[% uren 1:]],Tabel1[[#This Row],[% uren 2:]],Tabel1[[#This Row],[% uren 3:]]))</f>
        <v/>
      </c>
      <c r="Q34" s="127"/>
      <c r="R34" s="128"/>
      <c r="S34" s="44"/>
      <c r="T34" s="25"/>
    </row>
    <row r="35" spans="2:20" x14ac:dyDescent="0.25">
      <c r="B35" s="7"/>
      <c r="C35" s="10"/>
      <c r="D35" s="10"/>
      <c r="E35" s="72"/>
      <c r="F35" s="73"/>
      <c r="G35" s="72"/>
      <c r="H35" s="31"/>
      <c r="I35" s="85" t="str">
        <f>IF(Tabel1[[#This Row],[% uren 1:]]="","",Tabel1[[#This Row],[% uren 1:]]*Tabel1[[#This Row],[Totale uren:]])</f>
        <v/>
      </c>
      <c r="J35" s="68"/>
      <c r="K35" s="31"/>
      <c r="L35" s="86" t="str">
        <f>IF(Tabel1[[#This Row],[% uren 2:]]="","",Tabel1[[#This Row],[% uren 2:]]*Tabel1[[#This Row],[Totale uren:]])</f>
        <v/>
      </c>
      <c r="M35" s="72"/>
      <c r="N35" s="31"/>
      <c r="O35" s="85" t="str">
        <f>IF(Tabel1[[#This Row],[% uren 3:]]="","",Tabel1[[#This Row],[% uren 3:]]*Tabel1[[#This Row],[Totale uren:]])</f>
        <v/>
      </c>
      <c r="P35" s="138" t="str">
        <f>IF(Tabel1[[#This Row],[Ordernummer:]]="","",SUM(Tabel1[[#This Row],[% uren 1:]],Tabel1[[#This Row],[% uren 2:]],Tabel1[[#This Row],[% uren 3:]]))</f>
        <v/>
      </c>
      <c r="Q35" s="127"/>
      <c r="R35" s="128"/>
      <c r="S35" s="44"/>
      <c r="T35" s="25"/>
    </row>
    <row r="36" spans="2:20" x14ac:dyDescent="0.25">
      <c r="B36" s="7"/>
      <c r="C36" s="10"/>
      <c r="D36" s="10"/>
      <c r="E36" s="72"/>
      <c r="F36" s="73"/>
      <c r="G36" s="72"/>
      <c r="H36" s="31"/>
      <c r="I36" s="85" t="str">
        <f>IF(Tabel1[[#This Row],[% uren 1:]]="","",Tabel1[[#This Row],[% uren 1:]]*Tabel1[[#This Row],[Totale uren:]])</f>
        <v/>
      </c>
      <c r="J36" s="68"/>
      <c r="K36" s="31"/>
      <c r="L36" s="86" t="str">
        <f>IF(Tabel1[[#This Row],[% uren 2:]]="","",Tabel1[[#This Row],[% uren 2:]]*Tabel1[[#This Row],[Totale uren:]])</f>
        <v/>
      </c>
      <c r="M36" s="72"/>
      <c r="N36" s="31"/>
      <c r="O36" s="85" t="str">
        <f>IF(Tabel1[[#This Row],[% uren 3:]]="","",Tabel1[[#This Row],[% uren 3:]]*Tabel1[[#This Row],[Totale uren:]])</f>
        <v/>
      </c>
      <c r="P36" s="138" t="str">
        <f>IF(Tabel1[[#This Row],[Ordernummer:]]="","",SUM(Tabel1[[#This Row],[% uren 1:]],Tabel1[[#This Row],[% uren 2:]],Tabel1[[#This Row],[% uren 3:]]))</f>
        <v/>
      </c>
      <c r="Q36" s="127"/>
      <c r="R36" s="128"/>
      <c r="S36" s="44"/>
      <c r="T36" s="25"/>
    </row>
    <row r="37" spans="2:20" x14ac:dyDescent="0.25">
      <c r="B37" s="7"/>
      <c r="C37" s="10"/>
      <c r="D37" s="10"/>
      <c r="E37" s="72"/>
      <c r="F37" s="73"/>
      <c r="G37" s="72"/>
      <c r="H37" s="31"/>
      <c r="I37" s="85" t="str">
        <f>IF(Tabel1[[#This Row],[% uren 1:]]="","",Tabel1[[#This Row],[% uren 1:]]*Tabel1[[#This Row],[Totale uren:]])</f>
        <v/>
      </c>
      <c r="J37" s="68"/>
      <c r="K37" s="31"/>
      <c r="L37" s="86" t="str">
        <f>IF(Tabel1[[#This Row],[% uren 2:]]="","",Tabel1[[#This Row],[% uren 2:]]*Tabel1[[#This Row],[Totale uren:]])</f>
        <v/>
      </c>
      <c r="M37" s="72"/>
      <c r="N37" s="31"/>
      <c r="O37" s="85" t="str">
        <f>IF(Tabel1[[#This Row],[% uren 3:]]="","",Tabel1[[#This Row],[% uren 3:]]*Tabel1[[#This Row],[Totale uren:]])</f>
        <v/>
      </c>
      <c r="P37" s="138" t="str">
        <f>IF(Tabel1[[#This Row],[Ordernummer:]]="","",SUM(Tabel1[[#This Row],[% uren 1:]],Tabel1[[#This Row],[% uren 2:]],Tabel1[[#This Row],[% uren 3:]]))</f>
        <v/>
      </c>
      <c r="Q37" s="127"/>
      <c r="R37" s="128"/>
      <c r="S37" s="44"/>
      <c r="T37" s="25"/>
    </row>
    <row r="38" spans="2:20" x14ac:dyDescent="0.25">
      <c r="B38" s="7"/>
      <c r="C38" s="10"/>
      <c r="D38" s="10"/>
      <c r="E38" s="72"/>
      <c r="F38" s="73"/>
      <c r="G38" s="72"/>
      <c r="H38" s="31"/>
      <c r="I38" s="85" t="str">
        <f>IF(Tabel1[[#This Row],[% uren 1:]]="","",Tabel1[[#This Row],[% uren 1:]]*Tabel1[[#This Row],[Totale uren:]])</f>
        <v/>
      </c>
      <c r="J38" s="68"/>
      <c r="K38" s="31"/>
      <c r="L38" s="86" t="str">
        <f>IF(Tabel1[[#This Row],[% uren 2:]]="","",Tabel1[[#This Row],[% uren 2:]]*Tabel1[[#This Row],[Totale uren:]])</f>
        <v/>
      </c>
      <c r="M38" s="72"/>
      <c r="N38" s="31"/>
      <c r="O38" s="85" t="str">
        <f>IF(Tabel1[[#This Row],[% uren 3:]]="","",Tabel1[[#This Row],[% uren 3:]]*Tabel1[[#This Row],[Totale uren:]])</f>
        <v/>
      </c>
      <c r="P38" s="138" t="str">
        <f>IF(Tabel1[[#This Row],[Ordernummer:]]="","",SUM(Tabel1[[#This Row],[% uren 1:]],Tabel1[[#This Row],[% uren 2:]],Tabel1[[#This Row],[% uren 3:]]))</f>
        <v/>
      </c>
      <c r="Q38" s="127"/>
      <c r="R38" s="128"/>
      <c r="S38" s="44"/>
      <c r="T38" s="25"/>
    </row>
    <row r="39" spans="2:20" x14ac:dyDescent="0.25">
      <c r="B39" s="7"/>
      <c r="C39" s="10"/>
      <c r="D39" s="10"/>
      <c r="E39" s="72"/>
      <c r="F39" s="73"/>
      <c r="G39" s="72"/>
      <c r="H39" s="31"/>
      <c r="I39" s="85" t="str">
        <f>IF(Tabel1[[#This Row],[% uren 1:]]="","",Tabel1[[#This Row],[% uren 1:]]*Tabel1[[#This Row],[Totale uren:]])</f>
        <v/>
      </c>
      <c r="J39" s="68"/>
      <c r="K39" s="31"/>
      <c r="L39" s="86" t="str">
        <f>IF(Tabel1[[#This Row],[% uren 2:]]="","",Tabel1[[#This Row],[% uren 2:]]*Tabel1[[#This Row],[Totale uren:]])</f>
        <v/>
      </c>
      <c r="M39" s="72"/>
      <c r="N39" s="31"/>
      <c r="O39" s="85" t="str">
        <f>IF(Tabel1[[#This Row],[% uren 3:]]="","",Tabel1[[#This Row],[% uren 3:]]*Tabel1[[#This Row],[Totale uren:]])</f>
        <v/>
      </c>
      <c r="P39" s="138" t="str">
        <f>IF(Tabel1[[#This Row],[Ordernummer:]]="","",SUM(Tabel1[[#This Row],[% uren 1:]],Tabel1[[#This Row],[% uren 2:]],Tabel1[[#This Row],[% uren 3:]]))</f>
        <v/>
      </c>
      <c r="Q39" s="127"/>
      <c r="R39" s="128"/>
      <c r="S39" s="44"/>
      <c r="T39" s="25"/>
    </row>
    <row r="40" spans="2:20" x14ac:dyDescent="0.25">
      <c r="B40" s="7"/>
      <c r="C40" s="10"/>
      <c r="D40" s="10"/>
      <c r="E40" s="72"/>
      <c r="F40" s="73"/>
      <c r="G40" s="72"/>
      <c r="H40" s="31"/>
      <c r="I40" s="85" t="str">
        <f>IF(Tabel1[[#This Row],[% uren 1:]]="","",Tabel1[[#This Row],[% uren 1:]]*Tabel1[[#This Row],[Totale uren:]])</f>
        <v/>
      </c>
      <c r="J40" s="68"/>
      <c r="K40" s="31"/>
      <c r="L40" s="86" t="str">
        <f>IF(Tabel1[[#This Row],[% uren 2:]]="","",Tabel1[[#This Row],[% uren 2:]]*Tabel1[[#This Row],[Totale uren:]])</f>
        <v/>
      </c>
      <c r="M40" s="72"/>
      <c r="N40" s="31"/>
      <c r="O40" s="85" t="str">
        <f>IF(Tabel1[[#This Row],[% uren 3:]]="","",Tabel1[[#This Row],[% uren 3:]]*Tabel1[[#This Row],[Totale uren:]])</f>
        <v/>
      </c>
      <c r="P40" s="138" t="str">
        <f>IF(Tabel1[[#This Row],[Ordernummer:]]="","",SUM(Tabel1[[#This Row],[% uren 1:]],Tabel1[[#This Row],[% uren 2:]],Tabel1[[#This Row],[% uren 3:]]))</f>
        <v/>
      </c>
      <c r="Q40" s="127"/>
      <c r="R40" s="128"/>
      <c r="S40" s="44"/>
      <c r="T40" s="25"/>
    </row>
    <row r="41" spans="2:20" x14ac:dyDescent="0.25">
      <c r="B41" s="7"/>
      <c r="C41" s="10"/>
      <c r="D41" s="10"/>
      <c r="E41" s="72"/>
      <c r="F41" s="73"/>
      <c r="G41" s="72"/>
      <c r="H41" s="31"/>
      <c r="I41" s="85" t="str">
        <f>IF(Tabel1[[#This Row],[% uren 1:]]="","",Tabel1[[#This Row],[% uren 1:]]*Tabel1[[#This Row],[Totale uren:]])</f>
        <v/>
      </c>
      <c r="J41" s="68"/>
      <c r="K41" s="31"/>
      <c r="L41" s="86" t="str">
        <f>IF(Tabel1[[#This Row],[% uren 2:]]="","",Tabel1[[#This Row],[% uren 2:]]*Tabel1[[#This Row],[Totale uren:]])</f>
        <v/>
      </c>
      <c r="M41" s="72"/>
      <c r="N41" s="31"/>
      <c r="O41" s="85" t="str">
        <f>IF(Tabel1[[#This Row],[% uren 3:]]="","",Tabel1[[#This Row],[% uren 3:]]*Tabel1[[#This Row],[Totale uren:]])</f>
        <v/>
      </c>
      <c r="P41" s="138" t="str">
        <f>IF(Tabel1[[#This Row],[Ordernummer:]]="","",SUM(Tabel1[[#This Row],[% uren 1:]],Tabel1[[#This Row],[% uren 2:]],Tabel1[[#This Row],[% uren 3:]]))</f>
        <v/>
      </c>
      <c r="Q41" s="127"/>
      <c r="R41" s="128"/>
      <c r="S41" s="44"/>
      <c r="T41" s="25"/>
    </row>
    <row r="42" spans="2:20" x14ac:dyDescent="0.25">
      <c r="B42" s="7"/>
      <c r="C42" s="10"/>
      <c r="D42" s="10"/>
      <c r="E42" s="72"/>
      <c r="F42" s="73"/>
      <c r="G42" s="72"/>
      <c r="H42" s="31"/>
      <c r="I42" s="85" t="str">
        <f>IF(Tabel1[[#This Row],[% uren 1:]]="","",Tabel1[[#This Row],[% uren 1:]]*Tabel1[[#This Row],[Totale uren:]])</f>
        <v/>
      </c>
      <c r="J42" s="68"/>
      <c r="K42" s="31"/>
      <c r="L42" s="86" t="str">
        <f>IF(Tabel1[[#This Row],[% uren 2:]]="","",Tabel1[[#This Row],[% uren 2:]]*Tabel1[[#This Row],[Totale uren:]])</f>
        <v/>
      </c>
      <c r="M42" s="72"/>
      <c r="N42" s="31"/>
      <c r="O42" s="85" t="str">
        <f>IF(Tabel1[[#This Row],[% uren 3:]]="","",Tabel1[[#This Row],[% uren 3:]]*Tabel1[[#This Row],[Totale uren:]])</f>
        <v/>
      </c>
      <c r="P42" s="138" t="str">
        <f>IF(Tabel1[[#This Row],[Ordernummer:]]="","",SUM(Tabel1[[#This Row],[% uren 1:]],Tabel1[[#This Row],[% uren 2:]],Tabel1[[#This Row],[% uren 3:]]))</f>
        <v/>
      </c>
      <c r="Q42" s="127"/>
      <c r="R42" s="128"/>
      <c r="S42" s="44"/>
      <c r="T42" s="25"/>
    </row>
    <row r="43" spans="2:20" x14ac:dyDescent="0.25">
      <c r="B43" s="7"/>
      <c r="C43" s="10"/>
      <c r="D43" s="10"/>
      <c r="E43" s="72"/>
      <c r="F43" s="73"/>
      <c r="G43" s="72"/>
      <c r="H43" s="31"/>
      <c r="I43" s="85" t="str">
        <f>IF(Tabel1[[#This Row],[% uren 1:]]="","",Tabel1[[#This Row],[% uren 1:]]*Tabel1[[#This Row],[Totale uren:]])</f>
        <v/>
      </c>
      <c r="J43" s="68"/>
      <c r="K43" s="31"/>
      <c r="L43" s="86" t="str">
        <f>IF(Tabel1[[#This Row],[% uren 2:]]="","",Tabel1[[#This Row],[% uren 2:]]*Tabel1[[#This Row],[Totale uren:]])</f>
        <v/>
      </c>
      <c r="M43" s="72"/>
      <c r="N43" s="31"/>
      <c r="O43" s="85" t="str">
        <f>IF(Tabel1[[#This Row],[% uren 3:]]="","",Tabel1[[#This Row],[% uren 3:]]*Tabel1[[#This Row],[Totale uren:]])</f>
        <v/>
      </c>
      <c r="P43" s="138" t="str">
        <f>IF(Tabel1[[#This Row],[Ordernummer:]]="","",SUM(Tabel1[[#This Row],[% uren 1:]],Tabel1[[#This Row],[% uren 2:]],Tabel1[[#This Row],[% uren 3:]]))</f>
        <v/>
      </c>
      <c r="Q43" s="127"/>
      <c r="R43" s="128"/>
      <c r="S43" s="44"/>
      <c r="T43" s="25"/>
    </row>
    <row r="44" spans="2:20" x14ac:dyDescent="0.25">
      <c r="B44" s="7"/>
      <c r="C44" s="10"/>
      <c r="D44" s="10"/>
      <c r="E44" s="72"/>
      <c r="F44" s="73"/>
      <c r="G44" s="72"/>
      <c r="H44" s="31"/>
      <c r="I44" s="85" t="str">
        <f>IF(Tabel1[[#This Row],[% uren 1:]]="","",Tabel1[[#This Row],[% uren 1:]]*Tabel1[[#This Row],[Totale uren:]])</f>
        <v/>
      </c>
      <c r="J44" s="68"/>
      <c r="K44" s="31"/>
      <c r="L44" s="86" t="str">
        <f>IF(Tabel1[[#This Row],[% uren 2:]]="","",Tabel1[[#This Row],[% uren 2:]]*Tabel1[[#This Row],[Totale uren:]])</f>
        <v/>
      </c>
      <c r="M44" s="72"/>
      <c r="N44" s="31"/>
      <c r="O44" s="85" t="str">
        <f>IF(Tabel1[[#This Row],[% uren 3:]]="","",Tabel1[[#This Row],[% uren 3:]]*Tabel1[[#This Row],[Totale uren:]])</f>
        <v/>
      </c>
      <c r="P44" s="138" t="str">
        <f>IF(Tabel1[[#This Row],[Ordernummer:]]="","",SUM(Tabel1[[#This Row],[% uren 1:]],Tabel1[[#This Row],[% uren 2:]],Tabel1[[#This Row],[% uren 3:]]))</f>
        <v/>
      </c>
      <c r="Q44" s="127"/>
      <c r="R44" s="128"/>
      <c r="S44" s="44"/>
      <c r="T44" s="25"/>
    </row>
    <row r="45" spans="2:20" x14ac:dyDescent="0.25">
      <c r="B45" s="7"/>
      <c r="C45" s="10"/>
      <c r="D45" s="10"/>
      <c r="E45" s="72"/>
      <c r="F45" s="73"/>
      <c r="G45" s="72"/>
      <c r="H45" s="31"/>
      <c r="I45" s="85" t="str">
        <f>IF(Tabel1[[#This Row],[% uren 1:]]="","",Tabel1[[#This Row],[% uren 1:]]*Tabel1[[#This Row],[Totale uren:]])</f>
        <v/>
      </c>
      <c r="J45" s="68"/>
      <c r="K45" s="31"/>
      <c r="L45" s="86" t="str">
        <f>IF(Tabel1[[#This Row],[% uren 2:]]="","",Tabel1[[#This Row],[% uren 2:]]*Tabel1[[#This Row],[Totale uren:]])</f>
        <v/>
      </c>
      <c r="M45" s="72"/>
      <c r="N45" s="31"/>
      <c r="O45" s="85" t="str">
        <f>IF(Tabel1[[#This Row],[% uren 3:]]="","",Tabel1[[#This Row],[% uren 3:]]*Tabel1[[#This Row],[Totale uren:]])</f>
        <v/>
      </c>
      <c r="P45" s="138" t="str">
        <f>IF(Tabel1[[#This Row],[Ordernummer:]]="","",SUM(Tabel1[[#This Row],[% uren 1:]],Tabel1[[#This Row],[% uren 2:]],Tabel1[[#This Row],[% uren 3:]]))</f>
        <v/>
      </c>
      <c r="Q45" s="127"/>
      <c r="R45" s="128"/>
      <c r="S45" s="44"/>
      <c r="T45" s="25"/>
    </row>
    <row r="46" spans="2:20" x14ac:dyDescent="0.25">
      <c r="B46" s="7"/>
      <c r="C46" s="10"/>
      <c r="D46" s="10"/>
      <c r="E46" s="72"/>
      <c r="F46" s="73"/>
      <c r="G46" s="72"/>
      <c r="H46" s="31"/>
      <c r="I46" s="85" t="str">
        <f>IF(Tabel1[[#This Row],[% uren 1:]]="","",Tabel1[[#This Row],[% uren 1:]]*Tabel1[[#This Row],[Totale uren:]])</f>
        <v/>
      </c>
      <c r="J46" s="68"/>
      <c r="K46" s="31"/>
      <c r="L46" s="86" t="str">
        <f>IF(Tabel1[[#This Row],[% uren 2:]]="","",Tabel1[[#This Row],[% uren 2:]]*Tabel1[[#This Row],[Totale uren:]])</f>
        <v/>
      </c>
      <c r="M46" s="72"/>
      <c r="N46" s="31"/>
      <c r="O46" s="85" t="str">
        <f>IF(Tabel1[[#This Row],[% uren 3:]]="","",Tabel1[[#This Row],[% uren 3:]]*Tabel1[[#This Row],[Totale uren:]])</f>
        <v/>
      </c>
      <c r="P46" s="138" t="str">
        <f>IF(Tabel1[[#This Row],[Ordernummer:]]="","",SUM(Tabel1[[#This Row],[% uren 1:]],Tabel1[[#This Row],[% uren 2:]],Tabel1[[#This Row],[% uren 3:]]))</f>
        <v/>
      </c>
      <c r="Q46" s="127"/>
      <c r="R46" s="128"/>
      <c r="S46" s="44"/>
      <c r="T46" s="25"/>
    </row>
    <row r="47" spans="2:20" x14ac:dyDescent="0.25">
      <c r="B47" s="7"/>
      <c r="C47" s="10"/>
      <c r="D47" s="10"/>
      <c r="E47" s="72"/>
      <c r="F47" s="73"/>
      <c r="G47" s="72"/>
      <c r="H47" s="31"/>
      <c r="I47" s="85" t="str">
        <f>IF(Tabel1[[#This Row],[% uren 1:]]="","",Tabel1[[#This Row],[% uren 1:]]*Tabel1[[#This Row],[Totale uren:]])</f>
        <v/>
      </c>
      <c r="J47" s="68"/>
      <c r="K47" s="31"/>
      <c r="L47" s="86" t="str">
        <f>IF(Tabel1[[#This Row],[% uren 2:]]="","",Tabel1[[#This Row],[% uren 2:]]*Tabel1[[#This Row],[Totale uren:]])</f>
        <v/>
      </c>
      <c r="M47" s="72"/>
      <c r="N47" s="31"/>
      <c r="O47" s="85" t="str">
        <f>IF(Tabel1[[#This Row],[% uren 3:]]="","",Tabel1[[#This Row],[% uren 3:]]*Tabel1[[#This Row],[Totale uren:]])</f>
        <v/>
      </c>
      <c r="P47" s="138" t="str">
        <f>IF(Tabel1[[#This Row],[Ordernummer:]]="","",SUM(Tabel1[[#This Row],[% uren 1:]],Tabel1[[#This Row],[% uren 2:]],Tabel1[[#This Row],[% uren 3:]]))</f>
        <v/>
      </c>
      <c r="Q47" s="127"/>
      <c r="R47" s="128"/>
      <c r="S47" s="44"/>
      <c r="T47" s="25"/>
    </row>
    <row r="48" spans="2:20" x14ac:dyDescent="0.25">
      <c r="B48" s="7"/>
      <c r="C48" s="10"/>
      <c r="D48" s="10"/>
      <c r="E48" s="72"/>
      <c r="F48" s="73"/>
      <c r="G48" s="72"/>
      <c r="H48" s="31"/>
      <c r="I48" s="85" t="str">
        <f>IF(Tabel1[[#This Row],[% uren 1:]]="","",Tabel1[[#This Row],[% uren 1:]]*Tabel1[[#This Row],[Totale uren:]])</f>
        <v/>
      </c>
      <c r="J48" s="68"/>
      <c r="K48" s="31"/>
      <c r="L48" s="86" t="str">
        <f>IF(Tabel1[[#This Row],[% uren 2:]]="","",Tabel1[[#This Row],[% uren 2:]]*Tabel1[[#This Row],[Totale uren:]])</f>
        <v/>
      </c>
      <c r="M48" s="72"/>
      <c r="N48" s="31"/>
      <c r="O48" s="85" t="str">
        <f>IF(Tabel1[[#This Row],[% uren 3:]]="","",Tabel1[[#This Row],[% uren 3:]]*Tabel1[[#This Row],[Totale uren:]])</f>
        <v/>
      </c>
      <c r="P48" s="138" t="str">
        <f>IF(Tabel1[[#This Row],[Ordernummer:]]="","",SUM(Tabel1[[#This Row],[% uren 1:]],Tabel1[[#This Row],[% uren 2:]],Tabel1[[#This Row],[% uren 3:]]))</f>
        <v/>
      </c>
      <c r="Q48" s="127"/>
      <c r="R48" s="128"/>
      <c r="S48" s="44"/>
      <c r="T48" s="25"/>
    </row>
    <row r="49" spans="2:20" x14ac:dyDescent="0.25">
      <c r="B49" s="7"/>
      <c r="C49" s="10"/>
      <c r="D49" s="10"/>
      <c r="E49" s="72"/>
      <c r="F49" s="73"/>
      <c r="G49" s="72"/>
      <c r="H49" s="31"/>
      <c r="I49" s="85" t="str">
        <f>IF(Tabel1[[#This Row],[% uren 1:]]="","",Tabel1[[#This Row],[% uren 1:]]*Tabel1[[#This Row],[Totale uren:]])</f>
        <v/>
      </c>
      <c r="J49" s="68"/>
      <c r="K49" s="31"/>
      <c r="L49" s="86" t="str">
        <f>IF(Tabel1[[#This Row],[% uren 2:]]="","",Tabel1[[#This Row],[% uren 2:]]*Tabel1[[#This Row],[Totale uren:]])</f>
        <v/>
      </c>
      <c r="M49" s="72"/>
      <c r="N49" s="31"/>
      <c r="O49" s="85" t="str">
        <f>IF(Tabel1[[#This Row],[% uren 3:]]="","",Tabel1[[#This Row],[% uren 3:]]*Tabel1[[#This Row],[Totale uren:]])</f>
        <v/>
      </c>
      <c r="P49" s="138" t="str">
        <f>IF(Tabel1[[#This Row],[Ordernummer:]]="","",SUM(Tabel1[[#This Row],[% uren 1:]],Tabel1[[#This Row],[% uren 2:]],Tabel1[[#This Row],[% uren 3:]]))</f>
        <v/>
      </c>
      <c r="Q49" s="127"/>
      <c r="R49" s="128"/>
      <c r="S49" s="44"/>
      <c r="T49" s="25"/>
    </row>
    <row r="50" spans="2:20" x14ac:dyDescent="0.25">
      <c r="B50" s="7"/>
      <c r="C50" s="10"/>
      <c r="D50" s="10"/>
      <c r="E50" s="72"/>
      <c r="F50" s="73"/>
      <c r="G50" s="72"/>
      <c r="H50" s="31"/>
      <c r="I50" s="85" t="str">
        <f>IF(Tabel1[[#This Row],[% uren 1:]]="","",Tabel1[[#This Row],[% uren 1:]]*Tabel1[[#This Row],[Totale uren:]])</f>
        <v/>
      </c>
      <c r="J50" s="68"/>
      <c r="K50" s="31"/>
      <c r="L50" s="86" t="str">
        <f>IF(Tabel1[[#This Row],[% uren 2:]]="","",Tabel1[[#This Row],[% uren 2:]]*Tabel1[[#This Row],[Totale uren:]])</f>
        <v/>
      </c>
      <c r="M50" s="72"/>
      <c r="N50" s="31"/>
      <c r="O50" s="85" t="str">
        <f>IF(Tabel1[[#This Row],[% uren 3:]]="","",Tabel1[[#This Row],[% uren 3:]]*Tabel1[[#This Row],[Totale uren:]])</f>
        <v/>
      </c>
      <c r="P50" s="138" t="str">
        <f>IF(Tabel1[[#This Row],[Ordernummer:]]="","",SUM(Tabel1[[#This Row],[% uren 1:]],Tabel1[[#This Row],[% uren 2:]],Tabel1[[#This Row],[% uren 3:]]))</f>
        <v/>
      </c>
      <c r="Q50" s="127"/>
      <c r="R50" s="128"/>
      <c r="S50" s="44"/>
      <c r="T50" s="25"/>
    </row>
    <row r="51" spans="2:20" x14ac:dyDescent="0.25">
      <c r="B51" s="7"/>
      <c r="C51" s="10"/>
      <c r="D51" s="10"/>
      <c r="E51" s="72"/>
      <c r="F51" s="73"/>
      <c r="G51" s="72"/>
      <c r="H51" s="31"/>
      <c r="I51" s="85" t="str">
        <f>IF(Tabel1[[#This Row],[% uren 1:]]="","",Tabel1[[#This Row],[% uren 1:]]*Tabel1[[#This Row],[Totale uren:]])</f>
        <v/>
      </c>
      <c r="J51" s="68"/>
      <c r="K51" s="31"/>
      <c r="L51" s="86" t="str">
        <f>IF(Tabel1[[#This Row],[% uren 2:]]="","",Tabel1[[#This Row],[% uren 2:]]*Tabel1[[#This Row],[Totale uren:]])</f>
        <v/>
      </c>
      <c r="M51" s="72"/>
      <c r="N51" s="31"/>
      <c r="O51" s="85" t="str">
        <f>IF(Tabel1[[#This Row],[% uren 3:]]="","",Tabel1[[#This Row],[% uren 3:]]*Tabel1[[#This Row],[Totale uren:]])</f>
        <v/>
      </c>
      <c r="P51" s="138" t="str">
        <f>IF(Tabel1[[#This Row],[Ordernummer:]]="","",SUM(Tabel1[[#This Row],[% uren 1:]],Tabel1[[#This Row],[% uren 2:]],Tabel1[[#This Row],[% uren 3:]]))</f>
        <v/>
      </c>
      <c r="Q51" s="127"/>
      <c r="R51" s="128"/>
      <c r="S51" s="44"/>
      <c r="T51" s="25"/>
    </row>
    <row r="52" spans="2:20" x14ac:dyDescent="0.25">
      <c r="B52" s="7"/>
      <c r="C52" s="10"/>
      <c r="D52" s="10"/>
      <c r="E52" s="72"/>
      <c r="F52" s="73"/>
      <c r="G52" s="72"/>
      <c r="H52" s="31"/>
      <c r="I52" s="85" t="str">
        <f>IF(Tabel1[[#This Row],[% uren 1:]]="","",Tabel1[[#This Row],[% uren 1:]]*Tabel1[[#This Row],[Totale uren:]])</f>
        <v/>
      </c>
      <c r="J52" s="68"/>
      <c r="K52" s="31"/>
      <c r="L52" s="86" t="str">
        <f>IF(Tabel1[[#This Row],[% uren 2:]]="","",Tabel1[[#This Row],[% uren 2:]]*Tabel1[[#This Row],[Totale uren:]])</f>
        <v/>
      </c>
      <c r="M52" s="72"/>
      <c r="N52" s="31"/>
      <c r="O52" s="85" t="str">
        <f>IF(Tabel1[[#This Row],[% uren 3:]]="","",Tabel1[[#This Row],[% uren 3:]]*Tabel1[[#This Row],[Totale uren:]])</f>
        <v/>
      </c>
      <c r="P52" s="138" t="str">
        <f>IF(Tabel1[[#This Row],[Ordernummer:]]="","",SUM(Tabel1[[#This Row],[% uren 1:]],Tabel1[[#This Row],[% uren 2:]],Tabel1[[#This Row],[% uren 3:]]))</f>
        <v/>
      </c>
      <c r="Q52" s="127"/>
      <c r="R52" s="128"/>
      <c r="S52" s="44"/>
      <c r="T52" s="25"/>
    </row>
    <row r="53" spans="2:20" x14ac:dyDescent="0.25">
      <c r="B53" s="7"/>
      <c r="C53" s="10"/>
      <c r="D53" s="10"/>
      <c r="E53" s="72"/>
      <c r="F53" s="73"/>
      <c r="G53" s="72"/>
      <c r="H53" s="31"/>
      <c r="I53" s="85" t="str">
        <f>IF(Tabel1[[#This Row],[% uren 1:]]="","",Tabel1[[#This Row],[% uren 1:]]*Tabel1[[#This Row],[Totale uren:]])</f>
        <v/>
      </c>
      <c r="J53" s="68"/>
      <c r="K53" s="31"/>
      <c r="L53" s="86" t="str">
        <f>IF(Tabel1[[#This Row],[% uren 2:]]="","",Tabel1[[#This Row],[% uren 2:]]*Tabel1[[#This Row],[Totale uren:]])</f>
        <v/>
      </c>
      <c r="M53" s="72"/>
      <c r="N53" s="31"/>
      <c r="O53" s="85" t="str">
        <f>IF(Tabel1[[#This Row],[% uren 3:]]="","",Tabel1[[#This Row],[% uren 3:]]*Tabel1[[#This Row],[Totale uren:]])</f>
        <v/>
      </c>
      <c r="P53" s="138" t="str">
        <f>IF(Tabel1[[#This Row],[Ordernummer:]]="","",SUM(Tabel1[[#This Row],[% uren 1:]],Tabel1[[#This Row],[% uren 2:]],Tabel1[[#This Row],[% uren 3:]]))</f>
        <v/>
      </c>
      <c r="Q53" s="127"/>
      <c r="R53" s="128"/>
      <c r="S53" s="44"/>
      <c r="T53" s="25"/>
    </row>
    <row r="54" spans="2:20" x14ac:dyDescent="0.25">
      <c r="B54" s="7"/>
      <c r="C54" s="10"/>
      <c r="D54" s="10"/>
      <c r="E54" s="72"/>
      <c r="F54" s="73"/>
      <c r="G54" s="72"/>
      <c r="H54" s="31"/>
      <c r="I54" s="85" t="str">
        <f>IF(Tabel1[[#This Row],[% uren 1:]]="","",Tabel1[[#This Row],[% uren 1:]]*Tabel1[[#This Row],[Totale uren:]])</f>
        <v/>
      </c>
      <c r="J54" s="68"/>
      <c r="K54" s="31"/>
      <c r="L54" s="86" t="str">
        <f>IF(Tabel1[[#This Row],[% uren 2:]]="","",Tabel1[[#This Row],[% uren 2:]]*Tabel1[[#This Row],[Totale uren:]])</f>
        <v/>
      </c>
      <c r="M54" s="72"/>
      <c r="N54" s="31"/>
      <c r="O54" s="85" t="str">
        <f>IF(Tabel1[[#This Row],[% uren 3:]]="","",Tabel1[[#This Row],[% uren 3:]]*Tabel1[[#This Row],[Totale uren:]])</f>
        <v/>
      </c>
      <c r="P54" s="138" t="str">
        <f>IF(Tabel1[[#This Row],[Ordernummer:]]="","",SUM(Tabel1[[#This Row],[% uren 1:]],Tabel1[[#This Row],[% uren 2:]],Tabel1[[#This Row],[% uren 3:]]))</f>
        <v/>
      </c>
      <c r="Q54" s="127"/>
      <c r="R54" s="128"/>
      <c r="S54" s="44"/>
      <c r="T54" s="25"/>
    </row>
    <row r="55" spans="2:20" x14ac:dyDescent="0.25">
      <c r="B55" s="7"/>
      <c r="C55" s="10"/>
      <c r="D55" s="10"/>
      <c r="E55" s="72"/>
      <c r="F55" s="73"/>
      <c r="G55" s="72"/>
      <c r="H55" s="31"/>
      <c r="I55" s="85" t="str">
        <f>IF(Tabel1[[#This Row],[% uren 1:]]="","",Tabel1[[#This Row],[% uren 1:]]*Tabel1[[#This Row],[Totale uren:]])</f>
        <v/>
      </c>
      <c r="J55" s="68"/>
      <c r="K55" s="31"/>
      <c r="L55" s="86" t="str">
        <f>IF(Tabel1[[#This Row],[% uren 2:]]="","",Tabel1[[#This Row],[% uren 2:]]*Tabel1[[#This Row],[Totale uren:]])</f>
        <v/>
      </c>
      <c r="M55" s="72"/>
      <c r="N55" s="31"/>
      <c r="O55" s="85" t="str">
        <f>IF(Tabel1[[#This Row],[% uren 3:]]="","",Tabel1[[#This Row],[% uren 3:]]*Tabel1[[#This Row],[Totale uren:]])</f>
        <v/>
      </c>
      <c r="P55" s="138" t="str">
        <f>IF(Tabel1[[#This Row],[Ordernummer:]]="","",SUM(Tabel1[[#This Row],[% uren 1:]],Tabel1[[#This Row],[% uren 2:]],Tabel1[[#This Row],[% uren 3:]]))</f>
        <v/>
      </c>
      <c r="Q55" s="127"/>
      <c r="R55" s="128"/>
      <c r="S55" s="44"/>
      <c r="T55" s="25"/>
    </row>
    <row r="56" spans="2:20" x14ac:dyDescent="0.25">
      <c r="B56" s="7"/>
      <c r="C56" s="10"/>
      <c r="D56" s="10"/>
      <c r="E56" s="72"/>
      <c r="F56" s="73"/>
      <c r="G56" s="72"/>
      <c r="H56" s="31"/>
      <c r="I56" s="85" t="str">
        <f>IF(Tabel1[[#This Row],[% uren 1:]]="","",Tabel1[[#This Row],[% uren 1:]]*Tabel1[[#This Row],[Totale uren:]])</f>
        <v/>
      </c>
      <c r="J56" s="68"/>
      <c r="K56" s="31"/>
      <c r="L56" s="86" t="str">
        <f>IF(Tabel1[[#This Row],[% uren 2:]]="","",Tabel1[[#This Row],[% uren 2:]]*Tabel1[[#This Row],[Totale uren:]])</f>
        <v/>
      </c>
      <c r="M56" s="72"/>
      <c r="N56" s="31"/>
      <c r="O56" s="85" t="str">
        <f>IF(Tabel1[[#This Row],[% uren 3:]]="","",Tabel1[[#This Row],[% uren 3:]]*Tabel1[[#This Row],[Totale uren:]])</f>
        <v/>
      </c>
      <c r="P56" s="138" t="str">
        <f>IF(Tabel1[[#This Row],[Ordernummer:]]="","",SUM(Tabel1[[#This Row],[% uren 1:]],Tabel1[[#This Row],[% uren 2:]],Tabel1[[#This Row],[% uren 3:]]))</f>
        <v/>
      </c>
      <c r="Q56" s="127"/>
      <c r="R56" s="128"/>
      <c r="S56" s="44"/>
      <c r="T56" s="25"/>
    </row>
    <row r="57" spans="2:20" x14ac:dyDescent="0.25">
      <c r="B57" s="7"/>
      <c r="C57" s="10"/>
      <c r="D57" s="10"/>
      <c r="E57" s="72"/>
      <c r="F57" s="73"/>
      <c r="G57" s="72"/>
      <c r="H57" s="31"/>
      <c r="I57" s="85" t="str">
        <f>IF(Tabel1[[#This Row],[% uren 1:]]="","",Tabel1[[#This Row],[% uren 1:]]*Tabel1[[#This Row],[Totale uren:]])</f>
        <v/>
      </c>
      <c r="J57" s="68"/>
      <c r="K57" s="31"/>
      <c r="L57" s="86" t="str">
        <f>IF(Tabel1[[#This Row],[% uren 2:]]="","",Tabel1[[#This Row],[% uren 2:]]*Tabel1[[#This Row],[Totale uren:]])</f>
        <v/>
      </c>
      <c r="M57" s="72"/>
      <c r="N57" s="31"/>
      <c r="O57" s="85" t="str">
        <f>IF(Tabel1[[#This Row],[% uren 3:]]="","",Tabel1[[#This Row],[% uren 3:]]*Tabel1[[#This Row],[Totale uren:]])</f>
        <v/>
      </c>
      <c r="P57" s="138" t="str">
        <f>IF(Tabel1[[#This Row],[Ordernummer:]]="","",SUM(Tabel1[[#This Row],[% uren 1:]],Tabel1[[#This Row],[% uren 2:]],Tabel1[[#This Row],[% uren 3:]]))</f>
        <v/>
      </c>
      <c r="Q57" s="127"/>
      <c r="R57" s="128"/>
      <c r="S57" s="44"/>
      <c r="T57" s="25"/>
    </row>
    <row r="58" spans="2:20" x14ac:dyDescent="0.25">
      <c r="B58" s="7"/>
      <c r="C58" s="10"/>
      <c r="D58" s="10"/>
      <c r="E58" s="72"/>
      <c r="F58" s="73"/>
      <c r="G58" s="72"/>
      <c r="H58" s="31"/>
      <c r="I58" s="85" t="str">
        <f>IF(Tabel1[[#This Row],[% uren 1:]]="","",Tabel1[[#This Row],[% uren 1:]]*Tabel1[[#This Row],[Totale uren:]])</f>
        <v/>
      </c>
      <c r="J58" s="68"/>
      <c r="K58" s="31"/>
      <c r="L58" s="86" t="str">
        <f>IF(Tabel1[[#This Row],[% uren 2:]]="","",Tabel1[[#This Row],[% uren 2:]]*Tabel1[[#This Row],[Totale uren:]])</f>
        <v/>
      </c>
      <c r="M58" s="72"/>
      <c r="N58" s="31"/>
      <c r="O58" s="85" t="str">
        <f>IF(Tabel1[[#This Row],[% uren 3:]]="","",Tabel1[[#This Row],[% uren 3:]]*Tabel1[[#This Row],[Totale uren:]])</f>
        <v/>
      </c>
      <c r="P58" s="138" t="str">
        <f>IF(Tabel1[[#This Row],[Ordernummer:]]="","",SUM(Tabel1[[#This Row],[% uren 1:]],Tabel1[[#This Row],[% uren 2:]],Tabel1[[#This Row],[% uren 3:]]))</f>
        <v/>
      </c>
      <c r="Q58" s="127"/>
      <c r="R58" s="128"/>
      <c r="S58" s="44"/>
      <c r="T58" s="25"/>
    </row>
    <row r="59" spans="2:20" x14ac:dyDescent="0.25">
      <c r="B59" s="7"/>
      <c r="C59" s="10"/>
      <c r="D59" s="10"/>
      <c r="E59" s="72"/>
      <c r="F59" s="73"/>
      <c r="G59" s="72"/>
      <c r="H59" s="31"/>
      <c r="I59" s="85" t="str">
        <f>IF(Tabel1[[#This Row],[% uren 1:]]="","",Tabel1[[#This Row],[% uren 1:]]*Tabel1[[#This Row],[Totale uren:]])</f>
        <v/>
      </c>
      <c r="J59" s="68"/>
      <c r="K59" s="31"/>
      <c r="L59" s="86" t="str">
        <f>IF(Tabel1[[#This Row],[% uren 2:]]="","",Tabel1[[#This Row],[% uren 2:]]*Tabel1[[#This Row],[Totale uren:]])</f>
        <v/>
      </c>
      <c r="M59" s="72"/>
      <c r="N59" s="31"/>
      <c r="O59" s="85" t="str">
        <f>IF(Tabel1[[#This Row],[% uren 3:]]="","",Tabel1[[#This Row],[% uren 3:]]*Tabel1[[#This Row],[Totale uren:]])</f>
        <v/>
      </c>
      <c r="P59" s="138" t="str">
        <f>IF(Tabel1[[#This Row],[Ordernummer:]]="","",SUM(Tabel1[[#This Row],[% uren 1:]],Tabel1[[#This Row],[% uren 2:]],Tabel1[[#This Row],[% uren 3:]]))</f>
        <v/>
      </c>
      <c r="Q59" s="127"/>
      <c r="R59" s="128"/>
      <c r="S59" s="44"/>
      <c r="T59" s="25"/>
    </row>
    <row r="60" spans="2:20" x14ac:dyDescent="0.25">
      <c r="B60" s="7"/>
      <c r="C60" s="10"/>
      <c r="D60" s="10"/>
      <c r="E60" s="72"/>
      <c r="F60" s="73"/>
      <c r="G60" s="72"/>
      <c r="H60" s="31"/>
      <c r="I60" s="85" t="str">
        <f>IF(Tabel1[[#This Row],[% uren 1:]]="","",Tabel1[[#This Row],[% uren 1:]]*Tabel1[[#This Row],[Totale uren:]])</f>
        <v/>
      </c>
      <c r="J60" s="68"/>
      <c r="K60" s="31"/>
      <c r="L60" s="86" t="str">
        <f>IF(Tabel1[[#This Row],[% uren 2:]]="","",Tabel1[[#This Row],[% uren 2:]]*Tabel1[[#This Row],[Totale uren:]])</f>
        <v/>
      </c>
      <c r="M60" s="72"/>
      <c r="N60" s="31"/>
      <c r="O60" s="85" t="str">
        <f>IF(Tabel1[[#This Row],[% uren 3:]]="","",Tabel1[[#This Row],[% uren 3:]]*Tabel1[[#This Row],[Totale uren:]])</f>
        <v/>
      </c>
      <c r="P60" s="138" t="str">
        <f>IF(Tabel1[[#This Row],[Ordernummer:]]="","",SUM(Tabel1[[#This Row],[% uren 1:]],Tabel1[[#This Row],[% uren 2:]],Tabel1[[#This Row],[% uren 3:]]))</f>
        <v/>
      </c>
      <c r="Q60" s="127"/>
      <c r="R60" s="128"/>
      <c r="S60" s="44"/>
      <c r="T60" s="25"/>
    </row>
    <row r="61" spans="2:20" x14ac:dyDescent="0.25">
      <c r="B61" s="7"/>
      <c r="C61" s="10"/>
      <c r="D61" s="10"/>
      <c r="E61" s="72"/>
      <c r="F61" s="73"/>
      <c r="G61" s="72"/>
      <c r="H61" s="31"/>
      <c r="I61" s="85" t="str">
        <f>IF(Tabel1[[#This Row],[% uren 1:]]="","",Tabel1[[#This Row],[% uren 1:]]*Tabel1[[#This Row],[Totale uren:]])</f>
        <v/>
      </c>
      <c r="J61" s="68"/>
      <c r="K61" s="31"/>
      <c r="L61" s="86" t="str">
        <f>IF(Tabel1[[#This Row],[% uren 2:]]="","",Tabel1[[#This Row],[% uren 2:]]*Tabel1[[#This Row],[Totale uren:]])</f>
        <v/>
      </c>
      <c r="M61" s="72"/>
      <c r="N61" s="31"/>
      <c r="O61" s="85" t="str">
        <f>IF(Tabel1[[#This Row],[% uren 3:]]="","",Tabel1[[#This Row],[% uren 3:]]*Tabel1[[#This Row],[Totale uren:]])</f>
        <v/>
      </c>
      <c r="P61" s="138" t="str">
        <f>IF(Tabel1[[#This Row],[Ordernummer:]]="","",SUM(Tabel1[[#This Row],[% uren 1:]],Tabel1[[#This Row],[% uren 2:]],Tabel1[[#This Row],[% uren 3:]]))</f>
        <v/>
      </c>
      <c r="Q61" s="127"/>
      <c r="R61" s="128"/>
      <c r="S61" s="44"/>
      <c r="T61" s="25"/>
    </row>
    <row r="62" spans="2:20" x14ac:dyDescent="0.25">
      <c r="B62" s="7"/>
      <c r="C62" s="10"/>
      <c r="D62" s="10"/>
      <c r="E62" s="72"/>
      <c r="F62" s="73"/>
      <c r="G62" s="72"/>
      <c r="H62" s="31"/>
      <c r="I62" s="85" t="str">
        <f>IF(Tabel1[[#This Row],[% uren 1:]]="","",Tabel1[[#This Row],[% uren 1:]]*Tabel1[[#This Row],[Totale uren:]])</f>
        <v/>
      </c>
      <c r="J62" s="68"/>
      <c r="K62" s="31"/>
      <c r="L62" s="86" t="str">
        <f>IF(Tabel1[[#This Row],[% uren 2:]]="","",Tabel1[[#This Row],[% uren 2:]]*Tabel1[[#This Row],[Totale uren:]])</f>
        <v/>
      </c>
      <c r="M62" s="72"/>
      <c r="N62" s="31"/>
      <c r="O62" s="85" t="str">
        <f>IF(Tabel1[[#This Row],[% uren 3:]]="","",Tabel1[[#This Row],[% uren 3:]]*Tabel1[[#This Row],[Totale uren:]])</f>
        <v/>
      </c>
      <c r="P62" s="138" t="str">
        <f>IF(Tabel1[[#This Row],[Ordernummer:]]="","",SUM(Tabel1[[#This Row],[% uren 1:]],Tabel1[[#This Row],[% uren 2:]],Tabel1[[#This Row],[% uren 3:]]))</f>
        <v/>
      </c>
      <c r="Q62" s="127"/>
      <c r="R62" s="128"/>
      <c r="S62" s="44"/>
      <c r="T62" s="25"/>
    </row>
    <row r="63" spans="2:20" x14ac:dyDescent="0.25">
      <c r="B63" s="7"/>
      <c r="C63" s="10"/>
      <c r="D63" s="10"/>
      <c r="E63" s="72"/>
      <c r="F63" s="73"/>
      <c r="G63" s="72"/>
      <c r="H63" s="31"/>
      <c r="I63" s="85" t="str">
        <f>IF(Tabel1[[#This Row],[% uren 1:]]="","",Tabel1[[#This Row],[% uren 1:]]*Tabel1[[#This Row],[Totale uren:]])</f>
        <v/>
      </c>
      <c r="J63" s="68"/>
      <c r="K63" s="31"/>
      <c r="L63" s="86" t="str">
        <f>IF(Tabel1[[#This Row],[% uren 2:]]="","",Tabel1[[#This Row],[% uren 2:]]*Tabel1[[#This Row],[Totale uren:]])</f>
        <v/>
      </c>
      <c r="M63" s="72"/>
      <c r="N63" s="31"/>
      <c r="O63" s="85" t="str">
        <f>IF(Tabel1[[#This Row],[% uren 3:]]="","",Tabel1[[#This Row],[% uren 3:]]*Tabel1[[#This Row],[Totale uren:]])</f>
        <v/>
      </c>
      <c r="P63" s="138" t="str">
        <f>IF(Tabel1[[#This Row],[Ordernummer:]]="","",SUM(Tabel1[[#This Row],[% uren 1:]],Tabel1[[#This Row],[% uren 2:]],Tabel1[[#This Row],[% uren 3:]]))</f>
        <v/>
      </c>
      <c r="Q63" s="127"/>
      <c r="R63" s="128"/>
      <c r="S63" s="44"/>
      <c r="T63" s="25"/>
    </row>
    <row r="64" spans="2:20" x14ac:dyDescent="0.25">
      <c r="B64" s="7"/>
      <c r="C64" s="10"/>
      <c r="D64" s="10"/>
      <c r="E64" s="72"/>
      <c r="F64" s="73"/>
      <c r="G64" s="72"/>
      <c r="H64" s="31"/>
      <c r="I64" s="85" t="str">
        <f>IF(Tabel1[[#This Row],[% uren 1:]]="","",Tabel1[[#This Row],[% uren 1:]]*Tabel1[[#This Row],[Totale uren:]])</f>
        <v/>
      </c>
      <c r="J64" s="68"/>
      <c r="K64" s="31"/>
      <c r="L64" s="86" t="str">
        <f>IF(Tabel1[[#This Row],[% uren 2:]]="","",Tabel1[[#This Row],[% uren 2:]]*Tabel1[[#This Row],[Totale uren:]])</f>
        <v/>
      </c>
      <c r="M64" s="72"/>
      <c r="N64" s="31"/>
      <c r="O64" s="85" t="str">
        <f>IF(Tabel1[[#This Row],[% uren 3:]]="","",Tabel1[[#This Row],[% uren 3:]]*Tabel1[[#This Row],[Totale uren:]])</f>
        <v/>
      </c>
      <c r="P64" s="138" t="str">
        <f>IF(Tabel1[[#This Row],[Ordernummer:]]="","",SUM(Tabel1[[#This Row],[% uren 1:]],Tabel1[[#This Row],[% uren 2:]],Tabel1[[#This Row],[% uren 3:]]))</f>
        <v/>
      </c>
      <c r="Q64" s="127"/>
      <c r="R64" s="128"/>
      <c r="S64" s="44"/>
      <c r="T64" s="25"/>
    </row>
    <row r="65" spans="2:20" x14ac:dyDescent="0.25">
      <c r="B65" s="9"/>
      <c r="C65" s="120"/>
      <c r="D65" s="120"/>
      <c r="E65" s="91"/>
      <c r="F65" s="53"/>
      <c r="G65" s="91"/>
      <c r="H65" s="97"/>
      <c r="I65" s="98" t="str">
        <f>IF(Tabel1[[#This Row],[% uren 1:]]="","",Tabel1[[#This Row],[% uren 1:]]*Tabel1[[#This Row],[Totale uren:]])</f>
        <v/>
      </c>
      <c r="J65" s="77"/>
      <c r="K65" s="97"/>
      <c r="L65" s="121" t="str">
        <f>IF(Tabel1[[#This Row],[% uren 2:]]="","",Tabel1[[#This Row],[% uren 2:]]*Tabel1[[#This Row],[Totale uren:]])</f>
        <v/>
      </c>
      <c r="M65" s="91"/>
      <c r="N65" s="97"/>
      <c r="O65" s="98" t="str">
        <f>IF(Tabel1[[#This Row],[% uren 3:]]="","",Tabel1[[#This Row],[% uren 3:]]*Tabel1[[#This Row],[Totale uren:]])</f>
        <v/>
      </c>
      <c r="P65" s="139" t="str">
        <f>IF(Tabel1[[#This Row],[Ordernummer:]]="","",SUM(Tabel1[[#This Row],[% uren 1:]],Tabel1[[#This Row],[% uren 2:]],Tabel1[[#This Row],[% uren 3:]]))</f>
        <v/>
      </c>
      <c r="Q65" s="129"/>
      <c r="R65" s="130"/>
      <c r="S65" s="43"/>
      <c r="T65" s="22"/>
    </row>
    <row r="66" spans="2:20" x14ac:dyDescent="0.25">
      <c r="B66" s="7"/>
      <c r="C66" s="10"/>
      <c r="D66" s="10"/>
      <c r="E66" s="72"/>
      <c r="F66" s="73"/>
      <c r="G66" s="72"/>
      <c r="H66" s="31"/>
      <c r="I66" s="85" t="str">
        <f>IF(Tabel1[[#This Row],[% uren 1:]]="","",Tabel1[[#This Row],[% uren 1:]]*Tabel1[[#This Row],[Totale uren:]])</f>
        <v/>
      </c>
      <c r="J66" s="68"/>
      <c r="K66" s="31"/>
      <c r="L66" s="86" t="str">
        <f>IF(Tabel1[[#This Row],[% uren 2:]]="","",Tabel1[[#This Row],[% uren 2:]]*Tabel1[[#This Row],[Totale uren:]])</f>
        <v/>
      </c>
      <c r="M66" s="72"/>
      <c r="N66" s="31"/>
      <c r="O66" s="85" t="str">
        <f>IF(Tabel1[[#This Row],[% uren 3:]]="","",Tabel1[[#This Row],[% uren 3:]]*Tabel1[[#This Row],[Totale uren:]])</f>
        <v/>
      </c>
      <c r="P66" s="138" t="str">
        <f>IF(Tabel1[[#This Row],[Ordernummer:]]="","",SUM(Tabel1[[#This Row],[% uren 1:]],Tabel1[[#This Row],[% uren 2:]],Tabel1[[#This Row],[% uren 3:]]))</f>
        <v/>
      </c>
      <c r="Q66" s="127"/>
      <c r="R66" s="128"/>
      <c r="S66" s="44"/>
      <c r="T66" s="25"/>
    </row>
    <row r="67" spans="2:20" x14ac:dyDescent="0.25">
      <c r="B67" s="7"/>
      <c r="C67" s="10"/>
      <c r="D67" s="10"/>
      <c r="E67" s="72"/>
      <c r="F67" s="73"/>
      <c r="G67" s="72"/>
      <c r="H67" s="31"/>
      <c r="I67" s="85" t="str">
        <f>IF(Tabel1[[#This Row],[% uren 1:]]="","",Tabel1[[#This Row],[% uren 1:]]*Tabel1[[#This Row],[Totale uren:]])</f>
        <v/>
      </c>
      <c r="J67" s="68"/>
      <c r="K67" s="31"/>
      <c r="L67" s="86" t="str">
        <f>IF(Tabel1[[#This Row],[% uren 2:]]="","",Tabel1[[#This Row],[% uren 2:]]*Tabel1[[#This Row],[Totale uren:]])</f>
        <v/>
      </c>
      <c r="M67" s="72"/>
      <c r="N67" s="31"/>
      <c r="O67" s="85" t="str">
        <f>IF(Tabel1[[#This Row],[% uren 3:]]="","",Tabel1[[#This Row],[% uren 3:]]*Tabel1[[#This Row],[Totale uren:]])</f>
        <v/>
      </c>
      <c r="P67" s="138" t="str">
        <f>IF(Tabel1[[#This Row],[Ordernummer:]]="","",SUM(Tabel1[[#This Row],[% uren 1:]],Tabel1[[#This Row],[% uren 2:]],Tabel1[[#This Row],[% uren 3:]]))</f>
        <v/>
      </c>
      <c r="Q67" s="127"/>
      <c r="R67" s="128"/>
      <c r="S67" s="44"/>
      <c r="T67" s="25"/>
    </row>
    <row r="68" spans="2:20" x14ac:dyDescent="0.25">
      <c r="B68" s="7"/>
      <c r="C68" s="10"/>
      <c r="D68" s="10"/>
      <c r="E68" s="72"/>
      <c r="F68" s="73"/>
      <c r="G68" s="72"/>
      <c r="H68" s="31"/>
      <c r="I68" s="85" t="str">
        <f>IF(Tabel1[[#This Row],[% uren 1:]]="","",Tabel1[[#This Row],[% uren 1:]]*Tabel1[[#This Row],[Totale uren:]])</f>
        <v/>
      </c>
      <c r="J68" s="68"/>
      <c r="K68" s="31"/>
      <c r="L68" s="86" t="str">
        <f>IF(Tabel1[[#This Row],[% uren 2:]]="","",Tabel1[[#This Row],[% uren 2:]]*Tabel1[[#This Row],[Totale uren:]])</f>
        <v/>
      </c>
      <c r="M68" s="72"/>
      <c r="N68" s="31"/>
      <c r="O68" s="85" t="str">
        <f>IF(Tabel1[[#This Row],[% uren 3:]]="","",Tabel1[[#This Row],[% uren 3:]]*Tabel1[[#This Row],[Totale uren:]])</f>
        <v/>
      </c>
      <c r="P68" s="138" t="str">
        <f>IF(Tabel1[[#This Row],[Ordernummer:]]="","",SUM(Tabel1[[#This Row],[% uren 1:]],Tabel1[[#This Row],[% uren 2:]],Tabel1[[#This Row],[% uren 3:]]))</f>
        <v/>
      </c>
      <c r="Q68" s="127"/>
      <c r="R68" s="128"/>
      <c r="S68" s="44"/>
      <c r="T68" s="25"/>
    </row>
    <row r="69" spans="2:20" x14ac:dyDescent="0.25">
      <c r="B69" s="7"/>
      <c r="C69" s="10"/>
      <c r="D69" s="10"/>
      <c r="E69" s="72"/>
      <c r="F69" s="73"/>
      <c r="G69" s="72"/>
      <c r="H69" s="31"/>
      <c r="I69" s="85" t="str">
        <f>IF(Tabel1[[#This Row],[% uren 1:]]="","",Tabel1[[#This Row],[% uren 1:]]*Tabel1[[#This Row],[Totale uren:]])</f>
        <v/>
      </c>
      <c r="J69" s="68"/>
      <c r="K69" s="31"/>
      <c r="L69" s="86" t="str">
        <f>IF(Tabel1[[#This Row],[% uren 2:]]="","",Tabel1[[#This Row],[% uren 2:]]*Tabel1[[#This Row],[Totale uren:]])</f>
        <v/>
      </c>
      <c r="M69" s="72"/>
      <c r="N69" s="31"/>
      <c r="O69" s="85" t="str">
        <f>IF(Tabel1[[#This Row],[% uren 3:]]="","",Tabel1[[#This Row],[% uren 3:]]*Tabel1[[#This Row],[Totale uren:]])</f>
        <v/>
      </c>
      <c r="P69" s="138" t="str">
        <f>IF(Tabel1[[#This Row],[Ordernummer:]]="","",SUM(Tabel1[[#This Row],[% uren 1:]],Tabel1[[#This Row],[% uren 2:]],Tabel1[[#This Row],[% uren 3:]]))</f>
        <v/>
      </c>
      <c r="Q69" s="127"/>
      <c r="R69" s="128"/>
      <c r="S69" s="44"/>
      <c r="T69" s="25"/>
    </row>
    <row r="70" spans="2:20" x14ac:dyDescent="0.25">
      <c r="B70" s="7"/>
      <c r="C70" s="10"/>
      <c r="D70" s="10"/>
      <c r="E70" s="72"/>
      <c r="F70" s="73"/>
      <c r="G70" s="72"/>
      <c r="H70" s="31"/>
      <c r="I70" s="85" t="str">
        <f>IF(Tabel1[[#This Row],[% uren 1:]]="","",Tabel1[[#This Row],[% uren 1:]]*Tabel1[[#This Row],[Totale uren:]])</f>
        <v/>
      </c>
      <c r="J70" s="68"/>
      <c r="K70" s="31"/>
      <c r="L70" s="86" t="str">
        <f>IF(Tabel1[[#This Row],[% uren 2:]]="","",Tabel1[[#This Row],[% uren 2:]]*Tabel1[[#This Row],[Totale uren:]])</f>
        <v/>
      </c>
      <c r="M70" s="72"/>
      <c r="N70" s="31"/>
      <c r="O70" s="85" t="str">
        <f>IF(Tabel1[[#This Row],[% uren 3:]]="","",Tabel1[[#This Row],[% uren 3:]]*Tabel1[[#This Row],[Totale uren:]])</f>
        <v/>
      </c>
      <c r="P70" s="138" t="str">
        <f>IF(Tabel1[[#This Row],[Ordernummer:]]="","",SUM(Tabel1[[#This Row],[% uren 1:]],Tabel1[[#This Row],[% uren 2:]],Tabel1[[#This Row],[% uren 3:]]))</f>
        <v/>
      </c>
      <c r="Q70" s="127"/>
      <c r="R70" s="128"/>
      <c r="S70" s="44"/>
      <c r="T70" s="25"/>
    </row>
    <row r="71" spans="2:20" x14ac:dyDescent="0.25">
      <c r="B71" s="7"/>
      <c r="C71" s="10"/>
      <c r="D71" s="10"/>
      <c r="E71" s="72"/>
      <c r="F71" s="73"/>
      <c r="G71" s="72"/>
      <c r="H71" s="31"/>
      <c r="I71" s="85" t="str">
        <f>IF(Tabel1[[#This Row],[% uren 1:]]="","",Tabel1[[#This Row],[% uren 1:]]*Tabel1[[#This Row],[Totale uren:]])</f>
        <v/>
      </c>
      <c r="J71" s="68"/>
      <c r="K71" s="31"/>
      <c r="L71" s="86" t="str">
        <f>IF(Tabel1[[#This Row],[% uren 2:]]="","",Tabel1[[#This Row],[% uren 2:]]*Tabel1[[#This Row],[Totale uren:]])</f>
        <v/>
      </c>
      <c r="M71" s="72"/>
      <c r="N71" s="31"/>
      <c r="O71" s="85" t="str">
        <f>IF(Tabel1[[#This Row],[% uren 3:]]="","",Tabel1[[#This Row],[% uren 3:]]*Tabel1[[#This Row],[Totale uren:]])</f>
        <v/>
      </c>
      <c r="P71" s="138" t="str">
        <f>IF(Tabel1[[#This Row],[Ordernummer:]]="","",SUM(Tabel1[[#This Row],[% uren 1:]],Tabel1[[#This Row],[% uren 2:]],Tabel1[[#This Row],[% uren 3:]]))</f>
        <v/>
      </c>
      <c r="Q71" s="127"/>
      <c r="R71" s="128"/>
      <c r="S71" s="44"/>
      <c r="T71" s="25"/>
    </row>
    <row r="72" spans="2:20" x14ac:dyDescent="0.25">
      <c r="B72" s="7"/>
      <c r="C72" s="10"/>
      <c r="D72" s="10"/>
      <c r="E72" s="72"/>
      <c r="F72" s="73"/>
      <c r="G72" s="72"/>
      <c r="H72" s="31"/>
      <c r="I72" s="85" t="str">
        <f>IF(Tabel1[[#This Row],[% uren 1:]]="","",Tabel1[[#This Row],[% uren 1:]]*Tabel1[[#This Row],[Totale uren:]])</f>
        <v/>
      </c>
      <c r="J72" s="68"/>
      <c r="K72" s="31"/>
      <c r="L72" s="86" t="str">
        <f>IF(Tabel1[[#This Row],[% uren 2:]]="","",Tabel1[[#This Row],[% uren 2:]]*Tabel1[[#This Row],[Totale uren:]])</f>
        <v/>
      </c>
      <c r="M72" s="72"/>
      <c r="N72" s="31"/>
      <c r="O72" s="85" t="str">
        <f>IF(Tabel1[[#This Row],[% uren 3:]]="","",Tabel1[[#This Row],[% uren 3:]]*Tabel1[[#This Row],[Totale uren:]])</f>
        <v/>
      </c>
      <c r="P72" s="138" t="str">
        <f>IF(Tabel1[[#This Row],[Ordernummer:]]="","",SUM(Tabel1[[#This Row],[% uren 1:]],Tabel1[[#This Row],[% uren 2:]],Tabel1[[#This Row],[% uren 3:]]))</f>
        <v/>
      </c>
      <c r="Q72" s="127"/>
      <c r="R72" s="128"/>
      <c r="S72" s="44"/>
      <c r="T72" s="25"/>
    </row>
    <row r="73" spans="2:20" x14ac:dyDescent="0.25">
      <c r="B73" s="7"/>
      <c r="C73" s="10"/>
      <c r="D73" s="10"/>
      <c r="E73" s="72"/>
      <c r="F73" s="73"/>
      <c r="G73" s="72"/>
      <c r="H73" s="31"/>
      <c r="I73" s="85" t="str">
        <f>IF(Tabel1[[#This Row],[% uren 1:]]="","",Tabel1[[#This Row],[% uren 1:]]*Tabel1[[#This Row],[Totale uren:]])</f>
        <v/>
      </c>
      <c r="J73" s="68"/>
      <c r="K73" s="31"/>
      <c r="L73" s="86" t="str">
        <f>IF(Tabel1[[#This Row],[% uren 2:]]="","",Tabel1[[#This Row],[% uren 2:]]*Tabel1[[#This Row],[Totale uren:]])</f>
        <v/>
      </c>
      <c r="M73" s="72"/>
      <c r="N73" s="31"/>
      <c r="O73" s="85" t="str">
        <f>IF(Tabel1[[#This Row],[% uren 3:]]="","",Tabel1[[#This Row],[% uren 3:]]*Tabel1[[#This Row],[Totale uren:]])</f>
        <v/>
      </c>
      <c r="P73" s="138" t="str">
        <f>IF(Tabel1[[#This Row],[Ordernummer:]]="","",SUM(Tabel1[[#This Row],[% uren 1:]],Tabel1[[#This Row],[% uren 2:]],Tabel1[[#This Row],[% uren 3:]]))</f>
        <v/>
      </c>
      <c r="Q73" s="127"/>
      <c r="R73" s="128"/>
      <c r="S73" s="44"/>
      <c r="T73" s="25"/>
    </row>
    <row r="74" spans="2:20" x14ac:dyDescent="0.25">
      <c r="B74" s="7"/>
      <c r="C74" s="10"/>
      <c r="D74" s="10"/>
      <c r="E74" s="72"/>
      <c r="F74" s="73"/>
      <c r="G74" s="72"/>
      <c r="H74" s="31"/>
      <c r="I74" s="85" t="str">
        <f>IF(Tabel1[[#This Row],[% uren 1:]]="","",Tabel1[[#This Row],[% uren 1:]]*Tabel1[[#This Row],[Totale uren:]])</f>
        <v/>
      </c>
      <c r="J74" s="68"/>
      <c r="K74" s="31"/>
      <c r="L74" s="86" t="str">
        <f>IF(Tabel1[[#This Row],[% uren 2:]]="","",Tabel1[[#This Row],[% uren 2:]]*Tabel1[[#This Row],[Totale uren:]])</f>
        <v/>
      </c>
      <c r="M74" s="72"/>
      <c r="N74" s="31"/>
      <c r="O74" s="85" t="str">
        <f>IF(Tabel1[[#This Row],[% uren 3:]]="","",Tabel1[[#This Row],[% uren 3:]]*Tabel1[[#This Row],[Totale uren:]])</f>
        <v/>
      </c>
      <c r="P74" s="138" t="str">
        <f>IF(Tabel1[[#This Row],[Ordernummer:]]="","",SUM(Tabel1[[#This Row],[% uren 1:]],Tabel1[[#This Row],[% uren 2:]],Tabel1[[#This Row],[% uren 3:]]))</f>
        <v/>
      </c>
      <c r="Q74" s="127"/>
      <c r="R74" s="128"/>
      <c r="S74" s="44"/>
      <c r="T74" s="25"/>
    </row>
    <row r="75" spans="2:20" x14ac:dyDescent="0.25">
      <c r="B75" s="7"/>
      <c r="C75" s="10"/>
      <c r="D75" s="10"/>
      <c r="E75" s="72"/>
      <c r="F75" s="73"/>
      <c r="G75" s="72"/>
      <c r="H75" s="31"/>
      <c r="I75" s="85" t="str">
        <f>IF(Tabel1[[#This Row],[% uren 1:]]="","",Tabel1[[#This Row],[% uren 1:]]*Tabel1[[#This Row],[Totale uren:]])</f>
        <v/>
      </c>
      <c r="J75" s="68"/>
      <c r="K75" s="31"/>
      <c r="L75" s="86" t="str">
        <f>IF(Tabel1[[#This Row],[% uren 2:]]="","",Tabel1[[#This Row],[% uren 2:]]*Tabel1[[#This Row],[Totale uren:]])</f>
        <v/>
      </c>
      <c r="M75" s="72"/>
      <c r="N75" s="31"/>
      <c r="O75" s="85" t="str">
        <f>IF(Tabel1[[#This Row],[% uren 3:]]="","",Tabel1[[#This Row],[% uren 3:]]*Tabel1[[#This Row],[Totale uren:]])</f>
        <v/>
      </c>
      <c r="P75" s="138" t="str">
        <f>IF(Tabel1[[#This Row],[Ordernummer:]]="","",SUM(Tabel1[[#This Row],[% uren 1:]],Tabel1[[#This Row],[% uren 2:]],Tabel1[[#This Row],[% uren 3:]]))</f>
        <v/>
      </c>
      <c r="Q75" s="127"/>
      <c r="R75" s="128"/>
      <c r="S75" s="44"/>
      <c r="T75" s="25"/>
    </row>
    <row r="76" spans="2:20" x14ac:dyDescent="0.25">
      <c r="B76" s="7"/>
      <c r="C76" s="10"/>
      <c r="D76" s="10"/>
      <c r="E76" s="72"/>
      <c r="F76" s="73"/>
      <c r="G76" s="72"/>
      <c r="H76" s="31"/>
      <c r="I76" s="85" t="str">
        <f>IF(Tabel1[[#This Row],[% uren 1:]]="","",Tabel1[[#This Row],[% uren 1:]]*Tabel1[[#This Row],[Totale uren:]])</f>
        <v/>
      </c>
      <c r="J76" s="68"/>
      <c r="K76" s="31"/>
      <c r="L76" s="86" t="str">
        <f>IF(Tabel1[[#This Row],[% uren 2:]]="","",Tabel1[[#This Row],[% uren 2:]]*Tabel1[[#This Row],[Totale uren:]])</f>
        <v/>
      </c>
      <c r="M76" s="72"/>
      <c r="N76" s="31"/>
      <c r="O76" s="85" t="str">
        <f>IF(Tabel1[[#This Row],[% uren 3:]]="","",Tabel1[[#This Row],[% uren 3:]]*Tabel1[[#This Row],[Totale uren:]])</f>
        <v/>
      </c>
      <c r="P76" s="138" t="str">
        <f>IF(Tabel1[[#This Row],[Ordernummer:]]="","",SUM(Tabel1[[#This Row],[% uren 1:]],Tabel1[[#This Row],[% uren 2:]],Tabel1[[#This Row],[% uren 3:]]))</f>
        <v/>
      </c>
      <c r="Q76" s="127"/>
      <c r="R76" s="128"/>
      <c r="S76" s="44"/>
      <c r="T76" s="25"/>
    </row>
    <row r="77" spans="2:20" x14ac:dyDescent="0.25">
      <c r="B77" s="7"/>
      <c r="C77" s="10"/>
      <c r="D77" s="10"/>
      <c r="E77" s="72"/>
      <c r="F77" s="73"/>
      <c r="G77" s="72"/>
      <c r="H77" s="31"/>
      <c r="I77" s="85" t="str">
        <f>IF(Tabel1[[#This Row],[% uren 1:]]="","",Tabel1[[#This Row],[% uren 1:]]*Tabel1[[#This Row],[Totale uren:]])</f>
        <v/>
      </c>
      <c r="J77" s="68"/>
      <c r="K77" s="31"/>
      <c r="L77" s="86" t="str">
        <f>IF(Tabel1[[#This Row],[% uren 2:]]="","",Tabel1[[#This Row],[% uren 2:]]*Tabel1[[#This Row],[Totale uren:]])</f>
        <v/>
      </c>
      <c r="M77" s="72"/>
      <c r="N77" s="31"/>
      <c r="O77" s="85" t="str">
        <f>IF(Tabel1[[#This Row],[% uren 3:]]="","",Tabel1[[#This Row],[% uren 3:]]*Tabel1[[#This Row],[Totale uren:]])</f>
        <v/>
      </c>
      <c r="P77" s="138" t="str">
        <f>IF(Tabel1[[#This Row],[Ordernummer:]]="","",SUM(Tabel1[[#This Row],[% uren 1:]],Tabel1[[#This Row],[% uren 2:]],Tabel1[[#This Row],[% uren 3:]]))</f>
        <v/>
      </c>
      <c r="Q77" s="127"/>
      <c r="R77" s="128"/>
      <c r="S77" s="44"/>
      <c r="T77" s="25"/>
    </row>
    <row r="78" spans="2:20" x14ac:dyDescent="0.25">
      <c r="B78" s="7"/>
      <c r="C78" s="10"/>
      <c r="D78" s="10"/>
      <c r="E78" s="72"/>
      <c r="F78" s="73"/>
      <c r="G78" s="72"/>
      <c r="H78" s="31"/>
      <c r="I78" s="85" t="str">
        <f>IF(Tabel1[[#This Row],[% uren 1:]]="","",Tabel1[[#This Row],[% uren 1:]]*Tabel1[[#This Row],[Totale uren:]])</f>
        <v/>
      </c>
      <c r="J78" s="68"/>
      <c r="K78" s="31"/>
      <c r="L78" s="86" t="str">
        <f>IF(Tabel1[[#This Row],[% uren 2:]]="","",Tabel1[[#This Row],[% uren 2:]]*Tabel1[[#This Row],[Totale uren:]])</f>
        <v/>
      </c>
      <c r="M78" s="72"/>
      <c r="N78" s="31"/>
      <c r="O78" s="85" t="str">
        <f>IF(Tabel1[[#This Row],[% uren 3:]]="","",Tabel1[[#This Row],[% uren 3:]]*Tabel1[[#This Row],[Totale uren:]])</f>
        <v/>
      </c>
      <c r="P78" s="138" t="str">
        <f>IF(Tabel1[[#This Row],[Ordernummer:]]="","",SUM(Tabel1[[#This Row],[% uren 1:]],Tabel1[[#This Row],[% uren 2:]],Tabel1[[#This Row],[% uren 3:]]))</f>
        <v/>
      </c>
      <c r="Q78" s="127"/>
      <c r="R78" s="128"/>
      <c r="S78" s="44"/>
      <c r="T78" s="25"/>
    </row>
    <row r="79" spans="2:20" x14ac:dyDescent="0.25">
      <c r="B79" s="7"/>
      <c r="C79" s="10"/>
      <c r="D79" s="10"/>
      <c r="E79" s="72"/>
      <c r="F79" s="73"/>
      <c r="G79" s="72"/>
      <c r="H79" s="31"/>
      <c r="I79" s="85" t="str">
        <f>IF(Tabel1[[#This Row],[% uren 1:]]="","",Tabel1[[#This Row],[% uren 1:]]*Tabel1[[#This Row],[Totale uren:]])</f>
        <v/>
      </c>
      <c r="J79" s="68"/>
      <c r="K79" s="31"/>
      <c r="L79" s="86" t="str">
        <f>IF(Tabel1[[#This Row],[% uren 2:]]="","",Tabel1[[#This Row],[% uren 2:]]*Tabel1[[#This Row],[Totale uren:]])</f>
        <v/>
      </c>
      <c r="M79" s="72"/>
      <c r="N79" s="31"/>
      <c r="O79" s="85" t="str">
        <f>IF(Tabel1[[#This Row],[% uren 3:]]="","",Tabel1[[#This Row],[% uren 3:]]*Tabel1[[#This Row],[Totale uren:]])</f>
        <v/>
      </c>
      <c r="P79" s="138" t="str">
        <f>IF(Tabel1[[#This Row],[Ordernummer:]]="","",SUM(Tabel1[[#This Row],[% uren 1:]],Tabel1[[#This Row],[% uren 2:]],Tabel1[[#This Row],[% uren 3:]]))</f>
        <v/>
      </c>
      <c r="Q79" s="127"/>
      <c r="R79" s="128"/>
      <c r="S79" s="44"/>
      <c r="T79" s="25"/>
    </row>
    <row r="80" spans="2:20" x14ac:dyDescent="0.25">
      <c r="B80" s="7"/>
      <c r="C80" s="10"/>
      <c r="D80" s="10"/>
      <c r="E80" s="72"/>
      <c r="F80" s="73"/>
      <c r="G80" s="72"/>
      <c r="H80" s="31"/>
      <c r="I80" s="85" t="str">
        <f>IF(Tabel1[[#This Row],[% uren 1:]]="","",Tabel1[[#This Row],[% uren 1:]]*Tabel1[[#This Row],[Totale uren:]])</f>
        <v/>
      </c>
      <c r="J80" s="68"/>
      <c r="K80" s="31"/>
      <c r="L80" s="86" t="str">
        <f>IF(Tabel1[[#This Row],[% uren 2:]]="","",Tabel1[[#This Row],[% uren 2:]]*Tabel1[[#This Row],[Totale uren:]])</f>
        <v/>
      </c>
      <c r="M80" s="72"/>
      <c r="N80" s="31"/>
      <c r="O80" s="85" t="str">
        <f>IF(Tabel1[[#This Row],[% uren 3:]]="","",Tabel1[[#This Row],[% uren 3:]]*Tabel1[[#This Row],[Totale uren:]])</f>
        <v/>
      </c>
      <c r="P80" s="138" t="str">
        <f>IF(Tabel1[[#This Row],[Ordernummer:]]="","",SUM(Tabel1[[#This Row],[% uren 1:]],Tabel1[[#This Row],[% uren 2:]],Tabel1[[#This Row],[% uren 3:]]))</f>
        <v/>
      </c>
      <c r="Q80" s="127"/>
      <c r="R80" s="128"/>
      <c r="S80" s="44"/>
      <c r="T80" s="25"/>
    </row>
    <row r="81" spans="2:21" x14ac:dyDescent="0.25">
      <c r="B81" s="7"/>
      <c r="C81" s="10"/>
      <c r="D81" s="10"/>
      <c r="E81" s="72"/>
      <c r="F81" s="73"/>
      <c r="G81" s="72"/>
      <c r="H81" s="31"/>
      <c r="I81" s="85" t="str">
        <f>IF(Tabel1[[#This Row],[% uren 1:]]="","",Tabel1[[#This Row],[% uren 1:]]*Tabel1[[#This Row],[Totale uren:]])</f>
        <v/>
      </c>
      <c r="J81" s="68"/>
      <c r="K81" s="31"/>
      <c r="L81" s="86" t="str">
        <f>IF(Tabel1[[#This Row],[% uren 2:]]="","",Tabel1[[#This Row],[% uren 2:]]*Tabel1[[#This Row],[Totale uren:]])</f>
        <v/>
      </c>
      <c r="M81" s="72"/>
      <c r="N81" s="31"/>
      <c r="O81" s="85" t="str">
        <f>IF(Tabel1[[#This Row],[% uren 3:]]="","",Tabel1[[#This Row],[% uren 3:]]*Tabel1[[#This Row],[Totale uren:]])</f>
        <v/>
      </c>
      <c r="P81" s="138" t="str">
        <f>IF(Tabel1[[#This Row],[Ordernummer:]]="","",SUM(Tabel1[[#This Row],[% uren 1:]],Tabel1[[#This Row],[% uren 2:]],Tabel1[[#This Row],[% uren 3:]]))</f>
        <v/>
      </c>
      <c r="Q81" s="127"/>
      <c r="R81" s="128"/>
      <c r="S81" s="44"/>
      <c r="T81" s="25"/>
    </row>
    <row r="82" spans="2:21" x14ac:dyDescent="0.25">
      <c r="B82" s="7"/>
      <c r="C82" s="10"/>
      <c r="D82" s="10"/>
      <c r="E82" s="72"/>
      <c r="F82" s="73"/>
      <c r="G82" s="72"/>
      <c r="H82" s="31"/>
      <c r="I82" s="85" t="str">
        <f>IF(Tabel1[[#This Row],[% uren 1:]]="","",Tabel1[[#This Row],[% uren 1:]]*Tabel1[[#This Row],[Totale uren:]])</f>
        <v/>
      </c>
      <c r="J82" s="68"/>
      <c r="K82" s="31"/>
      <c r="L82" s="86" t="str">
        <f>IF(Tabel1[[#This Row],[% uren 2:]]="","",Tabel1[[#This Row],[% uren 2:]]*Tabel1[[#This Row],[Totale uren:]])</f>
        <v/>
      </c>
      <c r="M82" s="72"/>
      <c r="N82" s="31"/>
      <c r="O82" s="85" t="str">
        <f>IF(Tabel1[[#This Row],[% uren 3:]]="","",Tabel1[[#This Row],[% uren 3:]]*Tabel1[[#This Row],[Totale uren:]])</f>
        <v/>
      </c>
      <c r="P82" s="138" t="str">
        <f>IF(Tabel1[[#This Row],[Ordernummer:]]="","",SUM(Tabel1[[#This Row],[% uren 1:]],Tabel1[[#This Row],[% uren 2:]],Tabel1[[#This Row],[% uren 3:]]))</f>
        <v/>
      </c>
      <c r="Q82" s="127"/>
      <c r="R82" s="128"/>
      <c r="S82" s="44"/>
      <c r="T82" s="25"/>
    </row>
    <row r="83" spans="2:21" x14ac:dyDescent="0.25">
      <c r="B83" s="7"/>
      <c r="C83" s="10"/>
      <c r="D83" s="10"/>
      <c r="E83" s="72"/>
      <c r="F83" s="73"/>
      <c r="G83" s="72"/>
      <c r="H83" s="31"/>
      <c r="I83" s="85" t="str">
        <f>IF(Tabel1[[#This Row],[% uren 1:]]="","",Tabel1[[#This Row],[% uren 1:]]*Tabel1[[#This Row],[Totale uren:]])</f>
        <v/>
      </c>
      <c r="J83" s="68"/>
      <c r="K83" s="31"/>
      <c r="L83" s="86" t="str">
        <f>IF(Tabel1[[#This Row],[% uren 2:]]="","",Tabel1[[#This Row],[% uren 2:]]*Tabel1[[#This Row],[Totale uren:]])</f>
        <v/>
      </c>
      <c r="M83" s="72"/>
      <c r="N83" s="31"/>
      <c r="O83" s="85" t="str">
        <f>IF(Tabel1[[#This Row],[% uren 3:]]="","",Tabel1[[#This Row],[% uren 3:]]*Tabel1[[#This Row],[Totale uren:]])</f>
        <v/>
      </c>
      <c r="P83" s="138" t="str">
        <f>IF(Tabel1[[#This Row],[Ordernummer:]]="","",SUM(Tabel1[[#This Row],[% uren 1:]],Tabel1[[#This Row],[% uren 2:]],Tabel1[[#This Row],[% uren 3:]]))</f>
        <v/>
      </c>
      <c r="Q83" s="127"/>
      <c r="R83" s="128"/>
      <c r="S83" s="44"/>
      <c r="T83" s="25"/>
      <c r="U83" t="s">
        <v>25</v>
      </c>
    </row>
    <row r="84" spans="2:21" x14ac:dyDescent="0.25">
      <c r="B84" s="7"/>
      <c r="C84" s="10"/>
      <c r="D84" s="10"/>
      <c r="E84" s="72"/>
      <c r="F84" s="73"/>
      <c r="G84" s="72"/>
      <c r="H84" s="31"/>
      <c r="I84" s="85" t="str">
        <f>IF(Tabel1[[#This Row],[% uren 1:]]="","",Tabel1[[#This Row],[% uren 1:]]*Tabel1[[#This Row],[Totale uren:]])</f>
        <v/>
      </c>
      <c r="J84" s="68"/>
      <c r="K84" s="31"/>
      <c r="L84" s="86" t="str">
        <f>IF(Tabel1[[#This Row],[% uren 2:]]="","",Tabel1[[#This Row],[% uren 2:]]*Tabel1[[#This Row],[Totale uren:]])</f>
        <v/>
      </c>
      <c r="M84" s="72"/>
      <c r="N84" s="31"/>
      <c r="O84" s="85" t="str">
        <f>IF(Tabel1[[#This Row],[% uren 3:]]="","",Tabel1[[#This Row],[% uren 3:]]*Tabel1[[#This Row],[Totale uren:]])</f>
        <v/>
      </c>
      <c r="P84" s="138" t="str">
        <f>IF(Tabel1[[#This Row],[Ordernummer:]]="","",SUM(Tabel1[[#This Row],[% uren 1:]],Tabel1[[#This Row],[% uren 2:]],Tabel1[[#This Row],[% uren 3:]]))</f>
        <v/>
      </c>
      <c r="Q84" s="127"/>
      <c r="R84" s="128"/>
      <c r="S84" s="44"/>
      <c r="T84" s="25"/>
    </row>
    <row r="85" spans="2:21" x14ac:dyDescent="0.25">
      <c r="B85" s="7"/>
      <c r="C85" s="10"/>
      <c r="D85" s="10"/>
      <c r="E85" s="72"/>
      <c r="F85" s="73"/>
      <c r="G85" s="72"/>
      <c r="H85" s="31"/>
      <c r="I85" s="85" t="str">
        <f>IF(Tabel1[[#This Row],[% uren 1:]]="","",Tabel1[[#This Row],[% uren 1:]]*Tabel1[[#This Row],[Totale uren:]])</f>
        <v/>
      </c>
      <c r="J85" s="68"/>
      <c r="K85" s="31"/>
      <c r="L85" s="86" t="str">
        <f>IF(Tabel1[[#This Row],[% uren 2:]]="","",Tabel1[[#This Row],[% uren 2:]]*Tabel1[[#This Row],[Totale uren:]])</f>
        <v/>
      </c>
      <c r="M85" s="72"/>
      <c r="N85" s="31"/>
      <c r="O85" s="85" t="str">
        <f>IF(Tabel1[[#This Row],[% uren 3:]]="","",Tabel1[[#This Row],[% uren 3:]]*Tabel1[[#This Row],[Totale uren:]])</f>
        <v/>
      </c>
      <c r="P85" s="138" t="str">
        <f>IF(Tabel1[[#This Row],[Ordernummer:]]="","",SUM(Tabel1[[#This Row],[% uren 1:]],Tabel1[[#This Row],[% uren 2:]],Tabel1[[#This Row],[% uren 3:]]))</f>
        <v/>
      </c>
      <c r="Q85" s="127"/>
      <c r="R85" s="128"/>
      <c r="S85" s="44"/>
      <c r="T85" s="25"/>
    </row>
    <row r="86" spans="2:21" x14ac:dyDescent="0.25">
      <c r="B86" s="7"/>
      <c r="C86" s="10"/>
      <c r="D86" s="10"/>
      <c r="E86" s="72"/>
      <c r="F86" s="73"/>
      <c r="G86" s="72"/>
      <c r="H86" s="31"/>
      <c r="I86" s="85" t="str">
        <f>IF(Tabel1[[#This Row],[% uren 1:]]="","",Tabel1[[#This Row],[% uren 1:]]*Tabel1[[#This Row],[Totale uren:]])</f>
        <v/>
      </c>
      <c r="J86" s="68"/>
      <c r="K86" s="31"/>
      <c r="L86" s="86" t="str">
        <f>IF(Tabel1[[#This Row],[% uren 2:]]="","",Tabel1[[#This Row],[% uren 2:]]*Tabel1[[#This Row],[Totale uren:]])</f>
        <v/>
      </c>
      <c r="M86" s="72"/>
      <c r="N86" s="31"/>
      <c r="O86" s="85" t="str">
        <f>IF(Tabel1[[#This Row],[% uren 3:]]="","",Tabel1[[#This Row],[% uren 3:]]*Tabel1[[#This Row],[Totale uren:]])</f>
        <v/>
      </c>
      <c r="P86" s="138" t="str">
        <f>IF(Tabel1[[#This Row],[Ordernummer:]]="","",SUM(Tabel1[[#This Row],[% uren 1:]],Tabel1[[#This Row],[% uren 2:]],Tabel1[[#This Row],[% uren 3:]]))</f>
        <v/>
      </c>
      <c r="Q86" s="127"/>
      <c r="R86" s="128"/>
      <c r="S86" s="44"/>
      <c r="T86" s="25"/>
    </row>
    <row r="87" spans="2:21" x14ac:dyDescent="0.25">
      <c r="B87" s="7"/>
      <c r="C87" s="10"/>
      <c r="D87" s="10"/>
      <c r="E87" s="72"/>
      <c r="F87" s="73"/>
      <c r="G87" s="72"/>
      <c r="H87" s="31"/>
      <c r="I87" s="85" t="str">
        <f>IF(Tabel1[[#This Row],[% uren 1:]]="","",Tabel1[[#This Row],[% uren 1:]]*Tabel1[[#This Row],[Totale uren:]])</f>
        <v/>
      </c>
      <c r="J87" s="68"/>
      <c r="K87" s="31"/>
      <c r="L87" s="86" t="str">
        <f>IF(Tabel1[[#This Row],[% uren 2:]]="","",Tabel1[[#This Row],[% uren 2:]]*Tabel1[[#This Row],[Totale uren:]])</f>
        <v/>
      </c>
      <c r="M87" s="72"/>
      <c r="N87" s="31"/>
      <c r="O87" s="85" t="str">
        <f>IF(Tabel1[[#This Row],[% uren 3:]]="","",Tabel1[[#This Row],[% uren 3:]]*Tabel1[[#This Row],[Totale uren:]])</f>
        <v/>
      </c>
      <c r="P87" s="138" t="str">
        <f>IF(Tabel1[[#This Row],[Ordernummer:]]="","",SUM(Tabel1[[#This Row],[% uren 1:]],Tabel1[[#This Row],[% uren 2:]],Tabel1[[#This Row],[% uren 3:]]))</f>
        <v/>
      </c>
      <c r="Q87" s="127"/>
      <c r="R87" s="128"/>
      <c r="S87" s="44"/>
      <c r="T87" s="25"/>
    </row>
    <row r="88" spans="2:21" x14ac:dyDescent="0.25">
      <c r="B88" s="7"/>
      <c r="C88" s="10"/>
      <c r="D88" s="10"/>
      <c r="E88" s="72"/>
      <c r="F88" s="73"/>
      <c r="G88" s="72"/>
      <c r="H88" s="31"/>
      <c r="I88" s="85" t="str">
        <f>IF(Tabel1[[#This Row],[% uren 1:]]="","",Tabel1[[#This Row],[% uren 1:]]*Tabel1[[#This Row],[Totale uren:]])</f>
        <v/>
      </c>
      <c r="J88" s="68"/>
      <c r="K88" s="31"/>
      <c r="L88" s="86" t="str">
        <f>IF(Tabel1[[#This Row],[% uren 2:]]="","",Tabel1[[#This Row],[% uren 2:]]*Tabel1[[#This Row],[Totale uren:]])</f>
        <v/>
      </c>
      <c r="M88" s="72"/>
      <c r="N88" s="31"/>
      <c r="O88" s="85" t="str">
        <f>IF(Tabel1[[#This Row],[% uren 3:]]="","",Tabel1[[#This Row],[% uren 3:]]*Tabel1[[#This Row],[Totale uren:]])</f>
        <v/>
      </c>
      <c r="P88" s="138" t="str">
        <f>IF(Tabel1[[#This Row],[Ordernummer:]]="","",SUM(Tabel1[[#This Row],[% uren 1:]],Tabel1[[#This Row],[% uren 2:]],Tabel1[[#This Row],[% uren 3:]]))</f>
        <v/>
      </c>
      <c r="Q88" s="127"/>
      <c r="R88" s="128"/>
      <c r="S88" s="44"/>
      <c r="T88" s="25"/>
    </row>
    <row r="89" spans="2:21" x14ac:dyDescent="0.25">
      <c r="B89" s="7"/>
      <c r="C89" s="10"/>
      <c r="D89" s="10"/>
      <c r="E89" s="72"/>
      <c r="F89" s="73"/>
      <c r="G89" s="72"/>
      <c r="H89" s="31"/>
      <c r="I89" s="85" t="str">
        <f>IF(Tabel1[[#This Row],[% uren 1:]]="","",Tabel1[[#This Row],[% uren 1:]]*Tabel1[[#This Row],[Totale uren:]])</f>
        <v/>
      </c>
      <c r="J89" s="68"/>
      <c r="K89" s="31"/>
      <c r="L89" s="86" t="str">
        <f>IF(Tabel1[[#This Row],[% uren 2:]]="","",Tabel1[[#This Row],[% uren 2:]]*Tabel1[[#This Row],[Totale uren:]])</f>
        <v/>
      </c>
      <c r="M89" s="72"/>
      <c r="N89" s="31"/>
      <c r="O89" s="85" t="str">
        <f>IF(Tabel1[[#This Row],[% uren 3:]]="","",Tabel1[[#This Row],[% uren 3:]]*Tabel1[[#This Row],[Totale uren:]])</f>
        <v/>
      </c>
      <c r="P89" s="138" t="str">
        <f>IF(Tabel1[[#This Row],[Ordernummer:]]="","",SUM(Tabel1[[#This Row],[% uren 1:]],Tabel1[[#This Row],[% uren 2:]],Tabel1[[#This Row],[% uren 3:]]))</f>
        <v/>
      </c>
      <c r="Q89" s="127"/>
      <c r="R89" s="128"/>
      <c r="S89" s="44"/>
      <c r="T89" s="25"/>
    </row>
    <row r="90" spans="2:21" x14ac:dyDescent="0.25">
      <c r="B90" s="7"/>
      <c r="C90" s="10"/>
      <c r="D90" s="10"/>
      <c r="E90" s="72"/>
      <c r="F90" s="73"/>
      <c r="G90" s="72"/>
      <c r="H90" s="31"/>
      <c r="I90" s="85" t="str">
        <f>IF(Tabel1[[#This Row],[% uren 1:]]="","",Tabel1[[#This Row],[% uren 1:]]*Tabel1[[#This Row],[Totale uren:]])</f>
        <v/>
      </c>
      <c r="J90" s="68"/>
      <c r="K90" s="31"/>
      <c r="L90" s="86" t="str">
        <f>IF(Tabel1[[#This Row],[% uren 2:]]="","",Tabel1[[#This Row],[% uren 2:]]*Tabel1[[#This Row],[Totale uren:]])</f>
        <v/>
      </c>
      <c r="M90" s="72"/>
      <c r="N90" s="31"/>
      <c r="O90" s="85" t="str">
        <f>IF(Tabel1[[#This Row],[% uren 3:]]="","",Tabel1[[#This Row],[% uren 3:]]*Tabel1[[#This Row],[Totale uren:]])</f>
        <v/>
      </c>
      <c r="P90" s="138" t="str">
        <f>IF(Tabel1[[#This Row],[Ordernummer:]]="","",SUM(Tabel1[[#This Row],[% uren 1:]],Tabel1[[#This Row],[% uren 2:]],Tabel1[[#This Row],[% uren 3:]]))</f>
        <v/>
      </c>
      <c r="Q90" s="127"/>
      <c r="R90" s="128"/>
      <c r="S90" s="44"/>
      <c r="T90" s="25"/>
    </row>
    <row r="91" spans="2:21" x14ac:dyDescent="0.25">
      <c r="B91" s="7"/>
      <c r="C91" s="10"/>
      <c r="D91" s="10"/>
      <c r="E91" s="72"/>
      <c r="F91" s="73"/>
      <c r="G91" s="72"/>
      <c r="H91" s="31"/>
      <c r="I91" s="85" t="str">
        <f>IF(Tabel1[[#This Row],[% uren 1:]]="","",Tabel1[[#This Row],[% uren 1:]]*Tabel1[[#This Row],[Totale uren:]])</f>
        <v/>
      </c>
      <c r="J91" s="68"/>
      <c r="K91" s="31"/>
      <c r="L91" s="86" t="str">
        <f>IF(Tabel1[[#This Row],[% uren 2:]]="","",Tabel1[[#This Row],[% uren 2:]]*Tabel1[[#This Row],[Totale uren:]])</f>
        <v/>
      </c>
      <c r="M91" s="72"/>
      <c r="N91" s="31"/>
      <c r="O91" s="85" t="str">
        <f>IF(Tabel1[[#This Row],[% uren 3:]]="","",Tabel1[[#This Row],[% uren 3:]]*Tabel1[[#This Row],[Totale uren:]])</f>
        <v/>
      </c>
      <c r="P91" s="138" t="str">
        <f>IF(Tabel1[[#This Row],[Ordernummer:]]="","",SUM(Tabel1[[#This Row],[% uren 1:]],Tabel1[[#This Row],[% uren 2:]],Tabel1[[#This Row],[% uren 3:]]))</f>
        <v/>
      </c>
      <c r="Q91" s="127"/>
      <c r="R91" s="128"/>
      <c r="S91" s="44"/>
      <c r="T91" s="25"/>
    </row>
    <row r="92" spans="2:21" x14ac:dyDescent="0.25">
      <c r="B92" s="7"/>
      <c r="C92" s="10"/>
      <c r="D92" s="10"/>
      <c r="E92" s="72"/>
      <c r="F92" s="73"/>
      <c r="G92" s="72"/>
      <c r="H92" s="31"/>
      <c r="I92" s="85" t="str">
        <f>IF(Tabel1[[#This Row],[% uren 1:]]="","",Tabel1[[#This Row],[% uren 1:]]*Tabel1[[#This Row],[Totale uren:]])</f>
        <v/>
      </c>
      <c r="J92" s="68"/>
      <c r="K92" s="31"/>
      <c r="L92" s="86" t="str">
        <f>IF(Tabel1[[#This Row],[% uren 2:]]="","",Tabel1[[#This Row],[% uren 2:]]*Tabel1[[#This Row],[Totale uren:]])</f>
        <v/>
      </c>
      <c r="M92" s="72"/>
      <c r="N92" s="31"/>
      <c r="O92" s="85" t="str">
        <f>IF(Tabel1[[#This Row],[% uren 3:]]="","",Tabel1[[#This Row],[% uren 3:]]*Tabel1[[#This Row],[Totale uren:]])</f>
        <v/>
      </c>
      <c r="P92" s="138" t="str">
        <f>IF(Tabel1[[#This Row],[Ordernummer:]]="","",SUM(Tabel1[[#This Row],[% uren 1:]],Tabel1[[#This Row],[% uren 2:]],Tabel1[[#This Row],[% uren 3:]]))</f>
        <v/>
      </c>
      <c r="Q92" s="127"/>
      <c r="R92" s="128"/>
      <c r="S92" s="44"/>
      <c r="T92" s="25"/>
    </row>
    <row r="93" spans="2:21" x14ac:dyDescent="0.25">
      <c r="B93" s="7"/>
      <c r="C93" s="10"/>
      <c r="D93" s="10"/>
      <c r="E93" s="72"/>
      <c r="F93" s="73"/>
      <c r="G93" s="72"/>
      <c r="H93" s="31"/>
      <c r="I93" s="85" t="str">
        <f>IF(Tabel1[[#This Row],[% uren 1:]]="","",Tabel1[[#This Row],[% uren 1:]]*Tabel1[[#This Row],[Totale uren:]])</f>
        <v/>
      </c>
      <c r="J93" s="68"/>
      <c r="K93" s="31"/>
      <c r="L93" s="86" t="str">
        <f>IF(Tabel1[[#This Row],[% uren 2:]]="","",Tabel1[[#This Row],[% uren 2:]]*Tabel1[[#This Row],[Totale uren:]])</f>
        <v/>
      </c>
      <c r="M93" s="72"/>
      <c r="N93" s="31"/>
      <c r="O93" s="85" t="str">
        <f>IF(Tabel1[[#This Row],[% uren 3:]]="","",Tabel1[[#This Row],[% uren 3:]]*Tabel1[[#This Row],[Totale uren:]])</f>
        <v/>
      </c>
      <c r="P93" s="138" t="str">
        <f>IF(Tabel1[[#This Row],[Ordernummer:]]="","",SUM(Tabel1[[#This Row],[% uren 1:]],Tabel1[[#This Row],[% uren 2:]],Tabel1[[#This Row],[% uren 3:]]))</f>
        <v/>
      </c>
      <c r="Q93" s="127"/>
      <c r="R93" s="128"/>
      <c r="S93" s="44"/>
      <c r="T93" s="25"/>
    </row>
    <row r="94" spans="2:21" x14ac:dyDescent="0.25">
      <c r="B94" s="7"/>
      <c r="C94" s="10"/>
      <c r="D94" s="10"/>
      <c r="E94" s="72"/>
      <c r="F94" s="73"/>
      <c r="G94" s="72"/>
      <c r="H94" s="31"/>
      <c r="I94" s="85" t="str">
        <f>IF(Tabel1[[#This Row],[% uren 1:]]="","",Tabel1[[#This Row],[% uren 1:]]*Tabel1[[#This Row],[Totale uren:]])</f>
        <v/>
      </c>
      <c r="J94" s="68"/>
      <c r="K94" s="31"/>
      <c r="L94" s="86" t="str">
        <f>IF(Tabel1[[#This Row],[% uren 2:]]="","",Tabel1[[#This Row],[% uren 2:]]*Tabel1[[#This Row],[Totale uren:]])</f>
        <v/>
      </c>
      <c r="M94" s="72"/>
      <c r="N94" s="31"/>
      <c r="O94" s="85" t="str">
        <f>IF(Tabel1[[#This Row],[% uren 3:]]="","",Tabel1[[#This Row],[% uren 3:]]*Tabel1[[#This Row],[Totale uren:]])</f>
        <v/>
      </c>
      <c r="P94" s="138" t="str">
        <f>IF(Tabel1[[#This Row],[Ordernummer:]]="","",SUM(Tabel1[[#This Row],[% uren 1:]],Tabel1[[#This Row],[% uren 2:]],Tabel1[[#This Row],[% uren 3:]]))</f>
        <v/>
      </c>
      <c r="Q94" s="127"/>
      <c r="R94" s="128"/>
      <c r="S94" s="44"/>
      <c r="T94" s="25"/>
    </row>
    <row r="95" spans="2:21" x14ac:dyDescent="0.25">
      <c r="B95" s="7"/>
      <c r="C95" s="10"/>
      <c r="D95" s="10"/>
      <c r="E95" s="72"/>
      <c r="F95" s="73"/>
      <c r="G95" s="72"/>
      <c r="H95" s="31"/>
      <c r="I95" s="85" t="str">
        <f>IF(Tabel1[[#This Row],[% uren 1:]]="","",Tabel1[[#This Row],[% uren 1:]]*Tabel1[[#This Row],[Totale uren:]])</f>
        <v/>
      </c>
      <c r="J95" s="68"/>
      <c r="K95" s="31"/>
      <c r="L95" s="86" t="str">
        <f>IF(Tabel1[[#This Row],[% uren 2:]]="","",Tabel1[[#This Row],[% uren 2:]]*Tabel1[[#This Row],[Totale uren:]])</f>
        <v/>
      </c>
      <c r="M95" s="72"/>
      <c r="N95" s="31"/>
      <c r="O95" s="85" t="str">
        <f>IF(Tabel1[[#This Row],[% uren 3:]]="","",Tabel1[[#This Row],[% uren 3:]]*Tabel1[[#This Row],[Totale uren:]])</f>
        <v/>
      </c>
      <c r="P95" s="138" t="str">
        <f>IF(Tabel1[[#This Row],[Ordernummer:]]="","",SUM(Tabel1[[#This Row],[% uren 1:]],Tabel1[[#This Row],[% uren 2:]],Tabel1[[#This Row],[% uren 3:]]))</f>
        <v/>
      </c>
      <c r="Q95" s="127"/>
      <c r="R95" s="128"/>
      <c r="S95" s="44"/>
      <c r="T95" s="25"/>
    </row>
    <row r="96" spans="2:21" x14ac:dyDescent="0.25">
      <c r="B96" s="7"/>
      <c r="C96" s="10"/>
      <c r="D96" s="10"/>
      <c r="E96" s="72"/>
      <c r="F96" s="73"/>
      <c r="G96" s="72"/>
      <c r="H96" s="31"/>
      <c r="I96" s="85" t="str">
        <f>IF(Tabel1[[#This Row],[% uren 1:]]="","",Tabel1[[#This Row],[% uren 1:]]*Tabel1[[#This Row],[Totale uren:]])</f>
        <v/>
      </c>
      <c r="J96" s="68"/>
      <c r="K96" s="31"/>
      <c r="L96" s="86" t="str">
        <f>IF(Tabel1[[#This Row],[% uren 2:]]="","",Tabel1[[#This Row],[% uren 2:]]*Tabel1[[#This Row],[Totale uren:]])</f>
        <v/>
      </c>
      <c r="M96" s="72"/>
      <c r="N96" s="31"/>
      <c r="O96" s="85" t="str">
        <f>IF(Tabel1[[#This Row],[% uren 3:]]="","",Tabel1[[#This Row],[% uren 3:]]*Tabel1[[#This Row],[Totale uren:]])</f>
        <v/>
      </c>
      <c r="P96" s="138" t="str">
        <f>IF(Tabel1[[#This Row],[Ordernummer:]]="","",SUM(Tabel1[[#This Row],[% uren 1:]],Tabel1[[#This Row],[% uren 2:]],Tabel1[[#This Row],[% uren 3:]]))</f>
        <v/>
      </c>
      <c r="Q96" s="127"/>
      <c r="R96" s="128"/>
      <c r="S96" s="44"/>
      <c r="T96" s="25"/>
    </row>
    <row r="97" spans="2:20" x14ac:dyDescent="0.25">
      <c r="B97" s="7"/>
      <c r="C97" s="10"/>
      <c r="D97" s="10"/>
      <c r="E97" s="72"/>
      <c r="F97" s="73"/>
      <c r="G97" s="72"/>
      <c r="H97" s="31"/>
      <c r="I97" s="85" t="str">
        <f>IF(Tabel1[[#This Row],[% uren 1:]]="","",Tabel1[[#This Row],[% uren 1:]]*Tabel1[[#This Row],[Totale uren:]])</f>
        <v/>
      </c>
      <c r="J97" s="68"/>
      <c r="K97" s="31"/>
      <c r="L97" s="86" t="str">
        <f>IF(Tabel1[[#This Row],[% uren 2:]]="","",Tabel1[[#This Row],[% uren 2:]]*Tabel1[[#This Row],[Totale uren:]])</f>
        <v/>
      </c>
      <c r="M97" s="72"/>
      <c r="N97" s="31"/>
      <c r="O97" s="85" t="str">
        <f>IF(Tabel1[[#This Row],[% uren 3:]]="","",Tabel1[[#This Row],[% uren 3:]]*Tabel1[[#This Row],[Totale uren:]])</f>
        <v/>
      </c>
      <c r="P97" s="138" t="str">
        <f>IF(Tabel1[[#This Row],[Ordernummer:]]="","",SUM(Tabel1[[#This Row],[% uren 1:]],Tabel1[[#This Row],[% uren 2:]],Tabel1[[#This Row],[% uren 3:]]))</f>
        <v/>
      </c>
      <c r="Q97" s="127"/>
      <c r="R97" s="128"/>
      <c r="S97" s="44"/>
      <c r="T97" s="25"/>
    </row>
    <row r="98" spans="2:20" x14ac:dyDescent="0.25">
      <c r="B98" s="7"/>
      <c r="C98" s="10"/>
      <c r="D98" s="10"/>
      <c r="E98" s="72"/>
      <c r="F98" s="73"/>
      <c r="G98" s="72"/>
      <c r="H98" s="31"/>
      <c r="I98" s="85" t="str">
        <f>IF(Tabel1[[#This Row],[% uren 1:]]="","",Tabel1[[#This Row],[% uren 1:]]*Tabel1[[#This Row],[Totale uren:]])</f>
        <v/>
      </c>
      <c r="J98" s="68"/>
      <c r="K98" s="31"/>
      <c r="L98" s="86" t="str">
        <f>IF(Tabel1[[#This Row],[% uren 2:]]="","",Tabel1[[#This Row],[% uren 2:]]*Tabel1[[#This Row],[Totale uren:]])</f>
        <v/>
      </c>
      <c r="M98" s="72"/>
      <c r="N98" s="31"/>
      <c r="O98" s="85" t="str">
        <f>IF(Tabel1[[#This Row],[% uren 3:]]="","",Tabel1[[#This Row],[% uren 3:]]*Tabel1[[#This Row],[Totale uren:]])</f>
        <v/>
      </c>
      <c r="P98" s="138" t="str">
        <f>IF(Tabel1[[#This Row],[Ordernummer:]]="","",SUM(Tabel1[[#This Row],[% uren 1:]],Tabel1[[#This Row],[% uren 2:]],Tabel1[[#This Row],[% uren 3:]]))</f>
        <v/>
      </c>
      <c r="Q98" s="127"/>
      <c r="R98" s="128"/>
      <c r="S98" s="44"/>
      <c r="T98" s="25"/>
    </row>
    <row r="99" spans="2:20" x14ac:dyDescent="0.25">
      <c r="B99" s="7"/>
      <c r="C99" s="10"/>
      <c r="D99" s="10"/>
      <c r="E99" s="72"/>
      <c r="F99" s="73"/>
      <c r="G99" s="72"/>
      <c r="H99" s="31"/>
      <c r="I99" s="85" t="str">
        <f>IF(Tabel1[[#This Row],[% uren 1:]]="","",Tabel1[[#This Row],[% uren 1:]]*Tabel1[[#This Row],[Totale uren:]])</f>
        <v/>
      </c>
      <c r="J99" s="68"/>
      <c r="K99" s="31"/>
      <c r="L99" s="86" t="str">
        <f>IF(Tabel1[[#This Row],[% uren 2:]]="","",Tabel1[[#This Row],[% uren 2:]]*Tabel1[[#This Row],[Totale uren:]])</f>
        <v/>
      </c>
      <c r="M99" s="72"/>
      <c r="N99" s="31"/>
      <c r="O99" s="85" t="str">
        <f>IF(Tabel1[[#This Row],[% uren 3:]]="","",Tabel1[[#This Row],[% uren 3:]]*Tabel1[[#This Row],[Totale uren:]])</f>
        <v/>
      </c>
      <c r="P99" s="138" t="str">
        <f>IF(Tabel1[[#This Row],[Ordernummer:]]="","",SUM(Tabel1[[#This Row],[% uren 1:]],Tabel1[[#This Row],[% uren 2:]],Tabel1[[#This Row],[% uren 3:]]))</f>
        <v/>
      </c>
      <c r="Q99" s="127"/>
      <c r="R99" s="128"/>
      <c r="S99" s="44"/>
      <c r="T99" s="25"/>
    </row>
    <row r="100" spans="2:20" x14ac:dyDescent="0.25">
      <c r="B100" s="7"/>
      <c r="C100" s="10"/>
      <c r="D100" s="10"/>
      <c r="E100" s="72"/>
      <c r="F100" s="73"/>
      <c r="G100" s="72"/>
      <c r="H100" s="31"/>
      <c r="I100" s="85" t="str">
        <f>IF(Tabel1[[#This Row],[% uren 1:]]="","",Tabel1[[#This Row],[% uren 1:]]*Tabel1[[#This Row],[Totale uren:]])</f>
        <v/>
      </c>
      <c r="J100" s="68"/>
      <c r="K100" s="31"/>
      <c r="L100" s="86" t="str">
        <f>IF(Tabel1[[#This Row],[% uren 2:]]="","",Tabel1[[#This Row],[% uren 2:]]*Tabel1[[#This Row],[Totale uren:]])</f>
        <v/>
      </c>
      <c r="M100" s="72"/>
      <c r="N100" s="31"/>
      <c r="O100" s="85" t="str">
        <f>IF(Tabel1[[#This Row],[% uren 3:]]="","",Tabel1[[#This Row],[% uren 3:]]*Tabel1[[#This Row],[Totale uren:]])</f>
        <v/>
      </c>
      <c r="P100" s="138" t="str">
        <f>IF(Tabel1[[#This Row],[Ordernummer:]]="","",SUM(Tabel1[[#This Row],[% uren 1:]],Tabel1[[#This Row],[% uren 2:]],Tabel1[[#This Row],[% uren 3:]]))</f>
        <v/>
      </c>
      <c r="Q100" s="127"/>
      <c r="R100" s="128"/>
      <c r="S100" s="44"/>
      <c r="T100" s="25"/>
    </row>
    <row r="101" spans="2:20" x14ac:dyDescent="0.25">
      <c r="B101" s="7"/>
      <c r="C101" s="10"/>
      <c r="D101" s="10"/>
      <c r="E101" s="72"/>
      <c r="F101" s="73"/>
      <c r="G101" s="72"/>
      <c r="H101" s="31"/>
      <c r="I101" s="85" t="str">
        <f>IF(Tabel1[[#This Row],[% uren 1:]]="","",Tabel1[[#This Row],[% uren 1:]]*Tabel1[[#This Row],[Totale uren:]])</f>
        <v/>
      </c>
      <c r="J101" s="68"/>
      <c r="K101" s="31"/>
      <c r="L101" s="86" t="str">
        <f>IF(Tabel1[[#This Row],[% uren 2:]]="","",Tabel1[[#This Row],[% uren 2:]]*Tabel1[[#This Row],[Totale uren:]])</f>
        <v/>
      </c>
      <c r="M101" s="72"/>
      <c r="N101" s="31"/>
      <c r="O101" s="85" t="str">
        <f>IF(Tabel1[[#This Row],[% uren 3:]]="","",Tabel1[[#This Row],[% uren 3:]]*Tabel1[[#This Row],[Totale uren:]])</f>
        <v/>
      </c>
      <c r="P101" s="138" t="str">
        <f>IF(Tabel1[[#This Row],[Ordernummer:]]="","",SUM(Tabel1[[#This Row],[% uren 1:]],Tabel1[[#This Row],[% uren 2:]],Tabel1[[#This Row],[% uren 3:]]))</f>
        <v/>
      </c>
      <c r="Q101" s="127"/>
      <c r="R101" s="128"/>
      <c r="S101" s="44"/>
      <c r="T101" s="25"/>
    </row>
    <row r="102" spans="2:20" x14ac:dyDescent="0.25">
      <c r="B102" s="7"/>
      <c r="C102" s="10"/>
      <c r="D102" s="10"/>
      <c r="E102" s="72"/>
      <c r="F102" s="73"/>
      <c r="G102" s="72"/>
      <c r="H102" s="31"/>
      <c r="I102" s="85" t="str">
        <f>IF(Tabel1[[#This Row],[% uren 1:]]="","",Tabel1[[#This Row],[% uren 1:]]*Tabel1[[#This Row],[Totale uren:]])</f>
        <v/>
      </c>
      <c r="J102" s="68"/>
      <c r="K102" s="31"/>
      <c r="L102" s="86" t="str">
        <f>IF(Tabel1[[#This Row],[% uren 2:]]="","",Tabel1[[#This Row],[% uren 2:]]*Tabel1[[#This Row],[Totale uren:]])</f>
        <v/>
      </c>
      <c r="M102" s="72"/>
      <c r="N102" s="31"/>
      <c r="O102" s="85" t="str">
        <f>IF(Tabel1[[#This Row],[% uren 3:]]="","",Tabel1[[#This Row],[% uren 3:]]*Tabel1[[#This Row],[Totale uren:]])</f>
        <v/>
      </c>
      <c r="P102" s="138" t="str">
        <f>IF(Tabel1[[#This Row],[Ordernummer:]]="","",SUM(Tabel1[[#This Row],[% uren 1:]],Tabel1[[#This Row],[% uren 2:]],Tabel1[[#This Row],[% uren 3:]]))</f>
        <v/>
      </c>
      <c r="Q102" s="127"/>
      <c r="R102" s="128"/>
      <c r="S102" s="44"/>
      <c r="T102" s="25"/>
    </row>
    <row r="103" spans="2:20" x14ac:dyDescent="0.25">
      <c r="B103" s="7"/>
      <c r="C103" s="10"/>
      <c r="D103" s="10"/>
      <c r="E103" s="72"/>
      <c r="F103" s="73"/>
      <c r="G103" s="72"/>
      <c r="H103" s="31"/>
      <c r="I103" s="85" t="str">
        <f>IF(Tabel1[[#This Row],[% uren 1:]]="","",Tabel1[[#This Row],[% uren 1:]]*Tabel1[[#This Row],[Totale uren:]])</f>
        <v/>
      </c>
      <c r="J103" s="68"/>
      <c r="K103" s="31"/>
      <c r="L103" s="86" t="str">
        <f>IF(Tabel1[[#This Row],[% uren 2:]]="","",Tabel1[[#This Row],[% uren 2:]]*Tabel1[[#This Row],[Totale uren:]])</f>
        <v/>
      </c>
      <c r="M103" s="72"/>
      <c r="N103" s="31"/>
      <c r="O103" s="85" t="str">
        <f>IF(Tabel1[[#This Row],[% uren 3:]]="","",Tabel1[[#This Row],[% uren 3:]]*Tabel1[[#This Row],[Totale uren:]])</f>
        <v/>
      </c>
      <c r="P103" s="138" t="str">
        <f>IF(Tabel1[[#This Row],[Ordernummer:]]="","",SUM(Tabel1[[#This Row],[% uren 1:]],Tabel1[[#This Row],[% uren 2:]],Tabel1[[#This Row],[% uren 3:]]))</f>
        <v/>
      </c>
      <c r="Q103" s="127"/>
      <c r="R103" s="128"/>
      <c r="S103" s="44"/>
      <c r="T103" s="25"/>
    </row>
    <row r="104" spans="2:20" x14ac:dyDescent="0.25">
      <c r="B104" s="7"/>
      <c r="C104" s="10"/>
      <c r="D104" s="10"/>
      <c r="E104" s="72"/>
      <c r="F104" s="73"/>
      <c r="G104" s="72"/>
      <c r="H104" s="31"/>
      <c r="I104" s="85" t="str">
        <f>IF(Tabel1[[#This Row],[% uren 1:]]="","",Tabel1[[#This Row],[% uren 1:]]*Tabel1[[#This Row],[Totale uren:]])</f>
        <v/>
      </c>
      <c r="J104" s="68"/>
      <c r="K104" s="31"/>
      <c r="L104" s="86" t="str">
        <f>IF(Tabel1[[#This Row],[% uren 2:]]="","",Tabel1[[#This Row],[% uren 2:]]*Tabel1[[#This Row],[Totale uren:]])</f>
        <v/>
      </c>
      <c r="M104" s="72"/>
      <c r="N104" s="31"/>
      <c r="O104" s="85" t="str">
        <f>IF(Tabel1[[#This Row],[% uren 3:]]="","",Tabel1[[#This Row],[% uren 3:]]*Tabel1[[#This Row],[Totale uren:]])</f>
        <v/>
      </c>
      <c r="P104" s="138" t="str">
        <f>IF(Tabel1[[#This Row],[Ordernummer:]]="","",SUM(Tabel1[[#This Row],[% uren 1:]],Tabel1[[#This Row],[% uren 2:]],Tabel1[[#This Row],[% uren 3:]]))</f>
        <v/>
      </c>
      <c r="Q104" s="127"/>
      <c r="R104" s="128"/>
      <c r="S104" s="44"/>
      <c r="T104" s="25"/>
    </row>
    <row r="105" spans="2:20" x14ac:dyDescent="0.25">
      <c r="B105" s="7"/>
      <c r="C105" s="10"/>
      <c r="D105" s="10"/>
      <c r="E105" s="72"/>
      <c r="F105" s="73"/>
      <c r="G105" s="72"/>
      <c r="H105" s="31"/>
      <c r="I105" s="85" t="str">
        <f>IF(Tabel1[[#This Row],[% uren 1:]]="","",Tabel1[[#This Row],[% uren 1:]]*Tabel1[[#This Row],[Totale uren:]])</f>
        <v/>
      </c>
      <c r="J105" s="68"/>
      <c r="K105" s="31"/>
      <c r="L105" s="86" t="str">
        <f>IF(Tabel1[[#This Row],[% uren 2:]]="","",Tabel1[[#This Row],[% uren 2:]]*Tabel1[[#This Row],[Totale uren:]])</f>
        <v/>
      </c>
      <c r="M105" s="72"/>
      <c r="N105" s="31"/>
      <c r="O105" s="85" t="str">
        <f>IF(Tabel1[[#This Row],[% uren 3:]]="","",Tabel1[[#This Row],[% uren 3:]]*Tabel1[[#This Row],[Totale uren:]])</f>
        <v/>
      </c>
      <c r="P105" s="138" t="str">
        <f>IF(Tabel1[[#This Row],[Ordernummer:]]="","",SUM(Tabel1[[#This Row],[% uren 1:]],Tabel1[[#This Row],[% uren 2:]],Tabel1[[#This Row],[% uren 3:]]))</f>
        <v/>
      </c>
      <c r="Q105" s="127"/>
      <c r="R105" s="128"/>
      <c r="S105" s="44"/>
      <c r="T105" s="25"/>
    </row>
    <row r="106" spans="2:20" x14ac:dyDescent="0.25">
      <c r="B106" s="7"/>
      <c r="C106" s="10"/>
      <c r="D106" s="10"/>
      <c r="E106" s="72"/>
      <c r="F106" s="73"/>
      <c r="G106" s="72"/>
      <c r="H106" s="31"/>
      <c r="I106" s="85" t="str">
        <f>IF(Tabel1[[#This Row],[% uren 1:]]="","",Tabel1[[#This Row],[% uren 1:]]*Tabel1[[#This Row],[Totale uren:]])</f>
        <v/>
      </c>
      <c r="J106" s="68"/>
      <c r="K106" s="31"/>
      <c r="L106" s="86" t="str">
        <f>IF(Tabel1[[#This Row],[% uren 2:]]="","",Tabel1[[#This Row],[% uren 2:]]*Tabel1[[#This Row],[Totale uren:]])</f>
        <v/>
      </c>
      <c r="M106" s="72"/>
      <c r="N106" s="31"/>
      <c r="O106" s="85" t="str">
        <f>IF(Tabel1[[#This Row],[% uren 3:]]="","",Tabel1[[#This Row],[% uren 3:]]*Tabel1[[#This Row],[Totale uren:]])</f>
        <v/>
      </c>
      <c r="P106" s="138" t="str">
        <f>IF(Tabel1[[#This Row],[Ordernummer:]]="","",SUM(Tabel1[[#This Row],[% uren 1:]],Tabel1[[#This Row],[% uren 2:]],Tabel1[[#This Row],[% uren 3:]]))</f>
        <v/>
      </c>
      <c r="Q106" s="127"/>
      <c r="R106" s="128"/>
      <c r="S106" s="44"/>
      <c r="T106" s="25"/>
    </row>
    <row r="107" spans="2:20" x14ac:dyDescent="0.25">
      <c r="B107" s="7"/>
      <c r="C107" s="10"/>
      <c r="D107" s="10"/>
      <c r="E107" s="72"/>
      <c r="F107" s="73"/>
      <c r="G107" s="72"/>
      <c r="H107" s="31"/>
      <c r="I107" s="85" t="str">
        <f>IF(Tabel1[[#This Row],[% uren 1:]]="","",Tabel1[[#This Row],[% uren 1:]]*Tabel1[[#This Row],[Totale uren:]])</f>
        <v/>
      </c>
      <c r="J107" s="68"/>
      <c r="K107" s="31"/>
      <c r="L107" s="86" t="str">
        <f>IF(Tabel1[[#This Row],[% uren 2:]]="","",Tabel1[[#This Row],[% uren 2:]]*Tabel1[[#This Row],[Totale uren:]])</f>
        <v/>
      </c>
      <c r="M107" s="72"/>
      <c r="N107" s="31"/>
      <c r="O107" s="85" t="str">
        <f>IF(Tabel1[[#This Row],[% uren 3:]]="","",Tabel1[[#This Row],[% uren 3:]]*Tabel1[[#This Row],[Totale uren:]])</f>
        <v/>
      </c>
      <c r="P107" s="138" t="str">
        <f>IF(Tabel1[[#This Row],[Ordernummer:]]="","",SUM(Tabel1[[#This Row],[% uren 1:]],Tabel1[[#This Row],[% uren 2:]],Tabel1[[#This Row],[% uren 3:]]))</f>
        <v/>
      </c>
      <c r="Q107" s="127"/>
      <c r="R107" s="128"/>
      <c r="S107" s="44"/>
      <c r="T107" s="25"/>
    </row>
    <row r="108" spans="2:20" x14ac:dyDescent="0.25">
      <c r="B108" s="7"/>
      <c r="C108" s="10"/>
      <c r="D108" s="10"/>
      <c r="E108" s="72"/>
      <c r="F108" s="73"/>
      <c r="G108" s="72"/>
      <c r="H108" s="31"/>
      <c r="I108" s="85" t="str">
        <f>IF(Tabel1[[#This Row],[% uren 1:]]="","",Tabel1[[#This Row],[% uren 1:]]*Tabel1[[#This Row],[Totale uren:]])</f>
        <v/>
      </c>
      <c r="J108" s="68"/>
      <c r="K108" s="31"/>
      <c r="L108" s="86" t="str">
        <f>IF(Tabel1[[#This Row],[% uren 2:]]="","",Tabel1[[#This Row],[% uren 2:]]*Tabel1[[#This Row],[Totale uren:]])</f>
        <v/>
      </c>
      <c r="M108" s="72"/>
      <c r="N108" s="31"/>
      <c r="O108" s="85" t="str">
        <f>IF(Tabel1[[#This Row],[% uren 3:]]="","",Tabel1[[#This Row],[% uren 3:]]*Tabel1[[#This Row],[Totale uren:]])</f>
        <v/>
      </c>
      <c r="P108" s="138" t="str">
        <f>IF(Tabel1[[#This Row],[Ordernummer:]]="","",SUM(Tabel1[[#This Row],[% uren 1:]],Tabel1[[#This Row],[% uren 2:]],Tabel1[[#This Row],[% uren 3:]]))</f>
        <v/>
      </c>
      <c r="Q108" s="127"/>
      <c r="R108" s="128"/>
      <c r="S108" s="44"/>
      <c r="T108" s="25"/>
    </row>
    <row r="109" spans="2:20" x14ac:dyDescent="0.25">
      <c r="B109" s="7"/>
      <c r="C109" s="10"/>
      <c r="D109" s="10"/>
      <c r="E109" s="72"/>
      <c r="F109" s="73"/>
      <c r="G109" s="72"/>
      <c r="H109" s="31"/>
      <c r="I109" s="85" t="str">
        <f>IF(Tabel1[[#This Row],[% uren 1:]]="","",Tabel1[[#This Row],[% uren 1:]]*Tabel1[[#This Row],[Totale uren:]])</f>
        <v/>
      </c>
      <c r="J109" s="68"/>
      <c r="K109" s="31"/>
      <c r="L109" s="86" t="str">
        <f>IF(Tabel1[[#This Row],[% uren 2:]]="","",Tabel1[[#This Row],[% uren 2:]]*Tabel1[[#This Row],[Totale uren:]])</f>
        <v/>
      </c>
      <c r="M109" s="72"/>
      <c r="N109" s="31"/>
      <c r="O109" s="85" t="str">
        <f>IF(Tabel1[[#This Row],[% uren 3:]]="","",Tabel1[[#This Row],[% uren 3:]]*Tabel1[[#This Row],[Totale uren:]])</f>
        <v/>
      </c>
      <c r="P109" s="138" t="str">
        <f>IF(Tabel1[[#This Row],[Ordernummer:]]="","",SUM(Tabel1[[#This Row],[% uren 1:]],Tabel1[[#This Row],[% uren 2:]],Tabel1[[#This Row],[% uren 3:]]))</f>
        <v/>
      </c>
      <c r="Q109" s="127"/>
      <c r="R109" s="128"/>
      <c r="S109" s="44"/>
      <c r="T109" s="25"/>
    </row>
    <row r="110" spans="2:20" x14ac:dyDescent="0.25">
      <c r="B110" s="7"/>
      <c r="C110" s="10"/>
      <c r="D110" s="10"/>
      <c r="E110" s="72"/>
      <c r="F110" s="73"/>
      <c r="G110" s="72"/>
      <c r="H110" s="31"/>
      <c r="I110" s="85" t="str">
        <f>IF(Tabel1[[#This Row],[% uren 1:]]="","",Tabel1[[#This Row],[% uren 1:]]*Tabel1[[#This Row],[Totale uren:]])</f>
        <v/>
      </c>
      <c r="J110" s="68"/>
      <c r="K110" s="31"/>
      <c r="L110" s="86" t="str">
        <f>IF(Tabel1[[#This Row],[% uren 2:]]="","",Tabel1[[#This Row],[% uren 2:]]*Tabel1[[#This Row],[Totale uren:]])</f>
        <v/>
      </c>
      <c r="M110" s="72"/>
      <c r="N110" s="31"/>
      <c r="O110" s="85" t="str">
        <f>IF(Tabel1[[#This Row],[% uren 3:]]="","",Tabel1[[#This Row],[% uren 3:]]*Tabel1[[#This Row],[Totale uren:]])</f>
        <v/>
      </c>
      <c r="P110" s="138" t="str">
        <f>IF(Tabel1[[#This Row],[Ordernummer:]]="","",SUM(Tabel1[[#This Row],[% uren 1:]],Tabel1[[#This Row],[% uren 2:]],Tabel1[[#This Row],[% uren 3:]]))</f>
        <v/>
      </c>
      <c r="Q110" s="127"/>
      <c r="R110" s="128"/>
      <c r="S110" s="44"/>
      <c r="T110" s="25"/>
    </row>
    <row r="111" spans="2:20" x14ac:dyDescent="0.25">
      <c r="B111" s="7"/>
      <c r="C111" s="10"/>
      <c r="D111" s="10"/>
      <c r="E111" s="72"/>
      <c r="F111" s="73"/>
      <c r="G111" s="72"/>
      <c r="H111" s="31"/>
      <c r="I111" s="85" t="str">
        <f>IF(Tabel1[[#This Row],[% uren 1:]]="","",Tabel1[[#This Row],[% uren 1:]]*Tabel1[[#This Row],[Totale uren:]])</f>
        <v/>
      </c>
      <c r="J111" s="68"/>
      <c r="K111" s="31"/>
      <c r="L111" s="86" t="str">
        <f>IF(Tabel1[[#This Row],[% uren 2:]]="","",Tabel1[[#This Row],[% uren 2:]]*Tabel1[[#This Row],[Totale uren:]])</f>
        <v/>
      </c>
      <c r="M111" s="72"/>
      <c r="N111" s="31"/>
      <c r="O111" s="85" t="str">
        <f>IF(Tabel1[[#This Row],[% uren 3:]]="","",Tabel1[[#This Row],[% uren 3:]]*Tabel1[[#This Row],[Totale uren:]])</f>
        <v/>
      </c>
      <c r="P111" s="138" t="str">
        <f>IF(Tabel1[[#This Row],[Ordernummer:]]="","",SUM(Tabel1[[#This Row],[% uren 1:]],Tabel1[[#This Row],[% uren 2:]],Tabel1[[#This Row],[% uren 3:]]))</f>
        <v/>
      </c>
      <c r="Q111" s="127"/>
      <c r="R111" s="128"/>
      <c r="S111" s="44"/>
      <c r="T111" s="25"/>
    </row>
    <row r="112" spans="2:20" x14ac:dyDescent="0.25">
      <c r="B112" s="7"/>
      <c r="C112" s="10"/>
      <c r="D112" s="10"/>
      <c r="E112" s="72"/>
      <c r="F112" s="73"/>
      <c r="G112" s="72"/>
      <c r="H112" s="31"/>
      <c r="I112" s="85" t="str">
        <f>IF(Tabel1[[#This Row],[% uren 1:]]="","",Tabel1[[#This Row],[% uren 1:]]*Tabel1[[#This Row],[Totale uren:]])</f>
        <v/>
      </c>
      <c r="J112" s="68"/>
      <c r="K112" s="31"/>
      <c r="L112" s="86" t="str">
        <f>IF(Tabel1[[#This Row],[% uren 2:]]="","",Tabel1[[#This Row],[% uren 2:]]*Tabel1[[#This Row],[Totale uren:]])</f>
        <v/>
      </c>
      <c r="M112" s="72"/>
      <c r="N112" s="31"/>
      <c r="O112" s="85" t="str">
        <f>IF(Tabel1[[#This Row],[% uren 3:]]="","",Tabel1[[#This Row],[% uren 3:]]*Tabel1[[#This Row],[Totale uren:]])</f>
        <v/>
      </c>
      <c r="P112" s="138" t="str">
        <f>IF(Tabel1[[#This Row],[Ordernummer:]]="","",SUM(Tabel1[[#This Row],[% uren 1:]],Tabel1[[#This Row],[% uren 2:]],Tabel1[[#This Row],[% uren 3:]]))</f>
        <v/>
      </c>
      <c r="Q112" s="127"/>
      <c r="R112" s="128"/>
      <c r="S112" s="44"/>
      <c r="T112" s="25"/>
    </row>
    <row r="113" spans="2:20" x14ac:dyDescent="0.25">
      <c r="B113" s="7"/>
      <c r="C113" s="10"/>
      <c r="D113" s="10"/>
      <c r="E113" s="72"/>
      <c r="F113" s="73"/>
      <c r="G113" s="72"/>
      <c r="H113" s="31"/>
      <c r="I113" s="85" t="str">
        <f>IF(Tabel1[[#This Row],[% uren 1:]]="","",Tabel1[[#This Row],[% uren 1:]]*Tabel1[[#This Row],[Totale uren:]])</f>
        <v/>
      </c>
      <c r="J113" s="68"/>
      <c r="K113" s="31"/>
      <c r="L113" s="86" t="str">
        <f>IF(Tabel1[[#This Row],[% uren 2:]]="","",Tabel1[[#This Row],[% uren 2:]]*Tabel1[[#This Row],[Totale uren:]])</f>
        <v/>
      </c>
      <c r="M113" s="72"/>
      <c r="N113" s="31"/>
      <c r="O113" s="85" t="str">
        <f>IF(Tabel1[[#This Row],[% uren 3:]]="","",Tabel1[[#This Row],[% uren 3:]]*Tabel1[[#This Row],[Totale uren:]])</f>
        <v/>
      </c>
      <c r="P113" s="138" t="str">
        <f>IF(Tabel1[[#This Row],[Ordernummer:]]="","",SUM(Tabel1[[#This Row],[% uren 1:]],Tabel1[[#This Row],[% uren 2:]],Tabel1[[#This Row],[% uren 3:]]))</f>
        <v/>
      </c>
      <c r="Q113" s="127"/>
      <c r="R113" s="128"/>
      <c r="S113" s="44"/>
      <c r="T113" s="25"/>
    </row>
    <row r="114" spans="2:20" x14ac:dyDescent="0.25">
      <c r="B114" s="7"/>
      <c r="C114" s="10"/>
      <c r="D114" s="10"/>
      <c r="E114" s="72"/>
      <c r="F114" s="73"/>
      <c r="G114" s="72"/>
      <c r="H114" s="31"/>
      <c r="I114" s="85" t="str">
        <f>IF(Tabel1[[#This Row],[% uren 1:]]="","",Tabel1[[#This Row],[% uren 1:]]*Tabel1[[#This Row],[Totale uren:]])</f>
        <v/>
      </c>
      <c r="J114" s="68"/>
      <c r="K114" s="31"/>
      <c r="L114" s="86" t="str">
        <f>IF(Tabel1[[#This Row],[% uren 2:]]="","",Tabel1[[#This Row],[% uren 2:]]*Tabel1[[#This Row],[Totale uren:]])</f>
        <v/>
      </c>
      <c r="M114" s="72"/>
      <c r="N114" s="31"/>
      <c r="O114" s="85" t="str">
        <f>IF(Tabel1[[#This Row],[% uren 3:]]="","",Tabel1[[#This Row],[% uren 3:]]*Tabel1[[#This Row],[Totale uren:]])</f>
        <v/>
      </c>
      <c r="P114" s="138" t="str">
        <f>IF(Tabel1[[#This Row],[Ordernummer:]]="","",SUM(Tabel1[[#This Row],[% uren 1:]],Tabel1[[#This Row],[% uren 2:]],Tabel1[[#This Row],[% uren 3:]]))</f>
        <v/>
      </c>
      <c r="Q114" s="127"/>
      <c r="R114" s="128"/>
      <c r="S114" s="44"/>
      <c r="T114" s="25"/>
    </row>
    <row r="115" spans="2:20" x14ac:dyDescent="0.25">
      <c r="B115" s="7"/>
      <c r="C115" s="10"/>
      <c r="D115" s="10"/>
      <c r="E115" s="72"/>
      <c r="F115" s="73"/>
      <c r="G115" s="72"/>
      <c r="H115" s="31"/>
      <c r="I115" s="85" t="str">
        <f>IF(Tabel1[[#This Row],[% uren 1:]]="","",Tabel1[[#This Row],[% uren 1:]]*Tabel1[[#This Row],[Totale uren:]])</f>
        <v/>
      </c>
      <c r="J115" s="68"/>
      <c r="K115" s="31"/>
      <c r="L115" s="86" t="str">
        <f>IF(Tabel1[[#This Row],[% uren 2:]]="","",Tabel1[[#This Row],[% uren 2:]]*Tabel1[[#This Row],[Totale uren:]])</f>
        <v/>
      </c>
      <c r="M115" s="72"/>
      <c r="N115" s="31"/>
      <c r="O115" s="85" t="str">
        <f>IF(Tabel1[[#This Row],[% uren 3:]]="","",Tabel1[[#This Row],[% uren 3:]]*Tabel1[[#This Row],[Totale uren:]])</f>
        <v/>
      </c>
      <c r="P115" s="138" t="str">
        <f>IF(Tabel1[[#This Row],[Ordernummer:]]="","",SUM(Tabel1[[#This Row],[% uren 1:]],Tabel1[[#This Row],[% uren 2:]],Tabel1[[#This Row],[% uren 3:]]))</f>
        <v/>
      </c>
      <c r="Q115" s="127"/>
      <c r="R115" s="128"/>
      <c r="S115" s="44"/>
      <c r="T115" s="25"/>
    </row>
    <row r="116" spans="2:20" x14ac:dyDescent="0.25">
      <c r="B116" s="7"/>
      <c r="C116" s="10"/>
      <c r="D116" s="10"/>
      <c r="E116" s="72"/>
      <c r="F116" s="73"/>
      <c r="G116" s="72"/>
      <c r="H116" s="31"/>
      <c r="I116" s="85" t="str">
        <f>IF(Tabel1[[#This Row],[% uren 1:]]="","",Tabel1[[#This Row],[% uren 1:]]*Tabel1[[#This Row],[Totale uren:]])</f>
        <v/>
      </c>
      <c r="J116" s="68"/>
      <c r="K116" s="31"/>
      <c r="L116" s="86" t="str">
        <f>IF(Tabel1[[#This Row],[% uren 2:]]="","",Tabel1[[#This Row],[% uren 2:]]*Tabel1[[#This Row],[Totale uren:]])</f>
        <v/>
      </c>
      <c r="M116" s="72"/>
      <c r="N116" s="31"/>
      <c r="O116" s="85" t="str">
        <f>IF(Tabel1[[#This Row],[% uren 3:]]="","",Tabel1[[#This Row],[% uren 3:]]*Tabel1[[#This Row],[Totale uren:]])</f>
        <v/>
      </c>
      <c r="P116" s="138" t="str">
        <f>IF(Tabel1[[#This Row],[Ordernummer:]]="","",SUM(Tabel1[[#This Row],[% uren 1:]],Tabel1[[#This Row],[% uren 2:]],Tabel1[[#This Row],[% uren 3:]]))</f>
        <v/>
      </c>
      <c r="Q116" s="127"/>
      <c r="R116" s="128"/>
      <c r="S116" s="44"/>
      <c r="T116" s="25"/>
    </row>
    <row r="117" spans="2:20" x14ac:dyDescent="0.25">
      <c r="B117" s="7"/>
      <c r="C117" s="10"/>
      <c r="D117" s="10"/>
      <c r="E117" s="72"/>
      <c r="F117" s="73"/>
      <c r="G117" s="72"/>
      <c r="H117" s="31"/>
      <c r="I117" s="85" t="str">
        <f>IF(Tabel1[[#This Row],[% uren 1:]]="","",Tabel1[[#This Row],[% uren 1:]]*Tabel1[[#This Row],[Totale uren:]])</f>
        <v/>
      </c>
      <c r="J117" s="68"/>
      <c r="K117" s="31"/>
      <c r="L117" s="86" t="str">
        <f>IF(Tabel1[[#This Row],[% uren 2:]]="","",Tabel1[[#This Row],[% uren 2:]]*Tabel1[[#This Row],[Totale uren:]])</f>
        <v/>
      </c>
      <c r="M117" s="72"/>
      <c r="N117" s="31"/>
      <c r="O117" s="85" t="str">
        <f>IF(Tabel1[[#This Row],[% uren 3:]]="","",Tabel1[[#This Row],[% uren 3:]]*Tabel1[[#This Row],[Totale uren:]])</f>
        <v/>
      </c>
      <c r="P117" s="138" t="str">
        <f>IF(Tabel1[[#This Row],[Ordernummer:]]="","",SUM(Tabel1[[#This Row],[% uren 1:]],Tabel1[[#This Row],[% uren 2:]],Tabel1[[#This Row],[% uren 3:]]))</f>
        <v/>
      </c>
      <c r="Q117" s="127"/>
      <c r="R117" s="128"/>
      <c r="S117" s="44"/>
      <c r="T117" s="25"/>
    </row>
    <row r="118" spans="2:20" x14ac:dyDescent="0.25">
      <c r="B118" s="7"/>
      <c r="C118" s="10"/>
      <c r="D118" s="10"/>
      <c r="E118" s="72"/>
      <c r="F118" s="73"/>
      <c r="G118" s="72"/>
      <c r="H118" s="31"/>
      <c r="I118" s="85" t="str">
        <f>IF(Tabel1[[#This Row],[% uren 1:]]="","",Tabel1[[#This Row],[% uren 1:]]*Tabel1[[#This Row],[Totale uren:]])</f>
        <v/>
      </c>
      <c r="J118" s="68"/>
      <c r="K118" s="31"/>
      <c r="L118" s="86" t="str">
        <f>IF(Tabel1[[#This Row],[% uren 2:]]="","",Tabel1[[#This Row],[% uren 2:]]*Tabel1[[#This Row],[Totale uren:]])</f>
        <v/>
      </c>
      <c r="M118" s="72"/>
      <c r="N118" s="31"/>
      <c r="O118" s="85" t="str">
        <f>IF(Tabel1[[#This Row],[% uren 3:]]="","",Tabel1[[#This Row],[% uren 3:]]*Tabel1[[#This Row],[Totale uren:]])</f>
        <v/>
      </c>
      <c r="P118" s="138" t="str">
        <f>IF(Tabel1[[#This Row],[Ordernummer:]]="","",SUM(Tabel1[[#This Row],[% uren 1:]],Tabel1[[#This Row],[% uren 2:]],Tabel1[[#This Row],[% uren 3:]]))</f>
        <v/>
      </c>
      <c r="Q118" s="127"/>
      <c r="R118" s="128"/>
      <c r="S118" s="44"/>
      <c r="T118" s="25"/>
    </row>
    <row r="119" spans="2:20" x14ac:dyDescent="0.25">
      <c r="B119" s="7"/>
      <c r="C119" s="10"/>
      <c r="D119" s="10"/>
      <c r="E119" s="72"/>
      <c r="F119" s="73"/>
      <c r="G119" s="72"/>
      <c r="H119" s="31"/>
      <c r="I119" s="85" t="str">
        <f>IF(Tabel1[[#This Row],[% uren 1:]]="","",Tabel1[[#This Row],[% uren 1:]]*Tabel1[[#This Row],[Totale uren:]])</f>
        <v/>
      </c>
      <c r="J119" s="68"/>
      <c r="K119" s="31"/>
      <c r="L119" s="86" t="str">
        <f>IF(Tabel1[[#This Row],[% uren 2:]]="","",Tabel1[[#This Row],[% uren 2:]]*Tabel1[[#This Row],[Totale uren:]])</f>
        <v/>
      </c>
      <c r="M119" s="72"/>
      <c r="N119" s="31"/>
      <c r="O119" s="85" t="str">
        <f>IF(Tabel1[[#This Row],[% uren 3:]]="","",Tabel1[[#This Row],[% uren 3:]]*Tabel1[[#This Row],[Totale uren:]])</f>
        <v/>
      </c>
      <c r="P119" s="138" t="str">
        <f>IF(Tabel1[[#This Row],[Ordernummer:]]="","",SUM(Tabel1[[#This Row],[% uren 1:]],Tabel1[[#This Row],[% uren 2:]],Tabel1[[#This Row],[% uren 3:]]))</f>
        <v/>
      </c>
      <c r="Q119" s="127"/>
      <c r="R119" s="128"/>
      <c r="S119" s="44"/>
      <c r="T119" s="25"/>
    </row>
    <row r="120" spans="2:20" x14ac:dyDescent="0.25">
      <c r="B120" s="7"/>
      <c r="C120" s="10"/>
      <c r="D120" s="10"/>
      <c r="E120" s="72"/>
      <c r="F120" s="73"/>
      <c r="G120" s="72"/>
      <c r="H120" s="31"/>
      <c r="I120" s="85" t="str">
        <f>IF(Tabel1[[#This Row],[% uren 1:]]="","",Tabel1[[#This Row],[% uren 1:]]*Tabel1[[#This Row],[Totale uren:]])</f>
        <v/>
      </c>
      <c r="J120" s="68"/>
      <c r="K120" s="31"/>
      <c r="L120" s="86" t="str">
        <f>IF(Tabel1[[#This Row],[% uren 2:]]="","",Tabel1[[#This Row],[% uren 2:]]*Tabel1[[#This Row],[Totale uren:]])</f>
        <v/>
      </c>
      <c r="M120" s="72"/>
      <c r="N120" s="31"/>
      <c r="O120" s="85" t="str">
        <f>IF(Tabel1[[#This Row],[% uren 3:]]="","",Tabel1[[#This Row],[% uren 3:]]*Tabel1[[#This Row],[Totale uren:]])</f>
        <v/>
      </c>
      <c r="P120" s="138" t="str">
        <f>IF(Tabel1[[#This Row],[Ordernummer:]]="","",SUM(Tabel1[[#This Row],[% uren 1:]],Tabel1[[#This Row],[% uren 2:]],Tabel1[[#This Row],[% uren 3:]]))</f>
        <v/>
      </c>
      <c r="Q120" s="127"/>
      <c r="R120" s="128"/>
      <c r="S120" s="44"/>
      <c r="T120" s="25"/>
    </row>
    <row r="121" spans="2:20" x14ac:dyDescent="0.25">
      <c r="B121" s="7"/>
      <c r="C121" s="10"/>
      <c r="D121" s="10"/>
      <c r="E121" s="72"/>
      <c r="F121" s="73"/>
      <c r="G121" s="72"/>
      <c r="H121" s="31"/>
      <c r="I121" s="85" t="str">
        <f>IF(Tabel1[[#This Row],[% uren 1:]]="","",Tabel1[[#This Row],[% uren 1:]]*Tabel1[[#This Row],[Totale uren:]])</f>
        <v/>
      </c>
      <c r="J121" s="68"/>
      <c r="K121" s="31"/>
      <c r="L121" s="86" t="str">
        <f>IF(Tabel1[[#This Row],[% uren 2:]]="","",Tabel1[[#This Row],[% uren 2:]]*Tabel1[[#This Row],[Totale uren:]])</f>
        <v/>
      </c>
      <c r="M121" s="72"/>
      <c r="N121" s="31"/>
      <c r="O121" s="85" t="str">
        <f>IF(Tabel1[[#This Row],[% uren 3:]]="","",Tabel1[[#This Row],[% uren 3:]]*Tabel1[[#This Row],[Totale uren:]])</f>
        <v/>
      </c>
      <c r="P121" s="138" t="str">
        <f>IF(Tabel1[[#This Row],[Ordernummer:]]="","",SUM(Tabel1[[#This Row],[% uren 1:]],Tabel1[[#This Row],[% uren 2:]],Tabel1[[#This Row],[% uren 3:]]))</f>
        <v/>
      </c>
      <c r="Q121" s="127"/>
      <c r="R121" s="128"/>
      <c r="S121" s="44"/>
      <c r="T121" s="25"/>
    </row>
    <row r="122" spans="2:20" x14ac:dyDescent="0.25">
      <c r="B122" s="7"/>
      <c r="C122" s="10"/>
      <c r="D122" s="10"/>
      <c r="E122" s="72"/>
      <c r="F122" s="73"/>
      <c r="G122" s="72"/>
      <c r="H122" s="31"/>
      <c r="I122" s="85" t="str">
        <f>IF(Tabel1[[#This Row],[% uren 1:]]="","",Tabel1[[#This Row],[% uren 1:]]*Tabel1[[#This Row],[Totale uren:]])</f>
        <v/>
      </c>
      <c r="J122" s="68"/>
      <c r="K122" s="31"/>
      <c r="L122" s="86" t="str">
        <f>IF(Tabel1[[#This Row],[% uren 2:]]="","",Tabel1[[#This Row],[% uren 2:]]*Tabel1[[#This Row],[Totale uren:]])</f>
        <v/>
      </c>
      <c r="M122" s="72"/>
      <c r="N122" s="31"/>
      <c r="O122" s="85" t="str">
        <f>IF(Tabel1[[#This Row],[% uren 3:]]="","",Tabel1[[#This Row],[% uren 3:]]*Tabel1[[#This Row],[Totale uren:]])</f>
        <v/>
      </c>
      <c r="P122" s="138" t="str">
        <f>IF(Tabel1[[#This Row],[Ordernummer:]]="","",SUM(Tabel1[[#This Row],[% uren 1:]],Tabel1[[#This Row],[% uren 2:]],Tabel1[[#This Row],[% uren 3:]]))</f>
        <v/>
      </c>
      <c r="Q122" s="127"/>
      <c r="R122" s="128"/>
      <c r="S122" s="44"/>
      <c r="T122" s="25"/>
    </row>
    <row r="123" spans="2:20" x14ac:dyDescent="0.25">
      <c r="B123" s="7"/>
      <c r="C123" s="10"/>
      <c r="D123" s="10"/>
      <c r="E123" s="72"/>
      <c r="F123" s="73"/>
      <c r="G123" s="72"/>
      <c r="H123" s="31"/>
      <c r="I123" s="85" t="str">
        <f>IF(Tabel1[[#This Row],[% uren 1:]]="","",Tabel1[[#This Row],[% uren 1:]]*Tabel1[[#This Row],[Totale uren:]])</f>
        <v/>
      </c>
      <c r="J123" s="68"/>
      <c r="K123" s="31"/>
      <c r="L123" s="86" t="str">
        <f>IF(Tabel1[[#This Row],[% uren 2:]]="","",Tabel1[[#This Row],[% uren 2:]]*Tabel1[[#This Row],[Totale uren:]])</f>
        <v/>
      </c>
      <c r="M123" s="72"/>
      <c r="N123" s="31"/>
      <c r="O123" s="85" t="str">
        <f>IF(Tabel1[[#This Row],[% uren 3:]]="","",Tabel1[[#This Row],[% uren 3:]]*Tabel1[[#This Row],[Totale uren:]])</f>
        <v/>
      </c>
      <c r="P123" s="138" t="str">
        <f>IF(Tabel1[[#This Row],[Ordernummer:]]="","",SUM(Tabel1[[#This Row],[% uren 1:]],Tabel1[[#This Row],[% uren 2:]],Tabel1[[#This Row],[% uren 3:]]))</f>
        <v/>
      </c>
      <c r="Q123" s="127"/>
      <c r="R123" s="128"/>
      <c r="S123" s="44"/>
      <c r="T123" s="25"/>
    </row>
    <row r="124" spans="2:20" x14ac:dyDescent="0.25">
      <c r="B124" s="7"/>
      <c r="C124" s="10"/>
      <c r="D124" s="10"/>
      <c r="E124" s="72"/>
      <c r="F124" s="73"/>
      <c r="G124" s="72"/>
      <c r="H124" s="31"/>
      <c r="I124" s="85" t="str">
        <f>IF(Tabel1[[#This Row],[% uren 1:]]="","",Tabel1[[#This Row],[% uren 1:]]*Tabel1[[#This Row],[Totale uren:]])</f>
        <v/>
      </c>
      <c r="J124" s="68"/>
      <c r="K124" s="31"/>
      <c r="L124" s="86" t="str">
        <f>IF(Tabel1[[#This Row],[% uren 2:]]="","",Tabel1[[#This Row],[% uren 2:]]*Tabel1[[#This Row],[Totale uren:]])</f>
        <v/>
      </c>
      <c r="M124" s="72"/>
      <c r="N124" s="31"/>
      <c r="O124" s="85" t="str">
        <f>IF(Tabel1[[#This Row],[% uren 3:]]="","",Tabel1[[#This Row],[% uren 3:]]*Tabel1[[#This Row],[Totale uren:]])</f>
        <v/>
      </c>
      <c r="P124" s="138" t="str">
        <f>IF(Tabel1[[#This Row],[Ordernummer:]]="","",SUM(Tabel1[[#This Row],[% uren 1:]],Tabel1[[#This Row],[% uren 2:]],Tabel1[[#This Row],[% uren 3:]]))</f>
        <v/>
      </c>
      <c r="Q124" s="127"/>
      <c r="R124" s="128"/>
      <c r="S124" s="44"/>
      <c r="T124" s="25"/>
    </row>
    <row r="125" spans="2:20" x14ac:dyDescent="0.25">
      <c r="B125" s="7"/>
      <c r="C125" s="10"/>
      <c r="D125" s="10"/>
      <c r="E125" s="72"/>
      <c r="F125" s="73"/>
      <c r="G125" s="72"/>
      <c r="H125" s="31"/>
      <c r="I125" s="85" t="str">
        <f>IF(Tabel1[[#This Row],[% uren 1:]]="","",Tabel1[[#This Row],[% uren 1:]]*Tabel1[[#This Row],[Totale uren:]])</f>
        <v/>
      </c>
      <c r="J125" s="68"/>
      <c r="K125" s="31"/>
      <c r="L125" s="86" t="str">
        <f>IF(Tabel1[[#This Row],[% uren 2:]]="","",Tabel1[[#This Row],[% uren 2:]]*Tabel1[[#This Row],[Totale uren:]])</f>
        <v/>
      </c>
      <c r="M125" s="72"/>
      <c r="N125" s="31"/>
      <c r="O125" s="85" t="str">
        <f>IF(Tabel1[[#This Row],[% uren 3:]]="","",Tabel1[[#This Row],[% uren 3:]]*Tabel1[[#This Row],[Totale uren:]])</f>
        <v/>
      </c>
      <c r="P125" s="138" t="str">
        <f>IF(Tabel1[[#This Row],[Ordernummer:]]="","",SUM(Tabel1[[#This Row],[% uren 1:]],Tabel1[[#This Row],[% uren 2:]],Tabel1[[#This Row],[% uren 3:]]))</f>
        <v/>
      </c>
      <c r="Q125" s="127"/>
      <c r="R125" s="128"/>
      <c r="S125" s="44"/>
      <c r="T125" s="25"/>
    </row>
    <row r="126" spans="2:20" x14ac:dyDescent="0.25">
      <c r="B126" s="7"/>
      <c r="C126" s="10"/>
      <c r="D126" s="10"/>
      <c r="E126" s="72"/>
      <c r="F126" s="73"/>
      <c r="G126" s="72"/>
      <c r="H126" s="31"/>
      <c r="I126" s="85" t="str">
        <f>IF(Tabel1[[#This Row],[% uren 1:]]="","",Tabel1[[#This Row],[% uren 1:]]*Tabel1[[#This Row],[Totale uren:]])</f>
        <v/>
      </c>
      <c r="J126" s="68"/>
      <c r="K126" s="31"/>
      <c r="L126" s="86" t="str">
        <f>IF(Tabel1[[#This Row],[% uren 2:]]="","",Tabel1[[#This Row],[% uren 2:]]*Tabel1[[#This Row],[Totale uren:]])</f>
        <v/>
      </c>
      <c r="M126" s="72"/>
      <c r="N126" s="31"/>
      <c r="O126" s="85" t="str">
        <f>IF(Tabel1[[#This Row],[% uren 3:]]="","",Tabel1[[#This Row],[% uren 3:]]*Tabel1[[#This Row],[Totale uren:]])</f>
        <v/>
      </c>
      <c r="P126" s="138" t="str">
        <f>IF(Tabel1[[#This Row],[Ordernummer:]]="","",SUM(Tabel1[[#This Row],[% uren 1:]],Tabel1[[#This Row],[% uren 2:]],Tabel1[[#This Row],[% uren 3:]]))</f>
        <v/>
      </c>
      <c r="Q126" s="127"/>
      <c r="R126" s="128"/>
      <c r="S126" s="44"/>
      <c r="T126" s="25"/>
    </row>
    <row r="127" spans="2:20" x14ac:dyDescent="0.25">
      <c r="B127" s="7"/>
      <c r="C127" s="10"/>
      <c r="D127" s="10"/>
      <c r="E127" s="72"/>
      <c r="F127" s="73"/>
      <c r="G127" s="72"/>
      <c r="H127" s="31"/>
      <c r="I127" s="85" t="str">
        <f>IF(Tabel1[[#This Row],[% uren 1:]]="","",Tabel1[[#This Row],[% uren 1:]]*Tabel1[[#This Row],[Totale uren:]])</f>
        <v/>
      </c>
      <c r="J127" s="68"/>
      <c r="K127" s="31"/>
      <c r="L127" s="86" t="str">
        <f>IF(Tabel1[[#This Row],[% uren 2:]]="","",Tabel1[[#This Row],[% uren 2:]]*Tabel1[[#This Row],[Totale uren:]])</f>
        <v/>
      </c>
      <c r="M127" s="72"/>
      <c r="N127" s="31"/>
      <c r="O127" s="85" t="str">
        <f>IF(Tabel1[[#This Row],[% uren 3:]]="","",Tabel1[[#This Row],[% uren 3:]]*Tabel1[[#This Row],[Totale uren:]])</f>
        <v/>
      </c>
      <c r="P127" s="138" t="str">
        <f>IF(Tabel1[[#This Row],[Ordernummer:]]="","",SUM(Tabel1[[#This Row],[% uren 1:]],Tabel1[[#This Row],[% uren 2:]],Tabel1[[#This Row],[% uren 3:]]))</f>
        <v/>
      </c>
      <c r="Q127" s="127"/>
      <c r="R127" s="128"/>
      <c r="S127" s="44"/>
      <c r="T127" s="25"/>
    </row>
    <row r="128" spans="2:20" x14ac:dyDescent="0.25">
      <c r="B128" s="7"/>
      <c r="C128" s="10"/>
      <c r="D128" s="10"/>
      <c r="E128" s="72"/>
      <c r="F128" s="73"/>
      <c r="G128" s="72"/>
      <c r="H128" s="31"/>
      <c r="I128" s="85" t="str">
        <f>IF(Tabel1[[#This Row],[% uren 1:]]="","",Tabel1[[#This Row],[% uren 1:]]*Tabel1[[#This Row],[Totale uren:]])</f>
        <v/>
      </c>
      <c r="J128" s="68"/>
      <c r="K128" s="31"/>
      <c r="L128" s="86" t="str">
        <f>IF(Tabel1[[#This Row],[% uren 2:]]="","",Tabel1[[#This Row],[% uren 2:]]*Tabel1[[#This Row],[Totale uren:]])</f>
        <v/>
      </c>
      <c r="M128" s="72"/>
      <c r="N128" s="31"/>
      <c r="O128" s="85" t="str">
        <f>IF(Tabel1[[#This Row],[% uren 3:]]="","",Tabel1[[#This Row],[% uren 3:]]*Tabel1[[#This Row],[Totale uren:]])</f>
        <v/>
      </c>
      <c r="P128" s="138" t="str">
        <f>IF(Tabel1[[#This Row],[Ordernummer:]]="","",SUM(Tabel1[[#This Row],[% uren 1:]],Tabel1[[#This Row],[% uren 2:]],Tabel1[[#This Row],[% uren 3:]]))</f>
        <v/>
      </c>
      <c r="Q128" s="127"/>
      <c r="R128" s="128"/>
      <c r="S128" s="44"/>
      <c r="T128" s="25"/>
    </row>
    <row r="129" spans="2:20" x14ac:dyDescent="0.25">
      <c r="B129" s="7"/>
      <c r="C129" s="10"/>
      <c r="D129" s="10"/>
      <c r="E129" s="72"/>
      <c r="F129" s="73"/>
      <c r="G129" s="72"/>
      <c r="H129" s="31"/>
      <c r="I129" s="85" t="str">
        <f>IF(Tabel1[[#This Row],[% uren 1:]]="","",Tabel1[[#This Row],[% uren 1:]]*Tabel1[[#This Row],[Totale uren:]])</f>
        <v/>
      </c>
      <c r="J129" s="68"/>
      <c r="K129" s="31"/>
      <c r="L129" s="86" t="str">
        <f>IF(Tabel1[[#This Row],[% uren 2:]]="","",Tabel1[[#This Row],[% uren 2:]]*Tabel1[[#This Row],[Totale uren:]])</f>
        <v/>
      </c>
      <c r="M129" s="72"/>
      <c r="N129" s="31"/>
      <c r="O129" s="85" t="str">
        <f>IF(Tabel1[[#This Row],[% uren 3:]]="","",Tabel1[[#This Row],[% uren 3:]]*Tabel1[[#This Row],[Totale uren:]])</f>
        <v/>
      </c>
      <c r="P129" s="138" t="str">
        <f>IF(Tabel1[[#This Row],[Ordernummer:]]="","",SUM(Tabel1[[#This Row],[% uren 1:]],Tabel1[[#This Row],[% uren 2:]],Tabel1[[#This Row],[% uren 3:]]))</f>
        <v/>
      </c>
      <c r="Q129" s="127"/>
      <c r="R129" s="128"/>
      <c r="S129" s="44"/>
      <c r="T129" s="25"/>
    </row>
    <row r="130" spans="2:20" x14ac:dyDescent="0.25">
      <c r="B130" s="7"/>
      <c r="C130" s="10"/>
      <c r="D130" s="10"/>
      <c r="E130" s="72"/>
      <c r="F130" s="73"/>
      <c r="G130" s="72"/>
      <c r="H130" s="31"/>
      <c r="I130" s="85" t="str">
        <f>IF(Tabel1[[#This Row],[% uren 1:]]="","",Tabel1[[#This Row],[% uren 1:]]*Tabel1[[#This Row],[Totale uren:]])</f>
        <v/>
      </c>
      <c r="J130" s="68"/>
      <c r="K130" s="31"/>
      <c r="L130" s="86" t="str">
        <f>IF(Tabel1[[#This Row],[% uren 2:]]="","",Tabel1[[#This Row],[% uren 2:]]*Tabel1[[#This Row],[Totale uren:]])</f>
        <v/>
      </c>
      <c r="M130" s="72"/>
      <c r="N130" s="31"/>
      <c r="O130" s="85" t="str">
        <f>IF(Tabel1[[#This Row],[% uren 3:]]="","",Tabel1[[#This Row],[% uren 3:]]*Tabel1[[#This Row],[Totale uren:]])</f>
        <v/>
      </c>
      <c r="P130" s="138" t="str">
        <f>IF(Tabel1[[#This Row],[Ordernummer:]]="","",SUM(Tabel1[[#This Row],[% uren 1:]],Tabel1[[#This Row],[% uren 2:]],Tabel1[[#This Row],[% uren 3:]]))</f>
        <v/>
      </c>
      <c r="Q130" s="127"/>
      <c r="R130" s="128"/>
      <c r="S130" s="44"/>
      <c r="T130" s="25"/>
    </row>
    <row r="131" spans="2:20" x14ac:dyDescent="0.25">
      <c r="B131" s="7"/>
      <c r="C131" s="10"/>
      <c r="D131" s="10"/>
      <c r="E131" s="72"/>
      <c r="F131" s="73"/>
      <c r="G131" s="72"/>
      <c r="H131" s="31"/>
      <c r="I131" s="85" t="str">
        <f>IF(Tabel1[[#This Row],[% uren 1:]]="","",Tabel1[[#This Row],[% uren 1:]]*Tabel1[[#This Row],[Totale uren:]])</f>
        <v/>
      </c>
      <c r="J131" s="68"/>
      <c r="K131" s="31"/>
      <c r="L131" s="86" t="str">
        <f>IF(Tabel1[[#This Row],[% uren 2:]]="","",Tabel1[[#This Row],[% uren 2:]]*Tabel1[[#This Row],[Totale uren:]])</f>
        <v/>
      </c>
      <c r="M131" s="72"/>
      <c r="N131" s="31"/>
      <c r="O131" s="85" t="str">
        <f>IF(Tabel1[[#This Row],[% uren 3:]]="","",Tabel1[[#This Row],[% uren 3:]]*Tabel1[[#This Row],[Totale uren:]])</f>
        <v/>
      </c>
      <c r="P131" s="138" t="str">
        <f>IF(Tabel1[[#This Row],[Ordernummer:]]="","",SUM(Tabel1[[#This Row],[% uren 1:]],Tabel1[[#This Row],[% uren 2:]],Tabel1[[#This Row],[% uren 3:]]))</f>
        <v/>
      </c>
      <c r="Q131" s="127"/>
      <c r="R131" s="128"/>
      <c r="S131" s="44"/>
      <c r="T131" s="25"/>
    </row>
    <row r="132" spans="2:20" x14ac:dyDescent="0.25">
      <c r="B132" s="7"/>
      <c r="C132" s="10"/>
      <c r="D132" s="10"/>
      <c r="E132" s="72"/>
      <c r="F132" s="73"/>
      <c r="G132" s="72"/>
      <c r="H132" s="31"/>
      <c r="I132" s="85" t="str">
        <f>IF(Tabel1[[#This Row],[% uren 1:]]="","",Tabel1[[#This Row],[% uren 1:]]*Tabel1[[#This Row],[Totale uren:]])</f>
        <v/>
      </c>
      <c r="J132" s="68"/>
      <c r="K132" s="31"/>
      <c r="L132" s="86" t="str">
        <f>IF(Tabel1[[#This Row],[% uren 2:]]="","",Tabel1[[#This Row],[% uren 2:]]*Tabel1[[#This Row],[Totale uren:]])</f>
        <v/>
      </c>
      <c r="M132" s="72"/>
      <c r="N132" s="31"/>
      <c r="O132" s="85" t="str">
        <f>IF(Tabel1[[#This Row],[% uren 3:]]="","",Tabel1[[#This Row],[% uren 3:]]*Tabel1[[#This Row],[Totale uren:]])</f>
        <v/>
      </c>
      <c r="P132" s="138" t="str">
        <f>IF(Tabel1[[#This Row],[Ordernummer:]]="","",SUM(Tabel1[[#This Row],[% uren 1:]],Tabel1[[#This Row],[% uren 2:]],Tabel1[[#This Row],[% uren 3:]]))</f>
        <v/>
      </c>
      <c r="Q132" s="127"/>
      <c r="R132" s="128"/>
      <c r="S132" s="44"/>
      <c r="T132" s="25"/>
    </row>
    <row r="133" spans="2:20" x14ac:dyDescent="0.25">
      <c r="B133" s="7"/>
      <c r="C133" s="10"/>
      <c r="D133" s="10"/>
      <c r="E133" s="72"/>
      <c r="F133" s="73"/>
      <c r="G133" s="72"/>
      <c r="H133" s="31"/>
      <c r="I133" s="85" t="str">
        <f>IF(Tabel1[[#This Row],[% uren 1:]]="","",Tabel1[[#This Row],[% uren 1:]]*Tabel1[[#This Row],[Totale uren:]])</f>
        <v/>
      </c>
      <c r="J133" s="68"/>
      <c r="K133" s="31"/>
      <c r="L133" s="86" t="str">
        <f>IF(Tabel1[[#This Row],[% uren 2:]]="","",Tabel1[[#This Row],[% uren 2:]]*Tabel1[[#This Row],[Totale uren:]])</f>
        <v/>
      </c>
      <c r="M133" s="72"/>
      <c r="N133" s="31"/>
      <c r="O133" s="85" t="str">
        <f>IF(Tabel1[[#This Row],[% uren 3:]]="","",Tabel1[[#This Row],[% uren 3:]]*Tabel1[[#This Row],[Totale uren:]])</f>
        <v/>
      </c>
      <c r="P133" s="138" t="str">
        <f>IF(Tabel1[[#This Row],[Ordernummer:]]="","",SUM(Tabel1[[#This Row],[% uren 1:]],Tabel1[[#This Row],[% uren 2:]],Tabel1[[#This Row],[% uren 3:]]))</f>
        <v/>
      </c>
      <c r="Q133" s="127"/>
      <c r="R133" s="128"/>
      <c r="S133" s="44"/>
      <c r="T133" s="25"/>
    </row>
    <row r="134" spans="2:20" x14ac:dyDescent="0.25">
      <c r="B134" s="7"/>
      <c r="C134" s="10"/>
      <c r="D134" s="10"/>
      <c r="E134" s="72"/>
      <c r="F134" s="73"/>
      <c r="G134" s="72"/>
      <c r="H134" s="31"/>
      <c r="I134" s="85" t="str">
        <f>IF(Tabel1[[#This Row],[% uren 1:]]="","",Tabel1[[#This Row],[% uren 1:]]*Tabel1[[#This Row],[Totale uren:]])</f>
        <v/>
      </c>
      <c r="J134" s="68"/>
      <c r="K134" s="31"/>
      <c r="L134" s="86" t="str">
        <f>IF(Tabel1[[#This Row],[% uren 2:]]="","",Tabel1[[#This Row],[% uren 2:]]*Tabel1[[#This Row],[Totale uren:]])</f>
        <v/>
      </c>
      <c r="M134" s="72"/>
      <c r="N134" s="31"/>
      <c r="O134" s="85" t="str">
        <f>IF(Tabel1[[#This Row],[% uren 3:]]="","",Tabel1[[#This Row],[% uren 3:]]*Tabel1[[#This Row],[Totale uren:]])</f>
        <v/>
      </c>
      <c r="P134" s="138" t="str">
        <f>IF(Tabel1[[#This Row],[Ordernummer:]]="","",SUM(Tabel1[[#This Row],[% uren 1:]],Tabel1[[#This Row],[% uren 2:]],Tabel1[[#This Row],[% uren 3:]]))</f>
        <v/>
      </c>
      <c r="Q134" s="127"/>
      <c r="R134" s="128"/>
      <c r="S134" s="44"/>
      <c r="T134" s="25"/>
    </row>
    <row r="135" spans="2:20" x14ac:dyDescent="0.25">
      <c r="B135" s="7"/>
      <c r="C135" s="10"/>
      <c r="D135" s="10"/>
      <c r="E135" s="72"/>
      <c r="F135" s="73"/>
      <c r="G135" s="72"/>
      <c r="H135" s="31"/>
      <c r="I135" s="85" t="str">
        <f>IF(Tabel1[[#This Row],[% uren 1:]]="","",Tabel1[[#This Row],[% uren 1:]]*Tabel1[[#This Row],[Totale uren:]])</f>
        <v/>
      </c>
      <c r="J135" s="68"/>
      <c r="K135" s="31"/>
      <c r="L135" s="86" t="str">
        <f>IF(Tabel1[[#This Row],[% uren 2:]]="","",Tabel1[[#This Row],[% uren 2:]]*Tabel1[[#This Row],[Totale uren:]])</f>
        <v/>
      </c>
      <c r="M135" s="72"/>
      <c r="N135" s="31"/>
      <c r="O135" s="85" t="str">
        <f>IF(Tabel1[[#This Row],[% uren 3:]]="","",Tabel1[[#This Row],[% uren 3:]]*Tabel1[[#This Row],[Totale uren:]])</f>
        <v/>
      </c>
      <c r="P135" s="138" t="str">
        <f>IF(Tabel1[[#This Row],[Ordernummer:]]="","",SUM(Tabel1[[#This Row],[% uren 1:]],Tabel1[[#This Row],[% uren 2:]],Tabel1[[#This Row],[% uren 3:]]))</f>
        <v/>
      </c>
      <c r="Q135" s="127"/>
      <c r="R135" s="128"/>
      <c r="S135" s="44"/>
      <c r="T135" s="25"/>
    </row>
    <row r="136" spans="2:20" x14ac:dyDescent="0.25">
      <c r="B136" s="7"/>
      <c r="C136" s="10"/>
      <c r="D136" s="10"/>
      <c r="E136" s="72"/>
      <c r="F136" s="73"/>
      <c r="G136" s="72"/>
      <c r="H136" s="31"/>
      <c r="I136" s="85" t="str">
        <f>IF(Tabel1[[#This Row],[% uren 1:]]="","",Tabel1[[#This Row],[% uren 1:]]*Tabel1[[#This Row],[Totale uren:]])</f>
        <v/>
      </c>
      <c r="J136" s="68"/>
      <c r="K136" s="31"/>
      <c r="L136" s="86" t="str">
        <f>IF(Tabel1[[#This Row],[% uren 2:]]="","",Tabel1[[#This Row],[% uren 2:]]*Tabel1[[#This Row],[Totale uren:]])</f>
        <v/>
      </c>
      <c r="M136" s="72"/>
      <c r="N136" s="31"/>
      <c r="O136" s="85" t="str">
        <f>IF(Tabel1[[#This Row],[% uren 3:]]="","",Tabel1[[#This Row],[% uren 3:]]*Tabel1[[#This Row],[Totale uren:]])</f>
        <v/>
      </c>
      <c r="P136" s="138" t="str">
        <f>IF(Tabel1[[#This Row],[Ordernummer:]]="","",SUM(Tabel1[[#This Row],[% uren 1:]],Tabel1[[#This Row],[% uren 2:]],Tabel1[[#This Row],[% uren 3:]]))</f>
        <v/>
      </c>
      <c r="Q136" s="127"/>
      <c r="R136" s="128"/>
      <c r="S136" s="44"/>
      <c r="T136" s="25"/>
    </row>
    <row r="137" spans="2:20" x14ac:dyDescent="0.25">
      <c r="B137" s="7"/>
      <c r="C137" s="10"/>
      <c r="D137" s="10"/>
      <c r="E137" s="72"/>
      <c r="F137" s="73"/>
      <c r="G137" s="72"/>
      <c r="H137" s="31"/>
      <c r="I137" s="85" t="str">
        <f>IF(Tabel1[[#This Row],[% uren 1:]]="","",Tabel1[[#This Row],[% uren 1:]]*Tabel1[[#This Row],[Totale uren:]])</f>
        <v/>
      </c>
      <c r="J137" s="68"/>
      <c r="K137" s="31"/>
      <c r="L137" s="86" t="str">
        <f>IF(Tabel1[[#This Row],[% uren 2:]]="","",Tabel1[[#This Row],[% uren 2:]]*Tabel1[[#This Row],[Totale uren:]])</f>
        <v/>
      </c>
      <c r="M137" s="72"/>
      <c r="N137" s="31"/>
      <c r="O137" s="85" t="str">
        <f>IF(Tabel1[[#This Row],[% uren 3:]]="","",Tabel1[[#This Row],[% uren 3:]]*Tabel1[[#This Row],[Totale uren:]])</f>
        <v/>
      </c>
      <c r="P137" s="138" t="str">
        <f>IF(Tabel1[[#This Row],[Ordernummer:]]="","",SUM(Tabel1[[#This Row],[% uren 1:]],Tabel1[[#This Row],[% uren 2:]],Tabel1[[#This Row],[% uren 3:]]))</f>
        <v/>
      </c>
      <c r="Q137" s="127"/>
      <c r="R137" s="128"/>
      <c r="S137" s="44"/>
      <c r="T137" s="25"/>
    </row>
    <row r="138" spans="2:20" x14ac:dyDescent="0.25">
      <c r="B138" s="7"/>
      <c r="C138" s="10"/>
      <c r="D138" s="10"/>
      <c r="E138" s="72"/>
      <c r="F138" s="73"/>
      <c r="G138" s="72"/>
      <c r="H138" s="31"/>
      <c r="I138" s="85" t="str">
        <f>IF(Tabel1[[#This Row],[% uren 1:]]="","",Tabel1[[#This Row],[% uren 1:]]*Tabel1[[#This Row],[Totale uren:]])</f>
        <v/>
      </c>
      <c r="J138" s="68"/>
      <c r="K138" s="31"/>
      <c r="L138" s="86" t="str">
        <f>IF(Tabel1[[#This Row],[% uren 2:]]="","",Tabel1[[#This Row],[% uren 2:]]*Tabel1[[#This Row],[Totale uren:]])</f>
        <v/>
      </c>
      <c r="M138" s="72"/>
      <c r="N138" s="31"/>
      <c r="O138" s="85" t="str">
        <f>IF(Tabel1[[#This Row],[% uren 3:]]="","",Tabel1[[#This Row],[% uren 3:]]*Tabel1[[#This Row],[Totale uren:]])</f>
        <v/>
      </c>
      <c r="P138" s="138" t="str">
        <f>IF(Tabel1[[#This Row],[Ordernummer:]]="","",SUM(Tabel1[[#This Row],[% uren 1:]],Tabel1[[#This Row],[% uren 2:]],Tabel1[[#This Row],[% uren 3:]]))</f>
        <v/>
      </c>
      <c r="Q138" s="127"/>
      <c r="R138" s="128"/>
      <c r="S138" s="44"/>
      <c r="T138" s="25"/>
    </row>
    <row r="139" spans="2:20" x14ac:dyDescent="0.25">
      <c r="B139" s="7"/>
      <c r="C139" s="10"/>
      <c r="D139" s="10"/>
      <c r="E139" s="72"/>
      <c r="F139" s="73"/>
      <c r="G139" s="72"/>
      <c r="H139" s="31"/>
      <c r="I139" s="85" t="str">
        <f>IF(Tabel1[[#This Row],[% uren 1:]]="","",Tabel1[[#This Row],[% uren 1:]]*Tabel1[[#This Row],[Totale uren:]])</f>
        <v/>
      </c>
      <c r="J139" s="68"/>
      <c r="K139" s="31"/>
      <c r="L139" s="86" t="str">
        <f>IF(Tabel1[[#This Row],[% uren 2:]]="","",Tabel1[[#This Row],[% uren 2:]]*Tabel1[[#This Row],[Totale uren:]])</f>
        <v/>
      </c>
      <c r="M139" s="72"/>
      <c r="N139" s="31"/>
      <c r="O139" s="85" t="str">
        <f>IF(Tabel1[[#This Row],[% uren 3:]]="","",Tabel1[[#This Row],[% uren 3:]]*Tabel1[[#This Row],[Totale uren:]])</f>
        <v/>
      </c>
      <c r="P139" s="138" t="str">
        <f>IF(Tabel1[[#This Row],[Ordernummer:]]="","",SUM(Tabel1[[#This Row],[% uren 1:]],Tabel1[[#This Row],[% uren 2:]],Tabel1[[#This Row],[% uren 3:]]))</f>
        <v/>
      </c>
      <c r="Q139" s="127"/>
      <c r="R139" s="128"/>
      <c r="S139" s="44"/>
      <c r="T139" s="25"/>
    </row>
    <row r="140" spans="2:20" x14ac:dyDescent="0.25">
      <c r="B140" s="7"/>
      <c r="C140" s="10"/>
      <c r="D140" s="10"/>
      <c r="E140" s="72"/>
      <c r="F140" s="73"/>
      <c r="G140" s="72"/>
      <c r="H140" s="31"/>
      <c r="I140" s="85" t="str">
        <f>IF(Tabel1[[#This Row],[% uren 1:]]="","",Tabel1[[#This Row],[% uren 1:]]*Tabel1[[#This Row],[Totale uren:]])</f>
        <v/>
      </c>
      <c r="J140" s="68"/>
      <c r="K140" s="31"/>
      <c r="L140" s="86" t="str">
        <f>IF(Tabel1[[#This Row],[% uren 2:]]="","",Tabel1[[#This Row],[% uren 2:]]*Tabel1[[#This Row],[Totale uren:]])</f>
        <v/>
      </c>
      <c r="M140" s="72"/>
      <c r="N140" s="31"/>
      <c r="O140" s="85" t="str">
        <f>IF(Tabel1[[#This Row],[% uren 3:]]="","",Tabel1[[#This Row],[% uren 3:]]*Tabel1[[#This Row],[Totale uren:]])</f>
        <v/>
      </c>
      <c r="P140" s="138" t="str">
        <f>IF(Tabel1[[#This Row],[Ordernummer:]]="","",SUM(Tabel1[[#This Row],[% uren 1:]],Tabel1[[#This Row],[% uren 2:]],Tabel1[[#This Row],[% uren 3:]]))</f>
        <v/>
      </c>
      <c r="Q140" s="127"/>
      <c r="R140" s="128"/>
      <c r="S140" s="44"/>
      <c r="T140" s="25"/>
    </row>
    <row r="141" spans="2:20" x14ac:dyDescent="0.25">
      <c r="B141" s="7"/>
      <c r="C141" s="10"/>
      <c r="D141" s="10"/>
      <c r="E141" s="72"/>
      <c r="F141" s="73"/>
      <c r="G141" s="72"/>
      <c r="H141" s="31"/>
      <c r="I141" s="85" t="str">
        <f>IF(Tabel1[[#This Row],[% uren 1:]]="","",Tabel1[[#This Row],[% uren 1:]]*Tabel1[[#This Row],[Totale uren:]])</f>
        <v/>
      </c>
      <c r="J141" s="68"/>
      <c r="K141" s="31"/>
      <c r="L141" s="86" t="str">
        <f>IF(Tabel1[[#This Row],[% uren 2:]]="","",Tabel1[[#This Row],[% uren 2:]]*Tabel1[[#This Row],[Totale uren:]])</f>
        <v/>
      </c>
      <c r="M141" s="72"/>
      <c r="N141" s="31"/>
      <c r="O141" s="85" t="str">
        <f>IF(Tabel1[[#This Row],[% uren 3:]]="","",Tabel1[[#This Row],[% uren 3:]]*Tabel1[[#This Row],[Totale uren:]])</f>
        <v/>
      </c>
      <c r="P141" s="138" t="str">
        <f>IF(Tabel1[[#This Row],[Ordernummer:]]="","",SUM(Tabel1[[#This Row],[% uren 1:]],Tabel1[[#This Row],[% uren 2:]],Tabel1[[#This Row],[% uren 3:]]))</f>
        <v/>
      </c>
      <c r="Q141" s="127"/>
      <c r="R141" s="128"/>
      <c r="S141" s="44"/>
      <c r="T141" s="25"/>
    </row>
    <row r="142" spans="2:20" x14ac:dyDescent="0.25">
      <c r="B142" s="7"/>
      <c r="C142" s="10"/>
      <c r="D142" s="10"/>
      <c r="E142" s="72"/>
      <c r="F142" s="73"/>
      <c r="G142" s="72"/>
      <c r="H142" s="31"/>
      <c r="I142" s="85" t="str">
        <f>IF(Tabel1[[#This Row],[% uren 1:]]="","",Tabel1[[#This Row],[% uren 1:]]*Tabel1[[#This Row],[Totale uren:]])</f>
        <v/>
      </c>
      <c r="J142" s="68"/>
      <c r="K142" s="31"/>
      <c r="L142" s="86" t="str">
        <f>IF(Tabel1[[#This Row],[% uren 2:]]="","",Tabel1[[#This Row],[% uren 2:]]*Tabel1[[#This Row],[Totale uren:]])</f>
        <v/>
      </c>
      <c r="M142" s="72"/>
      <c r="N142" s="31"/>
      <c r="O142" s="85" t="str">
        <f>IF(Tabel1[[#This Row],[% uren 3:]]="","",Tabel1[[#This Row],[% uren 3:]]*Tabel1[[#This Row],[Totale uren:]])</f>
        <v/>
      </c>
      <c r="P142" s="138" t="str">
        <f>IF(Tabel1[[#This Row],[Ordernummer:]]="","",SUM(Tabel1[[#This Row],[% uren 1:]],Tabel1[[#This Row],[% uren 2:]],Tabel1[[#This Row],[% uren 3:]]))</f>
        <v/>
      </c>
      <c r="Q142" s="127"/>
      <c r="R142" s="128"/>
      <c r="S142" s="44"/>
      <c r="T142" s="25"/>
    </row>
    <row r="143" spans="2:20" x14ac:dyDescent="0.25">
      <c r="B143" s="7"/>
      <c r="C143" s="10"/>
      <c r="D143" s="10"/>
      <c r="E143" s="72"/>
      <c r="F143" s="73"/>
      <c r="G143" s="72"/>
      <c r="H143" s="31"/>
      <c r="I143" s="85" t="str">
        <f>IF(Tabel1[[#This Row],[% uren 1:]]="","",Tabel1[[#This Row],[% uren 1:]]*Tabel1[[#This Row],[Totale uren:]])</f>
        <v/>
      </c>
      <c r="J143" s="68"/>
      <c r="K143" s="31"/>
      <c r="L143" s="86" t="str">
        <f>IF(Tabel1[[#This Row],[% uren 2:]]="","",Tabel1[[#This Row],[% uren 2:]]*Tabel1[[#This Row],[Totale uren:]])</f>
        <v/>
      </c>
      <c r="M143" s="72"/>
      <c r="N143" s="31"/>
      <c r="O143" s="85" t="str">
        <f>IF(Tabel1[[#This Row],[% uren 3:]]="","",Tabel1[[#This Row],[% uren 3:]]*Tabel1[[#This Row],[Totale uren:]])</f>
        <v/>
      </c>
      <c r="P143" s="138" t="str">
        <f>IF(Tabel1[[#This Row],[Ordernummer:]]="","",SUM(Tabel1[[#This Row],[% uren 1:]],Tabel1[[#This Row],[% uren 2:]],Tabel1[[#This Row],[% uren 3:]]))</f>
        <v/>
      </c>
      <c r="Q143" s="127"/>
      <c r="R143" s="128"/>
      <c r="S143" s="44"/>
      <c r="T143" s="25"/>
    </row>
    <row r="144" spans="2:20" x14ac:dyDescent="0.25">
      <c r="B144" s="7"/>
      <c r="C144" s="10"/>
      <c r="D144" s="10"/>
      <c r="E144" s="72"/>
      <c r="F144" s="73"/>
      <c r="G144" s="72"/>
      <c r="H144" s="31"/>
      <c r="I144" s="85" t="str">
        <f>IF(Tabel1[[#This Row],[% uren 1:]]="","",Tabel1[[#This Row],[% uren 1:]]*Tabel1[[#This Row],[Totale uren:]])</f>
        <v/>
      </c>
      <c r="J144" s="68"/>
      <c r="K144" s="31"/>
      <c r="L144" s="86" t="str">
        <f>IF(Tabel1[[#This Row],[% uren 2:]]="","",Tabel1[[#This Row],[% uren 2:]]*Tabel1[[#This Row],[Totale uren:]])</f>
        <v/>
      </c>
      <c r="M144" s="72"/>
      <c r="N144" s="31"/>
      <c r="O144" s="85" t="str">
        <f>IF(Tabel1[[#This Row],[% uren 3:]]="","",Tabel1[[#This Row],[% uren 3:]]*Tabel1[[#This Row],[Totale uren:]])</f>
        <v/>
      </c>
      <c r="P144" s="138" t="str">
        <f>IF(Tabel1[[#This Row],[Ordernummer:]]="","",SUM(Tabel1[[#This Row],[% uren 1:]],Tabel1[[#This Row],[% uren 2:]],Tabel1[[#This Row],[% uren 3:]]))</f>
        <v/>
      </c>
      <c r="Q144" s="127"/>
      <c r="R144" s="128"/>
      <c r="S144" s="44"/>
      <c r="T144" s="25"/>
    </row>
    <row r="145" spans="2:20" x14ac:dyDescent="0.25">
      <c r="B145" s="7"/>
      <c r="C145" s="10"/>
      <c r="D145" s="10"/>
      <c r="E145" s="72"/>
      <c r="F145" s="73"/>
      <c r="G145" s="72"/>
      <c r="H145" s="31"/>
      <c r="I145" s="85" t="str">
        <f>IF(Tabel1[[#This Row],[% uren 1:]]="","",Tabel1[[#This Row],[% uren 1:]]*Tabel1[[#This Row],[Totale uren:]])</f>
        <v/>
      </c>
      <c r="J145" s="68"/>
      <c r="K145" s="31"/>
      <c r="L145" s="86" t="str">
        <f>IF(Tabel1[[#This Row],[% uren 2:]]="","",Tabel1[[#This Row],[% uren 2:]]*Tabel1[[#This Row],[Totale uren:]])</f>
        <v/>
      </c>
      <c r="M145" s="72"/>
      <c r="N145" s="31"/>
      <c r="O145" s="85" t="str">
        <f>IF(Tabel1[[#This Row],[% uren 3:]]="","",Tabel1[[#This Row],[% uren 3:]]*Tabel1[[#This Row],[Totale uren:]])</f>
        <v/>
      </c>
      <c r="P145" s="138" t="str">
        <f>IF(Tabel1[[#This Row],[Ordernummer:]]="","",SUM(Tabel1[[#This Row],[% uren 1:]],Tabel1[[#This Row],[% uren 2:]],Tabel1[[#This Row],[% uren 3:]]))</f>
        <v/>
      </c>
      <c r="Q145" s="127"/>
      <c r="R145" s="128"/>
      <c r="S145" s="44"/>
      <c r="T145" s="25"/>
    </row>
    <row r="146" spans="2:20" x14ac:dyDescent="0.25">
      <c r="B146" s="7"/>
      <c r="C146" s="10"/>
      <c r="D146" s="10"/>
      <c r="E146" s="72"/>
      <c r="F146" s="73"/>
      <c r="G146" s="72"/>
      <c r="H146" s="31"/>
      <c r="I146" s="85" t="str">
        <f>IF(Tabel1[[#This Row],[% uren 1:]]="","",Tabel1[[#This Row],[% uren 1:]]*Tabel1[[#This Row],[Totale uren:]])</f>
        <v/>
      </c>
      <c r="J146" s="68"/>
      <c r="K146" s="31"/>
      <c r="L146" s="86" t="str">
        <f>IF(Tabel1[[#This Row],[% uren 2:]]="","",Tabel1[[#This Row],[% uren 2:]]*Tabel1[[#This Row],[Totale uren:]])</f>
        <v/>
      </c>
      <c r="M146" s="72"/>
      <c r="N146" s="31"/>
      <c r="O146" s="85" t="str">
        <f>IF(Tabel1[[#This Row],[% uren 3:]]="","",Tabel1[[#This Row],[% uren 3:]]*Tabel1[[#This Row],[Totale uren:]])</f>
        <v/>
      </c>
      <c r="P146" s="138" t="str">
        <f>IF(Tabel1[[#This Row],[Ordernummer:]]="","",SUM(Tabel1[[#This Row],[% uren 1:]],Tabel1[[#This Row],[% uren 2:]],Tabel1[[#This Row],[% uren 3:]]))</f>
        <v/>
      </c>
      <c r="Q146" s="127"/>
      <c r="R146" s="128"/>
      <c r="S146" s="44"/>
      <c r="T146" s="25"/>
    </row>
    <row r="147" spans="2:20" x14ac:dyDescent="0.25">
      <c r="B147" s="7"/>
      <c r="C147" s="10"/>
      <c r="D147" s="10"/>
      <c r="E147" s="72"/>
      <c r="F147" s="73"/>
      <c r="G147" s="72"/>
      <c r="H147" s="31"/>
      <c r="I147" s="85" t="str">
        <f>IF(Tabel1[[#This Row],[% uren 1:]]="","",Tabel1[[#This Row],[% uren 1:]]*Tabel1[[#This Row],[Totale uren:]])</f>
        <v/>
      </c>
      <c r="J147" s="68"/>
      <c r="K147" s="31"/>
      <c r="L147" s="86" t="str">
        <f>IF(Tabel1[[#This Row],[% uren 2:]]="","",Tabel1[[#This Row],[% uren 2:]]*Tabel1[[#This Row],[Totale uren:]])</f>
        <v/>
      </c>
      <c r="M147" s="72"/>
      <c r="N147" s="31"/>
      <c r="O147" s="85" t="str">
        <f>IF(Tabel1[[#This Row],[% uren 3:]]="","",Tabel1[[#This Row],[% uren 3:]]*Tabel1[[#This Row],[Totale uren:]])</f>
        <v/>
      </c>
      <c r="P147" s="138" t="str">
        <f>IF(Tabel1[[#This Row],[Ordernummer:]]="","",SUM(Tabel1[[#This Row],[% uren 1:]],Tabel1[[#This Row],[% uren 2:]],Tabel1[[#This Row],[% uren 3:]]))</f>
        <v/>
      </c>
      <c r="Q147" s="127"/>
      <c r="R147" s="128"/>
      <c r="S147" s="44"/>
      <c r="T147" s="25"/>
    </row>
    <row r="148" spans="2:20" x14ac:dyDescent="0.25">
      <c r="B148" s="7"/>
      <c r="C148" s="10"/>
      <c r="D148" s="10"/>
      <c r="E148" s="72"/>
      <c r="F148" s="73"/>
      <c r="G148" s="72"/>
      <c r="H148" s="31"/>
      <c r="I148" s="85" t="str">
        <f>IF(Tabel1[[#This Row],[% uren 1:]]="","",Tabel1[[#This Row],[% uren 1:]]*Tabel1[[#This Row],[Totale uren:]])</f>
        <v/>
      </c>
      <c r="J148" s="68"/>
      <c r="K148" s="31"/>
      <c r="L148" s="86" t="str">
        <f>IF(Tabel1[[#This Row],[% uren 2:]]="","",Tabel1[[#This Row],[% uren 2:]]*Tabel1[[#This Row],[Totale uren:]])</f>
        <v/>
      </c>
      <c r="M148" s="72"/>
      <c r="N148" s="31"/>
      <c r="O148" s="85" t="str">
        <f>IF(Tabel1[[#This Row],[% uren 3:]]="","",Tabel1[[#This Row],[% uren 3:]]*Tabel1[[#This Row],[Totale uren:]])</f>
        <v/>
      </c>
      <c r="P148" s="138" t="str">
        <f>IF(Tabel1[[#This Row],[Ordernummer:]]="","",SUM(Tabel1[[#This Row],[% uren 1:]],Tabel1[[#This Row],[% uren 2:]],Tabel1[[#This Row],[% uren 3:]]))</f>
        <v/>
      </c>
      <c r="Q148" s="127"/>
      <c r="R148" s="128"/>
      <c r="S148" s="44"/>
      <c r="T148" s="25"/>
    </row>
    <row r="149" spans="2:20" x14ac:dyDescent="0.25">
      <c r="B149" s="7"/>
      <c r="C149" s="10"/>
      <c r="D149" s="10"/>
      <c r="E149" s="72"/>
      <c r="F149" s="73"/>
      <c r="G149" s="72"/>
      <c r="H149" s="31"/>
      <c r="I149" s="85" t="str">
        <f>IF(Tabel1[[#This Row],[% uren 1:]]="","",Tabel1[[#This Row],[% uren 1:]]*Tabel1[[#This Row],[Totale uren:]])</f>
        <v/>
      </c>
      <c r="J149" s="68"/>
      <c r="K149" s="31"/>
      <c r="L149" s="86" t="str">
        <f>IF(Tabel1[[#This Row],[% uren 2:]]="","",Tabel1[[#This Row],[% uren 2:]]*Tabel1[[#This Row],[Totale uren:]])</f>
        <v/>
      </c>
      <c r="M149" s="72"/>
      <c r="N149" s="31"/>
      <c r="O149" s="85" t="str">
        <f>IF(Tabel1[[#This Row],[% uren 3:]]="","",Tabel1[[#This Row],[% uren 3:]]*Tabel1[[#This Row],[Totale uren:]])</f>
        <v/>
      </c>
      <c r="P149" s="138" t="str">
        <f>IF(Tabel1[[#This Row],[Ordernummer:]]="","",SUM(Tabel1[[#This Row],[% uren 1:]],Tabel1[[#This Row],[% uren 2:]],Tabel1[[#This Row],[% uren 3:]]))</f>
        <v/>
      </c>
      <c r="Q149" s="127"/>
      <c r="R149" s="128"/>
      <c r="S149" s="44"/>
      <c r="T149" s="25"/>
    </row>
    <row r="150" spans="2:20" x14ac:dyDescent="0.25">
      <c r="B150" s="7"/>
      <c r="C150" s="10"/>
      <c r="D150" s="10"/>
      <c r="E150" s="72"/>
      <c r="F150" s="73"/>
      <c r="G150" s="72"/>
      <c r="H150" s="31"/>
      <c r="I150" s="85" t="str">
        <f>IF(Tabel1[[#This Row],[% uren 1:]]="","",Tabel1[[#This Row],[% uren 1:]]*Tabel1[[#This Row],[Totale uren:]])</f>
        <v/>
      </c>
      <c r="J150" s="68"/>
      <c r="K150" s="31"/>
      <c r="L150" s="86" t="str">
        <f>IF(Tabel1[[#This Row],[% uren 2:]]="","",Tabel1[[#This Row],[% uren 2:]]*Tabel1[[#This Row],[Totale uren:]])</f>
        <v/>
      </c>
      <c r="M150" s="72"/>
      <c r="N150" s="31"/>
      <c r="O150" s="85" t="str">
        <f>IF(Tabel1[[#This Row],[% uren 3:]]="","",Tabel1[[#This Row],[% uren 3:]]*Tabel1[[#This Row],[Totale uren:]])</f>
        <v/>
      </c>
      <c r="P150" s="138" t="str">
        <f>IF(Tabel1[[#This Row],[Ordernummer:]]="","",SUM(Tabel1[[#This Row],[% uren 1:]],Tabel1[[#This Row],[% uren 2:]],Tabel1[[#This Row],[% uren 3:]]))</f>
        <v/>
      </c>
      <c r="Q150" s="127"/>
      <c r="R150" s="128"/>
      <c r="S150" s="44"/>
      <c r="T150" s="25"/>
    </row>
    <row r="151" spans="2:20" x14ac:dyDescent="0.25">
      <c r="B151" s="7"/>
      <c r="C151" s="10"/>
      <c r="D151" s="10"/>
      <c r="E151" s="72"/>
      <c r="F151" s="73"/>
      <c r="G151" s="72"/>
      <c r="H151" s="31"/>
      <c r="I151" s="85" t="str">
        <f>IF(Tabel1[[#This Row],[% uren 1:]]="","",Tabel1[[#This Row],[% uren 1:]]*Tabel1[[#This Row],[Totale uren:]])</f>
        <v/>
      </c>
      <c r="J151" s="68"/>
      <c r="K151" s="31"/>
      <c r="L151" s="86" t="str">
        <f>IF(Tabel1[[#This Row],[% uren 2:]]="","",Tabel1[[#This Row],[% uren 2:]]*Tabel1[[#This Row],[Totale uren:]])</f>
        <v/>
      </c>
      <c r="M151" s="72"/>
      <c r="N151" s="31"/>
      <c r="O151" s="85" t="str">
        <f>IF(Tabel1[[#This Row],[% uren 3:]]="","",Tabel1[[#This Row],[% uren 3:]]*Tabel1[[#This Row],[Totale uren:]])</f>
        <v/>
      </c>
      <c r="P151" s="138" t="str">
        <f>IF(Tabel1[[#This Row],[Ordernummer:]]="","",SUM(Tabel1[[#This Row],[% uren 1:]],Tabel1[[#This Row],[% uren 2:]],Tabel1[[#This Row],[% uren 3:]]))</f>
        <v/>
      </c>
      <c r="Q151" s="127"/>
      <c r="R151" s="128"/>
      <c r="S151" s="44"/>
      <c r="T151" s="25"/>
    </row>
    <row r="152" spans="2:20" x14ac:dyDescent="0.25">
      <c r="B152" s="7"/>
      <c r="C152" s="10"/>
      <c r="D152" s="10"/>
      <c r="E152" s="72"/>
      <c r="F152" s="73"/>
      <c r="G152" s="72"/>
      <c r="H152" s="31"/>
      <c r="I152" s="85" t="str">
        <f>IF(Tabel1[[#This Row],[% uren 1:]]="","",Tabel1[[#This Row],[% uren 1:]]*Tabel1[[#This Row],[Totale uren:]])</f>
        <v/>
      </c>
      <c r="J152" s="68"/>
      <c r="K152" s="31"/>
      <c r="L152" s="86" t="str">
        <f>IF(Tabel1[[#This Row],[% uren 2:]]="","",Tabel1[[#This Row],[% uren 2:]]*Tabel1[[#This Row],[Totale uren:]])</f>
        <v/>
      </c>
      <c r="M152" s="72"/>
      <c r="N152" s="31"/>
      <c r="O152" s="85" t="str">
        <f>IF(Tabel1[[#This Row],[% uren 3:]]="","",Tabel1[[#This Row],[% uren 3:]]*Tabel1[[#This Row],[Totale uren:]])</f>
        <v/>
      </c>
      <c r="P152" s="138" t="str">
        <f>IF(Tabel1[[#This Row],[Ordernummer:]]="","",SUM(Tabel1[[#This Row],[% uren 1:]],Tabel1[[#This Row],[% uren 2:]],Tabel1[[#This Row],[% uren 3:]]))</f>
        <v/>
      </c>
      <c r="Q152" s="127"/>
      <c r="R152" s="128"/>
      <c r="S152" s="44"/>
      <c r="T152" s="25"/>
    </row>
    <row r="153" spans="2:20" x14ac:dyDescent="0.25">
      <c r="B153" s="7"/>
      <c r="C153" s="10"/>
      <c r="D153" s="10"/>
      <c r="E153" s="72"/>
      <c r="F153" s="73"/>
      <c r="G153" s="72"/>
      <c r="H153" s="31"/>
      <c r="I153" s="85" t="str">
        <f>IF(Tabel1[[#This Row],[% uren 1:]]="","",Tabel1[[#This Row],[% uren 1:]]*Tabel1[[#This Row],[Totale uren:]])</f>
        <v/>
      </c>
      <c r="J153" s="68"/>
      <c r="K153" s="31"/>
      <c r="L153" s="86" t="str">
        <f>IF(Tabel1[[#This Row],[% uren 2:]]="","",Tabel1[[#This Row],[% uren 2:]]*Tabel1[[#This Row],[Totale uren:]])</f>
        <v/>
      </c>
      <c r="M153" s="72"/>
      <c r="N153" s="31"/>
      <c r="O153" s="85" t="str">
        <f>IF(Tabel1[[#This Row],[% uren 3:]]="","",Tabel1[[#This Row],[% uren 3:]]*Tabel1[[#This Row],[Totale uren:]])</f>
        <v/>
      </c>
      <c r="P153" s="138" t="str">
        <f>IF(Tabel1[[#This Row],[Ordernummer:]]="","",SUM(Tabel1[[#This Row],[% uren 1:]],Tabel1[[#This Row],[% uren 2:]],Tabel1[[#This Row],[% uren 3:]]))</f>
        <v/>
      </c>
      <c r="Q153" s="127"/>
      <c r="R153" s="128"/>
      <c r="S153" s="44"/>
      <c r="T153" s="25"/>
    </row>
    <row r="154" spans="2:20" x14ac:dyDescent="0.25">
      <c r="B154" s="7"/>
      <c r="C154" s="10"/>
      <c r="D154" s="10"/>
      <c r="E154" s="72"/>
      <c r="F154" s="73"/>
      <c r="G154" s="72"/>
      <c r="H154" s="31"/>
      <c r="I154" s="85" t="str">
        <f>IF(Tabel1[[#This Row],[% uren 1:]]="","",Tabel1[[#This Row],[% uren 1:]]*Tabel1[[#This Row],[Totale uren:]])</f>
        <v/>
      </c>
      <c r="J154" s="68"/>
      <c r="K154" s="31"/>
      <c r="L154" s="86" t="str">
        <f>IF(Tabel1[[#This Row],[% uren 2:]]="","",Tabel1[[#This Row],[% uren 2:]]*Tabel1[[#This Row],[Totale uren:]])</f>
        <v/>
      </c>
      <c r="M154" s="72"/>
      <c r="N154" s="31"/>
      <c r="O154" s="85" t="str">
        <f>IF(Tabel1[[#This Row],[% uren 3:]]="","",Tabel1[[#This Row],[% uren 3:]]*Tabel1[[#This Row],[Totale uren:]])</f>
        <v/>
      </c>
      <c r="P154" s="138" t="str">
        <f>IF(Tabel1[[#This Row],[Ordernummer:]]="","",SUM(Tabel1[[#This Row],[% uren 1:]],Tabel1[[#This Row],[% uren 2:]],Tabel1[[#This Row],[% uren 3:]]))</f>
        <v/>
      </c>
      <c r="Q154" s="127"/>
      <c r="R154" s="128"/>
      <c r="S154" s="44"/>
      <c r="T154" s="25"/>
    </row>
    <row r="155" spans="2:20" x14ac:dyDescent="0.25">
      <c r="B155" s="7"/>
      <c r="C155" s="10"/>
      <c r="D155" s="10"/>
      <c r="E155" s="72"/>
      <c r="F155" s="73"/>
      <c r="G155" s="72"/>
      <c r="H155" s="31"/>
      <c r="I155" s="85" t="str">
        <f>IF(Tabel1[[#This Row],[% uren 1:]]="","",Tabel1[[#This Row],[% uren 1:]]*Tabel1[[#This Row],[Totale uren:]])</f>
        <v/>
      </c>
      <c r="J155" s="68"/>
      <c r="K155" s="31"/>
      <c r="L155" s="86" t="str">
        <f>IF(Tabel1[[#This Row],[% uren 2:]]="","",Tabel1[[#This Row],[% uren 2:]]*Tabel1[[#This Row],[Totale uren:]])</f>
        <v/>
      </c>
      <c r="M155" s="72"/>
      <c r="N155" s="31"/>
      <c r="O155" s="85" t="str">
        <f>IF(Tabel1[[#This Row],[% uren 3:]]="","",Tabel1[[#This Row],[% uren 3:]]*Tabel1[[#This Row],[Totale uren:]])</f>
        <v/>
      </c>
      <c r="P155" s="138" t="str">
        <f>IF(Tabel1[[#This Row],[Ordernummer:]]="","",SUM(Tabel1[[#This Row],[% uren 1:]],Tabel1[[#This Row],[% uren 2:]],Tabel1[[#This Row],[% uren 3:]]))</f>
        <v/>
      </c>
      <c r="Q155" s="127"/>
      <c r="R155" s="128"/>
      <c r="S155" s="44"/>
      <c r="T155" s="25"/>
    </row>
    <row r="156" spans="2:20" x14ac:dyDescent="0.25">
      <c r="B156" s="7"/>
      <c r="C156" s="10"/>
      <c r="D156" s="10"/>
      <c r="E156" s="72"/>
      <c r="F156" s="73"/>
      <c r="G156" s="72"/>
      <c r="H156" s="31"/>
      <c r="I156" s="85" t="str">
        <f>IF(Tabel1[[#This Row],[% uren 1:]]="","",Tabel1[[#This Row],[% uren 1:]]*Tabel1[[#This Row],[Totale uren:]])</f>
        <v/>
      </c>
      <c r="J156" s="68"/>
      <c r="K156" s="31"/>
      <c r="L156" s="86" t="str">
        <f>IF(Tabel1[[#This Row],[% uren 2:]]="","",Tabel1[[#This Row],[% uren 2:]]*Tabel1[[#This Row],[Totale uren:]])</f>
        <v/>
      </c>
      <c r="M156" s="72"/>
      <c r="N156" s="31"/>
      <c r="O156" s="85" t="str">
        <f>IF(Tabel1[[#This Row],[% uren 3:]]="","",Tabel1[[#This Row],[% uren 3:]]*Tabel1[[#This Row],[Totale uren:]])</f>
        <v/>
      </c>
      <c r="P156" s="138" t="str">
        <f>IF(Tabel1[[#This Row],[Ordernummer:]]="","",SUM(Tabel1[[#This Row],[% uren 1:]],Tabel1[[#This Row],[% uren 2:]],Tabel1[[#This Row],[% uren 3:]]))</f>
        <v/>
      </c>
      <c r="Q156" s="127"/>
      <c r="R156" s="128"/>
      <c r="S156" s="44"/>
      <c r="T156" s="25"/>
    </row>
    <row r="157" spans="2:20" x14ac:dyDescent="0.25">
      <c r="B157" s="7"/>
      <c r="C157" s="10"/>
      <c r="D157" s="10"/>
      <c r="E157" s="72"/>
      <c r="F157" s="73"/>
      <c r="G157" s="72"/>
      <c r="H157" s="31"/>
      <c r="I157" s="85" t="str">
        <f>IF(Tabel1[[#This Row],[% uren 1:]]="","",Tabel1[[#This Row],[% uren 1:]]*Tabel1[[#This Row],[Totale uren:]])</f>
        <v/>
      </c>
      <c r="J157" s="68"/>
      <c r="K157" s="31"/>
      <c r="L157" s="86" t="str">
        <f>IF(Tabel1[[#This Row],[% uren 2:]]="","",Tabel1[[#This Row],[% uren 2:]]*Tabel1[[#This Row],[Totale uren:]])</f>
        <v/>
      </c>
      <c r="M157" s="72"/>
      <c r="N157" s="31"/>
      <c r="O157" s="85" t="str">
        <f>IF(Tabel1[[#This Row],[% uren 3:]]="","",Tabel1[[#This Row],[% uren 3:]]*Tabel1[[#This Row],[Totale uren:]])</f>
        <v/>
      </c>
      <c r="P157" s="138" t="str">
        <f>IF(Tabel1[[#This Row],[Ordernummer:]]="","",SUM(Tabel1[[#This Row],[% uren 1:]],Tabel1[[#This Row],[% uren 2:]],Tabel1[[#This Row],[% uren 3:]]))</f>
        <v/>
      </c>
      <c r="Q157" s="127"/>
      <c r="R157" s="128"/>
      <c r="S157" s="44"/>
      <c r="T157" s="25"/>
    </row>
    <row r="158" spans="2:20" x14ac:dyDescent="0.25">
      <c r="B158" s="7"/>
      <c r="C158" s="10"/>
      <c r="D158" s="10"/>
      <c r="E158" s="72"/>
      <c r="F158" s="73"/>
      <c r="G158" s="72"/>
      <c r="H158" s="31"/>
      <c r="I158" s="85" t="str">
        <f>IF(Tabel1[[#This Row],[% uren 1:]]="","",Tabel1[[#This Row],[% uren 1:]]*Tabel1[[#This Row],[Totale uren:]])</f>
        <v/>
      </c>
      <c r="J158" s="68"/>
      <c r="K158" s="31"/>
      <c r="L158" s="86" t="str">
        <f>IF(Tabel1[[#This Row],[% uren 2:]]="","",Tabel1[[#This Row],[% uren 2:]]*Tabel1[[#This Row],[Totale uren:]])</f>
        <v/>
      </c>
      <c r="M158" s="72"/>
      <c r="N158" s="31"/>
      <c r="O158" s="85" t="str">
        <f>IF(Tabel1[[#This Row],[% uren 3:]]="","",Tabel1[[#This Row],[% uren 3:]]*Tabel1[[#This Row],[Totale uren:]])</f>
        <v/>
      </c>
      <c r="P158" s="138" t="str">
        <f>IF(Tabel1[[#This Row],[Ordernummer:]]="","",SUM(Tabel1[[#This Row],[% uren 1:]],Tabel1[[#This Row],[% uren 2:]],Tabel1[[#This Row],[% uren 3:]]))</f>
        <v/>
      </c>
      <c r="Q158" s="127"/>
      <c r="R158" s="128"/>
      <c r="S158" s="44"/>
      <c r="T158" s="25"/>
    </row>
    <row r="159" spans="2:20" x14ac:dyDescent="0.25">
      <c r="B159" s="7"/>
      <c r="C159" s="10"/>
      <c r="D159" s="10"/>
      <c r="E159" s="72"/>
      <c r="F159" s="73"/>
      <c r="G159" s="72"/>
      <c r="H159" s="31"/>
      <c r="I159" s="85" t="str">
        <f>IF(Tabel1[[#This Row],[% uren 1:]]="","",Tabel1[[#This Row],[% uren 1:]]*Tabel1[[#This Row],[Totale uren:]])</f>
        <v/>
      </c>
      <c r="J159" s="68"/>
      <c r="K159" s="31"/>
      <c r="L159" s="86" t="str">
        <f>IF(Tabel1[[#This Row],[% uren 2:]]="","",Tabel1[[#This Row],[% uren 2:]]*Tabel1[[#This Row],[Totale uren:]])</f>
        <v/>
      </c>
      <c r="M159" s="72"/>
      <c r="N159" s="31"/>
      <c r="O159" s="85" t="str">
        <f>IF(Tabel1[[#This Row],[% uren 3:]]="","",Tabel1[[#This Row],[% uren 3:]]*Tabel1[[#This Row],[Totale uren:]])</f>
        <v/>
      </c>
      <c r="P159" s="138" t="str">
        <f>IF(Tabel1[[#This Row],[Ordernummer:]]="","",SUM(Tabel1[[#This Row],[% uren 1:]],Tabel1[[#This Row],[% uren 2:]],Tabel1[[#This Row],[% uren 3:]]))</f>
        <v/>
      </c>
      <c r="Q159" s="127"/>
      <c r="R159" s="128"/>
      <c r="S159" s="44"/>
      <c r="T159" s="25"/>
    </row>
    <row r="160" spans="2:20" x14ac:dyDescent="0.25">
      <c r="B160" s="7"/>
      <c r="C160" s="10"/>
      <c r="D160" s="10"/>
      <c r="E160" s="72"/>
      <c r="F160" s="73"/>
      <c r="G160" s="72"/>
      <c r="H160" s="31"/>
      <c r="I160" s="85" t="str">
        <f>IF(Tabel1[[#This Row],[% uren 1:]]="","",Tabel1[[#This Row],[% uren 1:]]*Tabel1[[#This Row],[Totale uren:]])</f>
        <v/>
      </c>
      <c r="J160" s="68"/>
      <c r="K160" s="31"/>
      <c r="L160" s="86" t="str">
        <f>IF(Tabel1[[#This Row],[% uren 2:]]="","",Tabel1[[#This Row],[% uren 2:]]*Tabel1[[#This Row],[Totale uren:]])</f>
        <v/>
      </c>
      <c r="M160" s="72"/>
      <c r="N160" s="31"/>
      <c r="O160" s="85" t="str">
        <f>IF(Tabel1[[#This Row],[% uren 3:]]="","",Tabel1[[#This Row],[% uren 3:]]*Tabel1[[#This Row],[Totale uren:]])</f>
        <v/>
      </c>
      <c r="P160" s="138" t="str">
        <f>IF(Tabel1[[#This Row],[Ordernummer:]]="","",SUM(Tabel1[[#This Row],[% uren 1:]],Tabel1[[#This Row],[% uren 2:]],Tabel1[[#This Row],[% uren 3:]]))</f>
        <v/>
      </c>
      <c r="Q160" s="127"/>
      <c r="R160" s="128"/>
      <c r="S160" s="44"/>
      <c r="T160" s="25"/>
    </row>
    <row r="161" spans="2:20" x14ac:dyDescent="0.25">
      <c r="B161" s="7"/>
      <c r="C161" s="10"/>
      <c r="D161" s="10"/>
      <c r="E161" s="72"/>
      <c r="F161" s="73"/>
      <c r="G161" s="72"/>
      <c r="H161" s="31"/>
      <c r="I161" s="85" t="str">
        <f>IF(Tabel1[[#This Row],[% uren 1:]]="","",Tabel1[[#This Row],[% uren 1:]]*Tabel1[[#This Row],[Totale uren:]])</f>
        <v/>
      </c>
      <c r="J161" s="68"/>
      <c r="K161" s="31"/>
      <c r="L161" s="86" t="str">
        <f>IF(Tabel1[[#This Row],[% uren 2:]]="","",Tabel1[[#This Row],[% uren 2:]]*Tabel1[[#This Row],[Totale uren:]])</f>
        <v/>
      </c>
      <c r="M161" s="72"/>
      <c r="N161" s="31"/>
      <c r="O161" s="85" t="str">
        <f>IF(Tabel1[[#This Row],[% uren 3:]]="","",Tabel1[[#This Row],[% uren 3:]]*Tabel1[[#This Row],[Totale uren:]])</f>
        <v/>
      </c>
      <c r="P161" s="138" t="str">
        <f>IF(Tabel1[[#This Row],[Ordernummer:]]="","",SUM(Tabel1[[#This Row],[% uren 1:]],Tabel1[[#This Row],[% uren 2:]],Tabel1[[#This Row],[% uren 3:]]))</f>
        <v/>
      </c>
      <c r="Q161" s="127"/>
      <c r="R161" s="128"/>
      <c r="S161" s="44"/>
      <c r="T161" s="25"/>
    </row>
    <row r="162" spans="2:20" x14ac:dyDescent="0.25">
      <c r="B162" s="7"/>
      <c r="C162" s="10"/>
      <c r="D162" s="10"/>
      <c r="E162" s="72"/>
      <c r="F162" s="73"/>
      <c r="G162" s="72"/>
      <c r="H162" s="31"/>
      <c r="I162" s="85" t="str">
        <f>IF(Tabel1[[#This Row],[% uren 1:]]="","",Tabel1[[#This Row],[% uren 1:]]*Tabel1[[#This Row],[Totale uren:]])</f>
        <v/>
      </c>
      <c r="J162" s="68"/>
      <c r="K162" s="31"/>
      <c r="L162" s="86" t="str">
        <f>IF(Tabel1[[#This Row],[% uren 2:]]="","",Tabel1[[#This Row],[% uren 2:]]*Tabel1[[#This Row],[Totale uren:]])</f>
        <v/>
      </c>
      <c r="M162" s="72"/>
      <c r="N162" s="31"/>
      <c r="O162" s="85" t="str">
        <f>IF(Tabel1[[#This Row],[% uren 3:]]="","",Tabel1[[#This Row],[% uren 3:]]*Tabel1[[#This Row],[Totale uren:]])</f>
        <v/>
      </c>
      <c r="P162" s="138" t="str">
        <f>IF(Tabel1[[#This Row],[Ordernummer:]]="","",SUM(Tabel1[[#This Row],[% uren 1:]],Tabel1[[#This Row],[% uren 2:]],Tabel1[[#This Row],[% uren 3:]]))</f>
        <v/>
      </c>
      <c r="Q162" s="127"/>
      <c r="R162" s="128"/>
      <c r="S162" s="44"/>
      <c r="T162" s="25"/>
    </row>
    <row r="163" spans="2:20" x14ac:dyDescent="0.25">
      <c r="B163" s="7"/>
      <c r="C163" s="10"/>
      <c r="D163" s="10"/>
      <c r="E163" s="72"/>
      <c r="F163" s="73"/>
      <c r="G163" s="72"/>
      <c r="H163" s="31"/>
      <c r="I163" s="85" t="str">
        <f>IF(Tabel1[[#This Row],[% uren 1:]]="","",Tabel1[[#This Row],[% uren 1:]]*Tabel1[[#This Row],[Totale uren:]])</f>
        <v/>
      </c>
      <c r="J163" s="68"/>
      <c r="K163" s="31"/>
      <c r="L163" s="86" t="str">
        <f>IF(Tabel1[[#This Row],[% uren 2:]]="","",Tabel1[[#This Row],[% uren 2:]]*Tabel1[[#This Row],[Totale uren:]])</f>
        <v/>
      </c>
      <c r="M163" s="72"/>
      <c r="N163" s="31"/>
      <c r="O163" s="85" t="str">
        <f>IF(Tabel1[[#This Row],[% uren 3:]]="","",Tabel1[[#This Row],[% uren 3:]]*Tabel1[[#This Row],[Totale uren:]])</f>
        <v/>
      </c>
      <c r="P163" s="138" t="str">
        <f>IF(Tabel1[[#This Row],[Ordernummer:]]="","",SUM(Tabel1[[#This Row],[% uren 1:]],Tabel1[[#This Row],[% uren 2:]],Tabel1[[#This Row],[% uren 3:]]))</f>
        <v/>
      </c>
      <c r="Q163" s="127"/>
      <c r="R163" s="128"/>
      <c r="S163" s="44"/>
      <c r="T163" s="25"/>
    </row>
    <row r="164" spans="2:20" x14ac:dyDescent="0.25">
      <c r="B164" s="7"/>
      <c r="C164" s="10"/>
      <c r="D164" s="10"/>
      <c r="E164" s="72"/>
      <c r="F164" s="73"/>
      <c r="G164" s="72"/>
      <c r="H164" s="31"/>
      <c r="I164" s="85" t="str">
        <f>IF(Tabel1[[#This Row],[% uren 1:]]="","",Tabel1[[#This Row],[% uren 1:]]*Tabel1[[#This Row],[Totale uren:]])</f>
        <v/>
      </c>
      <c r="J164" s="68"/>
      <c r="K164" s="31"/>
      <c r="L164" s="86" t="str">
        <f>IF(Tabel1[[#This Row],[% uren 2:]]="","",Tabel1[[#This Row],[% uren 2:]]*Tabel1[[#This Row],[Totale uren:]])</f>
        <v/>
      </c>
      <c r="M164" s="72"/>
      <c r="N164" s="31"/>
      <c r="O164" s="85" t="str">
        <f>IF(Tabel1[[#This Row],[% uren 3:]]="","",Tabel1[[#This Row],[% uren 3:]]*Tabel1[[#This Row],[Totale uren:]])</f>
        <v/>
      </c>
      <c r="P164" s="138" t="str">
        <f>IF(Tabel1[[#This Row],[Ordernummer:]]="","",SUM(Tabel1[[#This Row],[% uren 1:]],Tabel1[[#This Row],[% uren 2:]],Tabel1[[#This Row],[% uren 3:]]))</f>
        <v/>
      </c>
      <c r="Q164" s="127"/>
      <c r="R164" s="128"/>
      <c r="S164" s="44"/>
      <c r="T164" s="25"/>
    </row>
    <row r="165" spans="2:20" x14ac:dyDescent="0.25">
      <c r="B165" s="7"/>
      <c r="C165" s="10"/>
      <c r="D165" s="10"/>
      <c r="E165" s="72"/>
      <c r="F165" s="73"/>
      <c r="G165" s="72"/>
      <c r="H165" s="31"/>
      <c r="I165" s="85" t="str">
        <f>IF(Tabel1[[#This Row],[% uren 1:]]="","",Tabel1[[#This Row],[% uren 1:]]*Tabel1[[#This Row],[Totale uren:]])</f>
        <v/>
      </c>
      <c r="J165" s="68"/>
      <c r="K165" s="31"/>
      <c r="L165" s="86" t="str">
        <f>IF(Tabel1[[#This Row],[% uren 2:]]="","",Tabel1[[#This Row],[% uren 2:]]*Tabel1[[#This Row],[Totale uren:]])</f>
        <v/>
      </c>
      <c r="M165" s="72"/>
      <c r="N165" s="31"/>
      <c r="O165" s="85" t="str">
        <f>IF(Tabel1[[#This Row],[% uren 3:]]="","",Tabel1[[#This Row],[% uren 3:]]*Tabel1[[#This Row],[Totale uren:]])</f>
        <v/>
      </c>
      <c r="P165" s="138" t="str">
        <f>IF(Tabel1[[#This Row],[Ordernummer:]]="","",SUM(Tabel1[[#This Row],[% uren 1:]],Tabel1[[#This Row],[% uren 2:]],Tabel1[[#This Row],[% uren 3:]]))</f>
        <v/>
      </c>
      <c r="Q165" s="127"/>
      <c r="R165" s="128"/>
      <c r="S165" s="44"/>
      <c r="T165" s="25"/>
    </row>
    <row r="166" spans="2:20" x14ac:dyDescent="0.25">
      <c r="B166" s="7"/>
      <c r="C166" s="10"/>
      <c r="D166" s="10"/>
      <c r="E166" s="72"/>
      <c r="F166" s="73"/>
      <c r="G166" s="72"/>
      <c r="H166" s="31"/>
      <c r="I166" s="85" t="str">
        <f>IF(Tabel1[[#This Row],[% uren 1:]]="","",Tabel1[[#This Row],[% uren 1:]]*Tabel1[[#This Row],[Totale uren:]])</f>
        <v/>
      </c>
      <c r="J166" s="68"/>
      <c r="K166" s="31"/>
      <c r="L166" s="86" t="str">
        <f>IF(Tabel1[[#This Row],[% uren 2:]]="","",Tabel1[[#This Row],[% uren 2:]]*Tabel1[[#This Row],[Totale uren:]])</f>
        <v/>
      </c>
      <c r="M166" s="72"/>
      <c r="N166" s="31"/>
      <c r="O166" s="85" t="str">
        <f>IF(Tabel1[[#This Row],[% uren 3:]]="","",Tabel1[[#This Row],[% uren 3:]]*Tabel1[[#This Row],[Totale uren:]])</f>
        <v/>
      </c>
      <c r="P166" s="138" t="str">
        <f>IF(Tabel1[[#This Row],[Ordernummer:]]="","",SUM(Tabel1[[#This Row],[% uren 1:]],Tabel1[[#This Row],[% uren 2:]],Tabel1[[#This Row],[% uren 3:]]))</f>
        <v/>
      </c>
      <c r="Q166" s="127"/>
      <c r="R166" s="128"/>
      <c r="S166" s="44"/>
      <c r="T166" s="25"/>
    </row>
    <row r="167" spans="2:20" x14ac:dyDescent="0.25">
      <c r="B167" s="7"/>
      <c r="C167" s="10"/>
      <c r="D167" s="10"/>
      <c r="E167" s="72"/>
      <c r="F167" s="73"/>
      <c r="G167" s="72"/>
      <c r="H167" s="31"/>
      <c r="I167" s="85" t="str">
        <f>IF(Tabel1[[#This Row],[% uren 1:]]="","",Tabel1[[#This Row],[% uren 1:]]*Tabel1[[#This Row],[Totale uren:]])</f>
        <v/>
      </c>
      <c r="J167" s="68"/>
      <c r="K167" s="31"/>
      <c r="L167" s="86" t="str">
        <f>IF(Tabel1[[#This Row],[% uren 2:]]="","",Tabel1[[#This Row],[% uren 2:]]*Tabel1[[#This Row],[Totale uren:]])</f>
        <v/>
      </c>
      <c r="M167" s="72"/>
      <c r="N167" s="31"/>
      <c r="O167" s="85" t="str">
        <f>IF(Tabel1[[#This Row],[% uren 3:]]="","",Tabel1[[#This Row],[% uren 3:]]*Tabel1[[#This Row],[Totale uren:]])</f>
        <v/>
      </c>
      <c r="P167" s="138" t="str">
        <f>IF(Tabel1[[#This Row],[Ordernummer:]]="","",SUM(Tabel1[[#This Row],[% uren 1:]],Tabel1[[#This Row],[% uren 2:]],Tabel1[[#This Row],[% uren 3:]]))</f>
        <v/>
      </c>
      <c r="Q167" s="127"/>
      <c r="R167" s="128"/>
      <c r="S167" s="44"/>
      <c r="T167" s="25"/>
    </row>
    <row r="168" spans="2:20" x14ac:dyDescent="0.25">
      <c r="B168" s="7"/>
      <c r="C168" s="10"/>
      <c r="D168" s="10"/>
      <c r="E168" s="72"/>
      <c r="F168" s="73"/>
      <c r="G168" s="72"/>
      <c r="H168" s="31"/>
      <c r="I168" s="85" t="str">
        <f>IF(Tabel1[[#This Row],[% uren 1:]]="","",Tabel1[[#This Row],[% uren 1:]]*Tabel1[[#This Row],[Totale uren:]])</f>
        <v/>
      </c>
      <c r="J168" s="68"/>
      <c r="K168" s="31"/>
      <c r="L168" s="86" t="str">
        <f>IF(Tabel1[[#This Row],[% uren 2:]]="","",Tabel1[[#This Row],[% uren 2:]]*Tabel1[[#This Row],[Totale uren:]])</f>
        <v/>
      </c>
      <c r="M168" s="72"/>
      <c r="N168" s="31"/>
      <c r="O168" s="85" t="str">
        <f>IF(Tabel1[[#This Row],[% uren 3:]]="","",Tabel1[[#This Row],[% uren 3:]]*Tabel1[[#This Row],[Totale uren:]])</f>
        <v/>
      </c>
      <c r="P168" s="138" t="str">
        <f>IF(Tabel1[[#This Row],[Ordernummer:]]="","",SUM(Tabel1[[#This Row],[% uren 1:]],Tabel1[[#This Row],[% uren 2:]],Tabel1[[#This Row],[% uren 3:]]))</f>
        <v/>
      </c>
      <c r="Q168" s="127"/>
      <c r="R168" s="128"/>
      <c r="S168" s="44"/>
      <c r="T168" s="25"/>
    </row>
    <row r="169" spans="2:20" x14ac:dyDescent="0.25">
      <c r="B169" s="7"/>
      <c r="C169" s="10"/>
      <c r="D169" s="10"/>
      <c r="E169" s="72"/>
      <c r="F169" s="73"/>
      <c r="G169" s="72"/>
      <c r="H169" s="31"/>
      <c r="I169" s="85" t="str">
        <f>IF(Tabel1[[#This Row],[% uren 1:]]="","",Tabel1[[#This Row],[% uren 1:]]*Tabel1[[#This Row],[Totale uren:]])</f>
        <v/>
      </c>
      <c r="J169" s="68"/>
      <c r="K169" s="31"/>
      <c r="L169" s="86" t="str">
        <f>IF(Tabel1[[#This Row],[% uren 2:]]="","",Tabel1[[#This Row],[% uren 2:]]*Tabel1[[#This Row],[Totale uren:]])</f>
        <v/>
      </c>
      <c r="M169" s="72"/>
      <c r="N169" s="31"/>
      <c r="O169" s="85" t="str">
        <f>IF(Tabel1[[#This Row],[% uren 3:]]="","",Tabel1[[#This Row],[% uren 3:]]*Tabel1[[#This Row],[Totale uren:]])</f>
        <v/>
      </c>
      <c r="P169" s="138" t="str">
        <f>IF(Tabel1[[#This Row],[Ordernummer:]]="","",SUM(Tabel1[[#This Row],[% uren 1:]],Tabel1[[#This Row],[% uren 2:]],Tabel1[[#This Row],[% uren 3:]]))</f>
        <v/>
      </c>
      <c r="Q169" s="127"/>
      <c r="R169" s="128"/>
      <c r="S169" s="44"/>
      <c r="T169" s="25"/>
    </row>
    <row r="170" spans="2:20" x14ac:dyDescent="0.25">
      <c r="B170" s="7"/>
      <c r="C170" s="10"/>
      <c r="D170" s="10"/>
      <c r="E170" s="72"/>
      <c r="F170" s="73"/>
      <c r="G170" s="72"/>
      <c r="H170" s="31"/>
      <c r="I170" s="85" t="str">
        <f>IF(Tabel1[[#This Row],[% uren 1:]]="","",Tabel1[[#This Row],[% uren 1:]]*Tabel1[[#This Row],[Totale uren:]])</f>
        <v/>
      </c>
      <c r="J170" s="68"/>
      <c r="K170" s="31"/>
      <c r="L170" s="86" t="str">
        <f>IF(Tabel1[[#This Row],[% uren 2:]]="","",Tabel1[[#This Row],[% uren 2:]]*Tabel1[[#This Row],[Totale uren:]])</f>
        <v/>
      </c>
      <c r="M170" s="72"/>
      <c r="N170" s="31"/>
      <c r="O170" s="85" t="str">
        <f>IF(Tabel1[[#This Row],[% uren 3:]]="","",Tabel1[[#This Row],[% uren 3:]]*Tabel1[[#This Row],[Totale uren:]])</f>
        <v/>
      </c>
      <c r="P170" s="138" t="str">
        <f>IF(Tabel1[[#This Row],[Ordernummer:]]="","",SUM(Tabel1[[#This Row],[% uren 1:]],Tabel1[[#This Row],[% uren 2:]],Tabel1[[#This Row],[% uren 3:]]))</f>
        <v/>
      </c>
      <c r="Q170" s="127"/>
      <c r="R170" s="128"/>
      <c r="S170" s="44"/>
      <c r="T170" s="25"/>
    </row>
    <row r="171" spans="2:20" x14ac:dyDescent="0.25">
      <c r="B171" s="7"/>
      <c r="C171" s="10"/>
      <c r="D171" s="10"/>
      <c r="E171" s="72"/>
      <c r="F171" s="73"/>
      <c r="G171" s="72"/>
      <c r="H171" s="31"/>
      <c r="I171" s="85" t="str">
        <f>IF(Tabel1[[#This Row],[% uren 1:]]="","",Tabel1[[#This Row],[% uren 1:]]*Tabel1[[#This Row],[Totale uren:]])</f>
        <v/>
      </c>
      <c r="J171" s="68"/>
      <c r="K171" s="31"/>
      <c r="L171" s="86" t="str">
        <f>IF(Tabel1[[#This Row],[% uren 2:]]="","",Tabel1[[#This Row],[% uren 2:]]*Tabel1[[#This Row],[Totale uren:]])</f>
        <v/>
      </c>
      <c r="M171" s="72"/>
      <c r="N171" s="31"/>
      <c r="O171" s="85" t="str">
        <f>IF(Tabel1[[#This Row],[% uren 3:]]="","",Tabel1[[#This Row],[% uren 3:]]*Tabel1[[#This Row],[Totale uren:]])</f>
        <v/>
      </c>
      <c r="P171" s="138" t="str">
        <f>IF(Tabel1[[#This Row],[Ordernummer:]]="","",SUM(Tabel1[[#This Row],[% uren 1:]],Tabel1[[#This Row],[% uren 2:]],Tabel1[[#This Row],[% uren 3:]]))</f>
        <v/>
      </c>
      <c r="Q171" s="127"/>
      <c r="R171" s="128"/>
      <c r="S171" s="44"/>
      <c r="T171" s="25"/>
    </row>
    <row r="172" spans="2:20" x14ac:dyDescent="0.25">
      <c r="B172" s="7"/>
      <c r="C172" s="10"/>
      <c r="D172" s="10"/>
      <c r="E172" s="72"/>
      <c r="F172" s="73"/>
      <c r="G172" s="72"/>
      <c r="H172" s="31"/>
      <c r="I172" s="85" t="str">
        <f>IF(Tabel1[[#This Row],[% uren 1:]]="","",Tabel1[[#This Row],[% uren 1:]]*Tabel1[[#This Row],[Totale uren:]])</f>
        <v/>
      </c>
      <c r="J172" s="68"/>
      <c r="K172" s="31"/>
      <c r="L172" s="86" t="str">
        <f>IF(Tabel1[[#This Row],[% uren 2:]]="","",Tabel1[[#This Row],[% uren 2:]]*Tabel1[[#This Row],[Totale uren:]])</f>
        <v/>
      </c>
      <c r="M172" s="72"/>
      <c r="N172" s="31"/>
      <c r="O172" s="85" t="str">
        <f>IF(Tabel1[[#This Row],[% uren 3:]]="","",Tabel1[[#This Row],[% uren 3:]]*Tabel1[[#This Row],[Totale uren:]])</f>
        <v/>
      </c>
      <c r="P172" s="138" t="str">
        <f>IF(Tabel1[[#This Row],[Ordernummer:]]="","",SUM(Tabel1[[#This Row],[% uren 1:]],Tabel1[[#This Row],[% uren 2:]],Tabel1[[#This Row],[% uren 3:]]))</f>
        <v/>
      </c>
      <c r="Q172" s="127"/>
      <c r="R172" s="128"/>
      <c r="S172" s="44"/>
      <c r="T172" s="25"/>
    </row>
    <row r="173" spans="2:20" x14ac:dyDescent="0.25">
      <c r="B173" s="7"/>
      <c r="C173" s="10"/>
      <c r="D173" s="10"/>
      <c r="E173" s="72"/>
      <c r="F173" s="73"/>
      <c r="G173" s="72"/>
      <c r="H173" s="31"/>
      <c r="I173" s="85" t="str">
        <f>IF(Tabel1[[#This Row],[% uren 1:]]="","",Tabel1[[#This Row],[% uren 1:]]*Tabel1[[#This Row],[Totale uren:]])</f>
        <v/>
      </c>
      <c r="J173" s="68"/>
      <c r="K173" s="31"/>
      <c r="L173" s="86" t="str">
        <f>IF(Tabel1[[#This Row],[% uren 2:]]="","",Tabel1[[#This Row],[% uren 2:]]*Tabel1[[#This Row],[Totale uren:]])</f>
        <v/>
      </c>
      <c r="M173" s="72"/>
      <c r="N173" s="31"/>
      <c r="O173" s="85" t="str">
        <f>IF(Tabel1[[#This Row],[% uren 3:]]="","",Tabel1[[#This Row],[% uren 3:]]*Tabel1[[#This Row],[Totale uren:]])</f>
        <v/>
      </c>
      <c r="P173" s="138" t="str">
        <f>IF(Tabel1[[#This Row],[Ordernummer:]]="","",SUM(Tabel1[[#This Row],[% uren 1:]],Tabel1[[#This Row],[% uren 2:]],Tabel1[[#This Row],[% uren 3:]]))</f>
        <v/>
      </c>
      <c r="Q173" s="127"/>
      <c r="R173" s="128"/>
      <c r="S173" s="44"/>
      <c r="T173" s="25"/>
    </row>
    <row r="174" spans="2:20" x14ac:dyDescent="0.25">
      <c r="B174" s="7"/>
      <c r="C174" s="10"/>
      <c r="D174" s="10"/>
      <c r="E174" s="72"/>
      <c r="F174" s="73"/>
      <c r="G174" s="72"/>
      <c r="H174" s="31"/>
      <c r="I174" s="85" t="str">
        <f>IF(Tabel1[[#This Row],[% uren 1:]]="","",Tabel1[[#This Row],[% uren 1:]]*Tabel1[[#This Row],[Totale uren:]])</f>
        <v/>
      </c>
      <c r="J174" s="68"/>
      <c r="K174" s="31"/>
      <c r="L174" s="86" t="str">
        <f>IF(Tabel1[[#This Row],[% uren 2:]]="","",Tabel1[[#This Row],[% uren 2:]]*Tabel1[[#This Row],[Totale uren:]])</f>
        <v/>
      </c>
      <c r="M174" s="72"/>
      <c r="N174" s="31"/>
      <c r="O174" s="85" t="str">
        <f>IF(Tabel1[[#This Row],[% uren 3:]]="","",Tabel1[[#This Row],[% uren 3:]]*Tabel1[[#This Row],[Totale uren:]])</f>
        <v/>
      </c>
      <c r="P174" s="138" t="str">
        <f>IF(Tabel1[[#This Row],[Ordernummer:]]="","",SUM(Tabel1[[#This Row],[% uren 1:]],Tabel1[[#This Row],[% uren 2:]],Tabel1[[#This Row],[% uren 3:]]))</f>
        <v/>
      </c>
      <c r="Q174" s="127"/>
      <c r="R174" s="128"/>
      <c r="S174" s="44"/>
      <c r="T174" s="25"/>
    </row>
    <row r="175" spans="2:20" x14ac:dyDescent="0.25">
      <c r="B175" s="7"/>
      <c r="C175" s="10"/>
      <c r="D175" s="10"/>
      <c r="E175" s="72"/>
      <c r="F175" s="73"/>
      <c r="G175" s="72"/>
      <c r="H175" s="31"/>
      <c r="I175" s="85" t="str">
        <f>IF(Tabel1[[#This Row],[% uren 1:]]="","",Tabel1[[#This Row],[% uren 1:]]*Tabel1[[#This Row],[Totale uren:]])</f>
        <v/>
      </c>
      <c r="J175" s="68"/>
      <c r="K175" s="31"/>
      <c r="L175" s="86" t="str">
        <f>IF(Tabel1[[#This Row],[% uren 2:]]="","",Tabel1[[#This Row],[% uren 2:]]*Tabel1[[#This Row],[Totale uren:]])</f>
        <v/>
      </c>
      <c r="M175" s="72"/>
      <c r="N175" s="31"/>
      <c r="O175" s="85" t="str">
        <f>IF(Tabel1[[#This Row],[% uren 3:]]="","",Tabel1[[#This Row],[% uren 3:]]*Tabel1[[#This Row],[Totale uren:]])</f>
        <v/>
      </c>
      <c r="P175" s="138" t="str">
        <f>IF(Tabel1[[#This Row],[Ordernummer:]]="","",SUM(Tabel1[[#This Row],[% uren 1:]],Tabel1[[#This Row],[% uren 2:]],Tabel1[[#This Row],[% uren 3:]]))</f>
        <v/>
      </c>
      <c r="Q175" s="127"/>
      <c r="R175" s="128"/>
      <c r="S175" s="44"/>
      <c r="T175" s="25"/>
    </row>
    <row r="176" spans="2:20" x14ac:dyDescent="0.25">
      <c r="B176" s="7"/>
      <c r="C176" s="10"/>
      <c r="D176" s="10"/>
      <c r="E176" s="72"/>
      <c r="F176" s="73"/>
      <c r="G176" s="72"/>
      <c r="H176" s="31"/>
      <c r="I176" s="85" t="str">
        <f>IF(Tabel1[[#This Row],[% uren 1:]]="","",Tabel1[[#This Row],[% uren 1:]]*Tabel1[[#This Row],[Totale uren:]])</f>
        <v/>
      </c>
      <c r="J176" s="68"/>
      <c r="K176" s="31"/>
      <c r="L176" s="86" t="str">
        <f>IF(Tabel1[[#This Row],[% uren 2:]]="","",Tabel1[[#This Row],[% uren 2:]]*Tabel1[[#This Row],[Totale uren:]])</f>
        <v/>
      </c>
      <c r="M176" s="72"/>
      <c r="N176" s="31"/>
      <c r="O176" s="85" t="str">
        <f>IF(Tabel1[[#This Row],[% uren 3:]]="","",Tabel1[[#This Row],[% uren 3:]]*Tabel1[[#This Row],[Totale uren:]])</f>
        <v/>
      </c>
      <c r="P176" s="138" t="str">
        <f>IF(Tabel1[[#This Row],[Ordernummer:]]="","",SUM(Tabel1[[#This Row],[% uren 1:]],Tabel1[[#This Row],[% uren 2:]],Tabel1[[#This Row],[% uren 3:]]))</f>
        <v/>
      </c>
      <c r="Q176" s="127"/>
      <c r="R176" s="128"/>
      <c r="S176" s="44"/>
      <c r="T176" s="25"/>
    </row>
    <row r="177" spans="2:20" x14ac:dyDescent="0.25">
      <c r="B177" s="7"/>
      <c r="C177" s="10"/>
      <c r="D177" s="10"/>
      <c r="E177" s="72"/>
      <c r="F177" s="73"/>
      <c r="G177" s="72"/>
      <c r="H177" s="31"/>
      <c r="I177" s="85" t="str">
        <f>IF(Tabel1[[#This Row],[% uren 1:]]="","",Tabel1[[#This Row],[% uren 1:]]*Tabel1[[#This Row],[Totale uren:]])</f>
        <v/>
      </c>
      <c r="J177" s="68"/>
      <c r="K177" s="31"/>
      <c r="L177" s="86" t="str">
        <f>IF(Tabel1[[#This Row],[% uren 2:]]="","",Tabel1[[#This Row],[% uren 2:]]*Tabel1[[#This Row],[Totale uren:]])</f>
        <v/>
      </c>
      <c r="M177" s="72"/>
      <c r="N177" s="31"/>
      <c r="O177" s="85" t="str">
        <f>IF(Tabel1[[#This Row],[% uren 3:]]="","",Tabel1[[#This Row],[% uren 3:]]*Tabel1[[#This Row],[Totale uren:]])</f>
        <v/>
      </c>
      <c r="P177" s="138" t="str">
        <f>IF(Tabel1[[#This Row],[Ordernummer:]]="","",SUM(Tabel1[[#This Row],[% uren 1:]],Tabel1[[#This Row],[% uren 2:]],Tabel1[[#This Row],[% uren 3:]]))</f>
        <v/>
      </c>
      <c r="Q177" s="127"/>
      <c r="R177" s="128"/>
      <c r="S177" s="44"/>
      <c r="T177" s="25"/>
    </row>
    <row r="178" spans="2:20" x14ac:dyDescent="0.25">
      <c r="B178" s="7"/>
      <c r="C178" s="10"/>
      <c r="D178" s="10"/>
      <c r="E178" s="72"/>
      <c r="F178" s="73"/>
      <c r="G178" s="72"/>
      <c r="H178" s="31"/>
      <c r="I178" s="85" t="str">
        <f>IF(Tabel1[[#This Row],[% uren 1:]]="","",Tabel1[[#This Row],[% uren 1:]]*Tabel1[[#This Row],[Totale uren:]])</f>
        <v/>
      </c>
      <c r="J178" s="68"/>
      <c r="K178" s="31"/>
      <c r="L178" s="86" t="str">
        <f>IF(Tabel1[[#This Row],[% uren 2:]]="","",Tabel1[[#This Row],[% uren 2:]]*Tabel1[[#This Row],[Totale uren:]])</f>
        <v/>
      </c>
      <c r="M178" s="72"/>
      <c r="N178" s="31"/>
      <c r="O178" s="85" t="str">
        <f>IF(Tabel1[[#This Row],[% uren 3:]]="","",Tabel1[[#This Row],[% uren 3:]]*Tabel1[[#This Row],[Totale uren:]])</f>
        <v/>
      </c>
      <c r="P178" s="138" t="str">
        <f>IF(Tabel1[[#This Row],[Ordernummer:]]="","",SUM(Tabel1[[#This Row],[% uren 1:]],Tabel1[[#This Row],[% uren 2:]],Tabel1[[#This Row],[% uren 3:]]))</f>
        <v/>
      </c>
      <c r="Q178" s="127"/>
      <c r="R178" s="128"/>
      <c r="S178" s="44"/>
      <c r="T178" s="25"/>
    </row>
    <row r="179" spans="2:20" x14ac:dyDescent="0.25">
      <c r="B179" s="7"/>
      <c r="C179" s="10"/>
      <c r="D179" s="10"/>
      <c r="E179" s="72"/>
      <c r="F179" s="73"/>
      <c r="G179" s="72"/>
      <c r="H179" s="31"/>
      <c r="I179" s="85" t="str">
        <f>IF(Tabel1[[#This Row],[% uren 1:]]="","",Tabel1[[#This Row],[% uren 1:]]*Tabel1[[#This Row],[Totale uren:]])</f>
        <v/>
      </c>
      <c r="J179" s="68"/>
      <c r="K179" s="31"/>
      <c r="L179" s="86" t="str">
        <f>IF(Tabel1[[#This Row],[% uren 2:]]="","",Tabel1[[#This Row],[% uren 2:]]*Tabel1[[#This Row],[Totale uren:]])</f>
        <v/>
      </c>
      <c r="M179" s="72"/>
      <c r="N179" s="31"/>
      <c r="O179" s="85" t="str">
        <f>IF(Tabel1[[#This Row],[% uren 3:]]="","",Tabel1[[#This Row],[% uren 3:]]*Tabel1[[#This Row],[Totale uren:]])</f>
        <v/>
      </c>
      <c r="P179" s="138" t="str">
        <f>IF(Tabel1[[#This Row],[Ordernummer:]]="","",SUM(Tabel1[[#This Row],[% uren 1:]],Tabel1[[#This Row],[% uren 2:]],Tabel1[[#This Row],[% uren 3:]]))</f>
        <v/>
      </c>
      <c r="Q179" s="127"/>
      <c r="R179" s="128"/>
      <c r="S179" s="44"/>
      <c r="T179" s="25"/>
    </row>
    <row r="180" spans="2:20" x14ac:dyDescent="0.25">
      <c r="B180" s="7"/>
      <c r="C180" s="10"/>
      <c r="D180" s="10"/>
      <c r="E180" s="72"/>
      <c r="F180" s="73"/>
      <c r="G180" s="72"/>
      <c r="H180" s="31"/>
      <c r="I180" s="85" t="str">
        <f>IF(Tabel1[[#This Row],[% uren 1:]]="","",Tabel1[[#This Row],[% uren 1:]]*Tabel1[[#This Row],[Totale uren:]])</f>
        <v/>
      </c>
      <c r="J180" s="68"/>
      <c r="K180" s="31"/>
      <c r="L180" s="86" t="str">
        <f>IF(Tabel1[[#This Row],[% uren 2:]]="","",Tabel1[[#This Row],[% uren 2:]]*Tabel1[[#This Row],[Totale uren:]])</f>
        <v/>
      </c>
      <c r="M180" s="72"/>
      <c r="N180" s="31"/>
      <c r="O180" s="85" t="str">
        <f>IF(Tabel1[[#This Row],[% uren 3:]]="","",Tabel1[[#This Row],[% uren 3:]]*Tabel1[[#This Row],[Totale uren:]])</f>
        <v/>
      </c>
      <c r="P180" s="138" t="str">
        <f>IF(Tabel1[[#This Row],[Ordernummer:]]="","",SUM(Tabel1[[#This Row],[% uren 1:]],Tabel1[[#This Row],[% uren 2:]],Tabel1[[#This Row],[% uren 3:]]))</f>
        <v/>
      </c>
      <c r="Q180" s="127"/>
      <c r="R180" s="128"/>
      <c r="S180" s="44"/>
      <c r="T180" s="25"/>
    </row>
    <row r="181" spans="2:20" x14ac:dyDescent="0.25">
      <c r="B181" s="7"/>
      <c r="C181" s="10"/>
      <c r="D181" s="10"/>
      <c r="E181" s="72"/>
      <c r="F181" s="73"/>
      <c r="G181" s="72"/>
      <c r="H181" s="31"/>
      <c r="I181" s="85" t="str">
        <f>IF(Tabel1[[#This Row],[% uren 1:]]="","",Tabel1[[#This Row],[% uren 1:]]*Tabel1[[#This Row],[Totale uren:]])</f>
        <v/>
      </c>
      <c r="J181" s="68"/>
      <c r="K181" s="31"/>
      <c r="L181" s="86" t="str">
        <f>IF(Tabel1[[#This Row],[% uren 2:]]="","",Tabel1[[#This Row],[% uren 2:]]*Tabel1[[#This Row],[Totale uren:]])</f>
        <v/>
      </c>
      <c r="M181" s="72"/>
      <c r="N181" s="31"/>
      <c r="O181" s="85" t="str">
        <f>IF(Tabel1[[#This Row],[% uren 3:]]="","",Tabel1[[#This Row],[% uren 3:]]*Tabel1[[#This Row],[Totale uren:]])</f>
        <v/>
      </c>
      <c r="P181" s="138" t="str">
        <f>IF(Tabel1[[#This Row],[Ordernummer:]]="","",SUM(Tabel1[[#This Row],[% uren 1:]],Tabel1[[#This Row],[% uren 2:]],Tabel1[[#This Row],[% uren 3:]]))</f>
        <v/>
      </c>
      <c r="Q181" s="127"/>
      <c r="R181" s="128"/>
      <c r="S181" s="44"/>
      <c r="T181" s="25"/>
    </row>
    <row r="182" spans="2:20" x14ac:dyDescent="0.25">
      <c r="B182" s="7"/>
      <c r="C182" s="10"/>
      <c r="D182" s="10"/>
      <c r="E182" s="72"/>
      <c r="F182" s="73"/>
      <c r="G182" s="72"/>
      <c r="H182" s="31"/>
      <c r="I182" s="85" t="str">
        <f>IF(Tabel1[[#This Row],[% uren 1:]]="","",Tabel1[[#This Row],[% uren 1:]]*Tabel1[[#This Row],[Totale uren:]])</f>
        <v/>
      </c>
      <c r="J182" s="68"/>
      <c r="K182" s="31"/>
      <c r="L182" s="86" t="str">
        <f>IF(Tabel1[[#This Row],[% uren 2:]]="","",Tabel1[[#This Row],[% uren 2:]]*Tabel1[[#This Row],[Totale uren:]])</f>
        <v/>
      </c>
      <c r="M182" s="72"/>
      <c r="N182" s="31"/>
      <c r="O182" s="85" t="str">
        <f>IF(Tabel1[[#This Row],[% uren 3:]]="","",Tabel1[[#This Row],[% uren 3:]]*Tabel1[[#This Row],[Totale uren:]])</f>
        <v/>
      </c>
      <c r="P182" s="138" t="str">
        <f>IF(Tabel1[[#This Row],[Ordernummer:]]="","",SUM(Tabel1[[#This Row],[% uren 1:]],Tabel1[[#This Row],[% uren 2:]],Tabel1[[#This Row],[% uren 3:]]))</f>
        <v/>
      </c>
      <c r="Q182" s="127"/>
      <c r="R182" s="128"/>
      <c r="S182" s="44"/>
      <c r="T182" s="25"/>
    </row>
    <row r="183" spans="2:20" x14ac:dyDescent="0.25">
      <c r="B183" s="7"/>
      <c r="C183" s="10"/>
      <c r="D183" s="10"/>
      <c r="E183" s="72"/>
      <c r="F183" s="73"/>
      <c r="G183" s="72"/>
      <c r="H183" s="31"/>
      <c r="I183" s="85" t="str">
        <f>IF(Tabel1[[#This Row],[% uren 1:]]="","",Tabel1[[#This Row],[% uren 1:]]*Tabel1[[#This Row],[Totale uren:]])</f>
        <v/>
      </c>
      <c r="J183" s="68"/>
      <c r="K183" s="31"/>
      <c r="L183" s="86" t="str">
        <f>IF(Tabel1[[#This Row],[% uren 2:]]="","",Tabel1[[#This Row],[% uren 2:]]*Tabel1[[#This Row],[Totale uren:]])</f>
        <v/>
      </c>
      <c r="M183" s="72"/>
      <c r="N183" s="31"/>
      <c r="O183" s="85" t="str">
        <f>IF(Tabel1[[#This Row],[% uren 3:]]="","",Tabel1[[#This Row],[% uren 3:]]*Tabel1[[#This Row],[Totale uren:]])</f>
        <v/>
      </c>
      <c r="P183" s="138" t="str">
        <f>IF(Tabel1[[#This Row],[Ordernummer:]]="","",SUM(Tabel1[[#This Row],[% uren 1:]],Tabel1[[#This Row],[% uren 2:]],Tabel1[[#This Row],[% uren 3:]]))</f>
        <v/>
      </c>
      <c r="Q183" s="127"/>
      <c r="R183" s="128"/>
      <c r="S183" s="44"/>
      <c r="T183" s="25"/>
    </row>
    <row r="184" spans="2:20" x14ac:dyDescent="0.25">
      <c r="B184" s="7"/>
      <c r="C184" s="10"/>
      <c r="D184" s="10"/>
      <c r="E184" s="72"/>
      <c r="F184" s="73"/>
      <c r="G184" s="72"/>
      <c r="H184" s="31"/>
      <c r="I184" s="85" t="str">
        <f>IF(Tabel1[[#This Row],[% uren 1:]]="","",Tabel1[[#This Row],[% uren 1:]]*Tabel1[[#This Row],[Totale uren:]])</f>
        <v/>
      </c>
      <c r="J184" s="68"/>
      <c r="K184" s="31"/>
      <c r="L184" s="86" t="str">
        <f>IF(Tabel1[[#This Row],[% uren 2:]]="","",Tabel1[[#This Row],[% uren 2:]]*Tabel1[[#This Row],[Totale uren:]])</f>
        <v/>
      </c>
      <c r="M184" s="72"/>
      <c r="N184" s="31"/>
      <c r="O184" s="85" t="str">
        <f>IF(Tabel1[[#This Row],[% uren 3:]]="","",Tabel1[[#This Row],[% uren 3:]]*Tabel1[[#This Row],[Totale uren:]])</f>
        <v/>
      </c>
      <c r="P184" s="138" t="str">
        <f>IF(Tabel1[[#This Row],[Ordernummer:]]="","",SUM(Tabel1[[#This Row],[% uren 1:]],Tabel1[[#This Row],[% uren 2:]],Tabel1[[#This Row],[% uren 3:]]))</f>
        <v/>
      </c>
      <c r="Q184" s="127"/>
      <c r="R184" s="128"/>
      <c r="S184" s="44"/>
      <c r="T184" s="25"/>
    </row>
    <row r="185" spans="2:20" x14ac:dyDescent="0.25">
      <c r="B185" s="7"/>
      <c r="C185" s="10"/>
      <c r="D185" s="10"/>
      <c r="E185" s="72"/>
      <c r="F185" s="73"/>
      <c r="G185" s="72"/>
      <c r="H185" s="31"/>
      <c r="I185" s="85" t="str">
        <f>IF(Tabel1[[#This Row],[% uren 1:]]="","",Tabel1[[#This Row],[% uren 1:]]*Tabel1[[#This Row],[Totale uren:]])</f>
        <v/>
      </c>
      <c r="J185" s="68"/>
      <c r="K185" s="31"/>
      <c r="L185" s="86" t="str">
        <f>IF(Tabel1[[#This Row],[% uren 2:]]="","",Tabel1[[#This Row],[% uren 2:]]*Tabel1[[#This Row],[Totale uren:]])</f>
        <v/>
      </c>
      <c r="M185" s="72"/>
      <c r="N185" s="31"/>
      <c r="O185" s="85" t="str">
        <f>IF(Tabel1[[#This Row],[% uren 3:]]="","",Tabel1[[#This Row],[% uren 3:]]*Tabel1[[#This Row],[Totale uren:]])</f>
        <v/>
      </c>
      <c r="P185" s="138" t="str">
        <f>IF(Tabel1[[#This Row],[Ordernummer:]]="","",SUM(Tabel1[[#This Row],[% uren 1:]],Tabel1[[#This Row],[% uren 2:]],Tabel1[[#This Row],[% uren 3:]]))</f>
        <v/>
      </c>
      <c r="Q185" s="127"/>
      <c r="R185" s="128"/>
      <c r="S185" s="44"/>
      <c r="T185" s="25"/>
    </row>
    <row r="186" spans="2:20" x14ac:dyDescent="0.25">
      <c r="B186" s="7"/>
      <c r="C186" s="10"/>
      <c r="D186" s="10"/>
      <c r="E186" s="72"/>
      <c r="F186" s="73"/>
      <c r="G186" s="72"/>
      <c r="H186" s="31"/>
      <c r="I186" s="85" t="str">
        <f>IF(Tabel1[[#This Row],[% uren 1:]]="","",Tabel1[[#This Row],[% uren 1:]]*Tabel1[[#This Row],[Totale uren:]])</f>
        <v/>
      </c>
      <c r="J186" s="68"/>
      <c r="K186" s="31"/>
      <c r="L186" s="86" t="str">
        <f>IF(Tabel1[[#This Row],[% uren 2:]]="","",Tabel1[[#This Row],[% uren 2:]]*Tabel1[[#This Row],[Totale uren:]])</f>
        <v/>
      </c>
      <c r="M186" s="72"/>
      <c r="N186" s="31"/>
      <c r="O186" s="85" t="str">
        <f>IF(Tabel1[[#This Row],[% uren 3:]]="","",Tabel1[[#This Row],[% uren 3:]]*Tabel1[[#This Row],[Totale uren:]])</f>
        <v/>
      </c>
      <c r="P186" s="138" t="str">
        <f>IF(Tabel1[[#This Row],[Ordernummer:]]="","",SUM(Tabel1[[#This Row],[% uren 1:]],Tabel1[[#This Row],[% uren 2:]],Tabel1[[#This Row],[% uren 3:]]))</f>
        <v/>
      </c>
      <c r="Q186" s="127"/>
      <c r="R186" s="128"/>
      <c r="S186" s="44"/>
      <c r="T186" s="25"/>
    </row>
    <row r="187" spans="2:20" x14ac:dyDescent="0.25">
      <c r="B187" s="7"/>
      <c r="C187" s="10"/>
      <c r="D187" s="10"/>
      <c r="E187" s="72"/>
      <c r="F187" s="73"/>
      <c r="G187" s="72"/>
      <c r="H187" s="31"/>
      <c r="I187" s="85" t="str">
        <f>IF(Tabel1[[#This Row],[% uren 1:]]="","",Tabel1[[#This Row],[% uren 1:]]*Tabel1[[#This Row],[Totale uren:]])</f>
        <v/>
      </c>
      <c r="J187" s="68"/>
      <c r="K187" s="31"/>
      <c r="L187" s="86" t="str">
        <f>IF(Tabel1[[#This Row],[% uren 2:]]="","",Tabel1[[#This Row],[% uren 2:]]*Tabel1[[#This Row],[Totale uren:]])</f>
        <v/>
      </c>
      <c r="M187" s="72"/>
      <c r="N187" s="31"/>
      <c r="O187" s="85" t="str">
        <f>IF(Tabel1[[#This Row],[% uren 3:]]="","",Tabel1[[#This Row],[% uren 3:]]*Tabel1[[#This Row],[Totale uren:]])</f>
        <v/>
      </c>
      <c r="P187" s="138" t="str">
        <f>IF(Tabel1[[#This Row],[Ordernummer:]]="","",SUM(Tabel1[[#This Row],[% uren 1:]],Tabel1[[#This Row],[% uren 2:]],Tabel1[[#This Row],[% uren 3:]]))</f>
        <v/>
      </c>
      <c r="Q187" s="127"/>
      <c r="R187" s="128"/>
      <c r="S187" s="44"/>
      <c r="T187" s="25"/>
    </row>
    <row r="188" spans="2:20" x14ac:dyDescent="0.25">
      <c r="B188" s="7"/>
      <c r="C188" s="10"/>
      <c r="D188" s="10"/>
      <c r="E188" s="72"/>
      <c r="F188" s="73"/>
      <c r="G188" s="72"/>
      <c r="H188" s="31"/>
      <c r="I188" s="85" t="str">
        <f>IF(Tabel1[[#This Row],[% uren 1:]]="","",Tabel1[[#This Row],[% uren 1:]]*Tabel1[[#This Row],[Totale uren:]])</f>
        <v/>
      </c>
      <c r="J188" s="68"/>
      <c r="K188" s="31"/>
      <c r="L188" s="86" t="str">
        <f>IF(Tabel1[[#This Row],[% uren 2:]]="","",Tabel1[[#This Row],[% uren 2:]]*Tabel1[[#This Row],[Totale uren:]])</f>
        <v/>
      </c>
      <c r="M188" s="72"/>
      <c r="N188" s="31"/>
      <c r="O188" s="85" t="str">
        <f>IF(Tabel1[[#This Row],[% uren 3:]]="","",Tabel1[[#This Row],[% uren 3:]]*Tabel1[[#This Row],[Totale uren:]])</f>
        <v/>
      </c>
      <c r="P188" s="138" t="str">
        <f>IF(Tabel1[[#This Row],[Ordernummer:]]="","",SUM(Tabel1[[#This Row],[% uren 1:]],Tabel1[[#This Row],[% uren 2:]],Tabel1[[#This Row],[% uren 3:]]))</f>
        <v/>
      </c>
      <c r="Q188" s="127"/>
      <c r="R188" s="128"/>
      <c r="S188" s="44"/>
      <c r="T188" s="25"/>
    </row>
    <row r="189" spans="2:20" x14ac:dyDescent="0.25">
      <c r="B189" s="7"/>
      <c r="C189" s="10"/>
      <c r="D189" s="10"/>
      <c r="E189" s="72"/>
      <c r="F189" s="73"/>
      <c r="G189" s="72"/>
      <c r="H189" s="31"/>
      <c r="I189" s="85" t="str">
        <f>IF(Tabel1[[#This Row],[% uren 1:]]="","",Tabel1[[#This Row],[% uren 1:]]*Tabel1[[#This Row],[Totale uren:]])</f>
        <v/>
      </c>
      <c r="J189" s="68"/>
      <c r="K189" s="31"/>
      <c r="L189" s="86" t="str">
        <f>IF(Tabel1[[#This Row],[% uren 2:]]="","",Tabel1[[#This Row],[% uren 2:]]*Tabel1[[#This Row],[Totale uren:]])</f>
        <v/>
      </c>
      <c r="M189" s="72"/>
      <c r="N189" s="31"/>
      <c r="O189" s="85" t="str">
        <f>IF(Tabel1[[#This Row],[% uren 3:]]="","",Tabel1[[#This Row],[% uren 3:]]*Tabel1[[#This Row],[Totale uren:]])</f>
        <v/>
      </c>
      <c r="P189" s="138" t="str">
        <f>IF(Tabel1[[#This Row],[Ordernummer:]]="","",SUM(Tabel1[[#This Row],[% uren 1:]],Tabel1[[#This Row],[% uren 2:]],Tabel1[[#This Row],[% uren 3:]]))</f>
        <v/>
      </c>
      <c r="Q189" s="127"/>
      <c r="R189" s="128"/>
      <c r="S189" s="44"/>
      <c r="T189" s="25"/>
    </row>
    <row r="190" spans="2:20" x14ac:dyDescent="0.25">
      <c r="B190" s="7"/>
      <c r="C190" s="10"/>
      <c r="D190" s="10"/>
      <c r="E190" s="72"/>
      <c r="F190" s="73"/>
      <c r="G190" s="72"/>
      <c r="H190" s="31"/>
      <c r="I190" s="85" t="str">
        <f>IF(Tabel1[[#This Row],[% uren 1:]]="","",Tabel1[[#This Row],[% uren 1:]]*Tabel1[[#This Row],[Totale uren:]])</f>
        <v/>
      </c>
      <c r="J190" s="68"/>
      <c r="K190" s="31"/>
      <c r="L190" s="86" t="str">
        <f>IF(Tabel1[[#This Row],[% uren 2:]]="","",Tabel1[[#This Row],[% uren 2:]]*Tabel1[[#This Row],[Totale uren:]])</f>
        <v/>
      </c>
      <c r="M190" s="72"/>
      <c r="N190" s="31"/>
      <c r="O190" s="85" t="str">
        <f>IF(Tabel1[[#This Row],[% uren 3:]]="","",Tabel1[[#This Row],[% uren 3:]]*Tabel1[[#This Row],[Totale uren:]])</f>
        <v/>
      </c>
      <c r="P190" s="138" t="str">
        <f>IF(Tabel1[[#This Row],[Ordernummer:]]="","",SUM(Tabel1[[#This Row],[% uren 1:]],Tabel1[[#This Row],[% uren 2:]],Tabel1[[#This Row],[% uren 3:]]))</f>
        <v/>
      </c>
      <c r="Q190" s="127"/>
      <c r="R190" s="128"/>
      <c r="S190" s="44"/>
      <c r="T190" s="25"/>
    </row>
    <row r="191" spans="2:20" x14ac:dyDescent="0.25">
      <c r="B191" s="7"/>
      <c r="C191" s="10"/>
      <c r="D191" s="10"/>
      <c r="E191" s="72"/>
      <c r="F191" s="73"/>
      <c r="G191" s="72"/>
      <c r="H191" s="31"/>
      <c r="I191" s="85" t="str">
        <f>IF(Tabel1[[#This Row],[% uren 1:]]="","",Tabel1[[#This Row],[% uren 1:]]*Tabel1[[#This Row],[Totale uren:]])</f>
        <v/>
      </c>
      <c r="J191" s="68"/>
      <c r="K191" s="31"/>
      <c r="L191" s="86" t="str">
        <f>IF(Tabel1[[#This Row],[% uren 2:]]="","",Tabel1[[#This Row],[% uren 2:]]*Tabel1[[#This Row],[Totale uren:]])</f>
        <v/>
      </c>
      <c r="M191" s="72"/>
      <c r="N191" s="31"/>
      <c r="O191" s="85" t="str">
        <f>IF(Tabel1[[#This Row],[% uren 3:]]="","",Tabel1[[#This Row],[% uren 3:]]*Tabel1[[#This Row],[Totale uren:]])</f>
        <v/>
      </c>
      <c r="P191" s="138" t="str">
        <f>IF(Tabel1[[#This Row],[Ordernummer:]]="","",SUM(Tabel1[[#This Row],[% uren 1:]],Tabel1[[#This Row],[% uren 2:]],Tabel1[[#This Row],[% uren 3:]]))</f>
        <v/>
      </c>
      <c r="Q191" s="127"/>
      <c r="R191" s="128"/>
      <c r="S191" s="44"/>
      <c r="T191" s="25"/>
    </row>
    <row r="192" spans="2:20" x14ac:dyDescent="0.25">
      <c r="B192" s="7"/>
      <c r="C192" s="10"/>
      <c r="D192" s="10"/>
      <c r="E192" s="72"/>
      <c r="F192" s="73"/>
      <c r="G192" s="72"/>
      <c r="H192" s="31"/>
      <c r="I192" s="85" t="str">
        <f>IF(Tabel1[[#This Row],[% uren 1:]]="","",Tabel1[[#This Row],[% uren 1:]]*Tabel1[[#This Row],[Totale uren:]])</f>
        <v/>
      </c>
      <c r="J192" s="68"/>
      <c r="K192" s="31"/>
      <c r="L192" s="86" t="str">
        <f>IF(Tabel1[[#This Row],[% uren 2:]]="","",Tabel1[[#This Row],[% uren 2:]]*Tabel1[[#This Row],[Totale uren:]])</f>
        <v/>
      </c>
      <c r="M192" s="72"/>
      <c r="N192" s="31"/>
      <c r="O192" s="85" t="str">
        <f>IF(Tabel1[[#This Row],[% uren 3:]]="","",Tabel1[[#This Row],[% uren 3:]]*Tabel1[[#This Row],[Totale uren:]])</f>
        <v/>
      </c>
      <c r="P192" s="138" t="str">
        <f>IF(Tabel1[[#This Row],[Ordernummer:]]="","",SUM(Tabel1[[#This Row],[% uren 1:]],Tabel1[[#This Row],[% uren 2:]],Tabel1[[#This Row],[% uren 3:]]))</f>
        <v/>
      </c>
      <c r="Q192" s="127"/>
      <c r="R192" s="128"/>
      <c r="S192" s="44"/>
      <c r="T192" s="25"/>
    </row>
    <row r="193" spans="2:20" x14ac:dyDescent="0.25">
      <c r="B193" s="7"/>
      <c r="C193" s="10"/>
      <c r="D193" s="10"/>
      <c r="E193" s="72"/>
      <c r="F193" s="73"/>
      <c r="G193" s="72"/>
      <c r="H193" s="31"/>
      <c r="I193" s="85" t="str">
        <f>IF(Tabel1[[#This Row],[% uren 1:]]="","",Tabel1[[#This Row],[% uren 1:]]*Tabel1[[#This Row],[Totale uren:]])</f>
        <v/>
      </c>
      <c r="J193" s="68"/>
      <c r="K193" s="31"/>
      <c r="L193" s="86" t="str">
        <f>IF(Tabel1[[#This Row],[% uren 2:]]="","",Tabel1[[#This Row],[% uren 2:]]*Tabel1[[#This Row],[Totale uren:]])</f>
        <v/>
      </c>
      <c r="M193" s="72"/>
      <c r="N193" s="31"/>
      <c r="O193" s="85" t="str">
        <f>IF(Tabel1[[#This Row],[% uren 3:]]="","",Tabel1[[#This Row],[% uren 3:]]*Tabel1[[#This Row],[Totale uren:]])</f>
        <v/>
      </c>
      <c r="P193" s="138" t="str">
        <f>IF(Tabel1[[#This Row],[Ordernummer:]]="","",SUM(Tabel1[[#This Row],[% uren 1:]],Tabel1[[#This Row],[% uren 2:]],Tabel1[[#This Row],[% uren 3:]]))</f>
        <v/>
      </c>
      <c r="Q193" s="127"/>
      <c r="R193" s="128"/>
      <c r="S193" s="44"/>
      <c r="T193" s="25"/>
    </row>
    <row r="194" spans="2:20" x14ac:dyDescent="0.25">
      <c r="B194" s="7"/>
      <c r="C194" s="10"/>
      <c r="D194" s="10"/>
      <c r="E194" s="72"/>
      <c r="F194" s="73"/>
      <c r="G194" s="72"/>
      <c r="H194" s="31"/>
      <c r="I194" s="85" t="str">
        <f>IF(Tabel1[[#This Row],[% uren 1:]]="","",Tabel1[[#This Row],[% uren 1:]]*Tabel1[[#This Row],[Totale uren:]])</f>
        <v/>
      </c>
      <c r="J194" s="68"/>
      <c r="K194" s="31"/>
      <c r="L194" s="86" t="str">
        <f>IF(Tabel1[[#This Row],[% uren 2:]]="","",Tabel1[[#This Row],[% uren 2:]]*Tabel1[[#This Row],[Totale uren:]])</f>
        <v/>
      </c>
      <c r="M194" s="72"/>
      <c r="N194" s="31"/>
      <c r="O194" s="85" t="str">
        <f>IF(Tabel1[[#This Row],[% uren 3:]]="","",Tabel1[[#This Row],[% uren 3:]]*Tabel1[[#This Row],[Totale uren:]])</f>
        <v/>
      </c>
      <c r="P194" s="138" t="str">
        <f>IF(Tabel1[[#This Row],[Ordernummer:]]="","",SUM(Tabel1[[#This Row],[% uren 1:]],Tabel1[[#This Row],[% uren 2:]],Tabel1[[#This Row],[% uren 3:]]))</f>
        <v/>
      </c>
      <c r="Q194" s="127"/>
      <c r="R194" s="128"/>
      <c r="S194" s="44"/>
      <c r="T194" s="25"/>
    </row>
    <row r="195" spans="2:20" x14ac:dyDescent="0.25">
      <c r="B195" s="7"/>
      <c r="C195" s="10"/>
      <c r="D195" s="10"/>
      <c r="E195" s="72"/>
      <c r="F195" s="73"/>
      <c r="G195" s="72"/>
      <c r="H195" s="31"/>
      <c r="I195" s="85" t="str">
        <f>IF(Tabel1[[#This Row],[% uren 1:]]="","",Tabel1[[#This Row],[% uren 1:]]*Tabel1[[#This Row],[Totale uren:]])</f>
        <v/>
      </c>
      <c r="J195" s="68"/>
      <c r="K195" s="31"/>
      <c r="L195" s="86" t="str">
        <f>IF(Tabel1[[#This Row],[% uren 2:]]="","",Tabel1[[#This Row],[% uren 2:]]*Tabel1[[#This Row],[Totale uren:]])</f>
        <v/>
      </c>
      <c r="M195" s="72"/>
      <c r="N195" s="31"/>
      <c r="O195" s="85" t="str">
        <f>IF(Tabel1[[#This Row],[% uren 3:]]="","",Tabel1[[#This Row],[% uren 3:]]*Tabel1[[#This Row],[Totale uren:]])</f>
        <v/>
      </c>
      <c r="P195" s="138" t="str">
        <f>IF(Tabel1[[#This Row],[Ordernummer:]]="","",SUM(Tabel1[[#This Row],[% uren 1:]],Tabel1[[#This Row],[% uren 2:]],Tabel1[[#This Row],[% uren 3:]]))</f>
        <v/>
      </c>
      <c r="Q195" s="127"/>
      <c r="R195" s="128"/>
      <c r="S195" s="44"/>
      <c r="T195" s="25"/>
    </row>
    <row r="196" spans="2:20" x14ac:dyDescent="0.25">
      <c r="B196" s="7"/>
      <c r="C196" s="10"/>
      <c r="D196" s="10"/>
      <c r="E196" s="72"/>
      <c r="F196" s="73"/>
      <c r="G196" s="72"/>
      <c r="H196" s="31"/>
      <c r="I196" s="85" t="str">
        <f>IF(Tabel1[[#This Row],[% uren 1:]]="","",Tabel1[[#This Row],[% uren 1:]]*Tabel1[[#This Row],[Totale uren:]])</f>
        <v/>
      </c>
      <c r="J196" s="68"/>
      <c r="K196" s="31"/>
      <c r="L196" s="86" t="str">
        <f>IF(Tabel1[[#This Row],[% uren 2:]]="","",Tabel1[[#This Row],[% uren 2:]]*Tabel1[[#This Row],[Totale uren:]])</f>
        <v/>
      </c>
      <c r="M196" s="72"/>
      <c r="N196" s="31"/>
      <c r="O196" s="85" t="str">
        <f>IF(Tabel1[[#This Row],[% uren 3:]]="","",Tabel1[[#This Row],[% uren 3:]]*Tabel1[[#This Row],[Totale uren:]])</f>
        <v/>
      </c>
      <c r="P196" s="138" t="str">
        <f>IF(Tabel1[[#This Row],[Ordernummer:]]="","",SUM(Tabel1[[#This Row],[% uren 1:]],Tabel1[[#This Row],[% uren 2:]],Tabel1[[#This Row],[% uren 3:]]))</f>
        <v/>
      </c>
      <c r="Q196" s="127"/>
      <c r="R196" s="128"/>
      <c r="S196" s="44"/>
      <c r="T196" s="25"/>
    </row>
    <row r="197" spans="2:20" x14ac:dyDescent="0.25">
      <c r="B197" s="7"/>
      <c r="C197" s="10"/>
      <c r="D197" s="10"/>
      <c r="E197" s="72"/>
      <c r="F197" s="73"/>
      <c r="G197" s="72"/>
      <c r="H197" s="31"/>
      <c r="I197" s="85" t="str">
        <f>IF(Tabel1[[#This Row],[% uren 1:]]="","",Tabel1[[#This Row],[% uren 1:]]*Tabel1[[#This Row],[Totale uren:]])</f>
        <v/>
      </c>
      <c r="J197" s="68"/>
      <c r="K197" s="31"/>
      <c r="L197" s="86" t="str">
        <f>IF(Tabel1[[#This Row],[% uren 2:]]="","",Tabel1[[#This Row],[% uren 2:]]*Tabel1[[#This Row],[Totale uren:]])</f>
        <v/>
      </c>
      <c r="M197" s="72"/>
      <c r="N197" s="31"/>
      <c r="O197" s="85" t="str">
        <f>IF(Tabel1[[#This Row],[% uren 3:]]="","",Tabel1[[#This Row],[% uren 3:]]*Tabel1[[#This Row],[Totale uren:]])</f>
        <v/>
      </c>
      <c r="P197" s="138" t="str">
        <f>IF(Tabel1[[#This Row],[Ordernummer:]]="","",SUM(Tabel1[[#This Row],[% uren 1:]],Tabel1[[#This Row],[% uren 2:]],Tabel1[[#This Row],[% uren 3:]]))</f>
        <v/>
      </c>
      <c r="Q197" s="127"/>
      <c r="R197" s="128"/>
      <c r="S197" s="44"/>
      <c r="T197" s="25"/>
    </row>
    <row r="198" spans="2:20" x14ac:dyDescent="0.25">
      <c r="B198" s="7"/>
      <c r="C198" s="10"/>
      <c r="D198" s="10"/>
      <c r="E198" s="72"/>
      <c r="F198" s="73"/>
      <c r="G198" s="72"/>
      <c r="H198" s="31"/>
      <c r="I198" s="85" t="str">
        <f>IF(Tabel1[[#This Row],[% uren 1:]]="","",Tabel1[[#This Row],[% uren 1:]]*Tabel1[[#This Row],[Totale uren:]])</f>
        <v/>
      </c>
      <c r="J198" s="68"/>
      <c r="K198" s="31"/>
      <c r="L198" s="86" t="str">
        <f>IF(Tabel1[[#This Row],[% uren 2:]]="","",Tabel1[[#This Row],[% uren 2:]]*Tabel1[[#This Row],[Totale uren:]])</f>
        <v/>
      </c>
      <c r="M198" s="72"/>
      <c r="N198" s="31"/>
      <c r="O198" s="85" t="str">
        <f>IF(Tabel1[[#This Row],[% uren 3:]]="","",Tabel1[[#This Row],[% uren 3:]]*Tabel1[[#This Row],[Totale uren:]])</f>
        <v/>
      </c>
      <c r="P198" s="138" t="str">
        <f>IF(Tabel1[[#This Row],[Ordernummer:]]="","",SUM(Tabel1[[#This Row],[% uren 1:]],Tabel1[[#This Row],[% uren 2:]],Tabel1[[#This Row],[% uren 3:]]))</f>
        <v/>
      </c>
      <c r="Q198" s="127"/>
      <c r="R198" s="128"/>
      <c r="S198" s="44"/>
      <c r="T198" s="25"/>
    </row>
    <row r="199" spans="2:20" x14ac:dyDescent="0.25">
      <c r="B199" s="7"/>
      <c r="C199" s="10"/>
      <c r="D199" s="10"/>
      <c r="E199" s="72"/>
      <c r="F199" s="73"/>
      <c r="G199" s="72"/>
      <c r="H199" s="31"/>
      <c r="I199" s="85" t="str">
        <f>IF(Tabel1[[#This Row],[% uren 1:]]="","",Tabel1[[#This Row],[% uren 1:]]*Tabel1[[#This Row],[Totale uren:]])</f>
        <v/>
      </c>
      <c r="J199" s="68"/>
      <c r="K199" s="31"/>
      <c r="L199" s="86" t="str">
        <f>IF(Tabel1[[#This Row],[% uren 2:]]="","",Tabel1[[#This Row],[% uren 2:]]*Tabel1[[#This Row],[Totale uren:]])</f>
        <v/>
      </c>
      <c r="M199" s="72"/>
      <c r="N199" s="31"/>
      <c r="O199" s="85" t="str">
        <f>IF(Tabel1[[#This Row],[% uren 3:]]="","",Tabel1[[#This Row],[% uren 3:]]*Tabel1[[#This Row],[Totale uren:]])</f>
        <v/>
      </c>
      <c r="P199" s="138" t="str">
        <f>IF(Tabel1[[#This Row],[Ordernummer:]]="","",SUM(Tabel1[[#This Row],[% uren 1:]],Tabel1[[#This Row],[% uren 2:]],Tabel1[[#This Row],[% uren 3:]]))</f>
        <v/>
      </c>
      <c r="Q199" s="127"/>
      <c r="R199" s="128"/>
      <c r="S199" s="44"/>
      <c r="T199" s="25"/>
    </row>
    <row r="200" spans="2:20" x14ac:dyDescent="0.25">
      <c r="B200" s="7"/>
      <c r="C200" s="10"/>
      <c r="D200" s="10"/>
      <c r="E200" s="72"/>
      <c r="F200" s="73"/>
      <c r="G200" s="72"/>
      <c r="H200" s="31"/>
      <c r="I200" s="85" t="str">
        <f>IF(Tabel1[[#This Row],[% uren 1:]]="","",Tabel1[[#This Row],[% uren 1:]]*Tabel1[[#This Row],[Totale uren:]])</f>
        <v/>
      </c>
      <c r="J200" s="68"/>
      <c r="K200" s="31"/>
      <c r="L200" s="86" t="str">
        <f>IF(Tabel1[[#This Row],[% uren 2:]]="","",Tabel1[[#This Row],[% uren 2:]]*Tabel1[[#This Row],[Totale uren:]])</f>
        <v/>
      </c>
      <c r="M200" s="72"/>
      <c r="N200" s="31"/>
      <c r="O200" s="85" t="str">
        <f>IF(Tabel1[[#This Row],[% uren 3:]]="","",Tabel1[[#This Row],[% uren 3:]]*Tabel1[[#This Row],[Totale uren:]])</f>
        <v/>
      </c>
      <c r="P200" s="138" t="str">
        <f>IF(Tabel1[[#This Row],[Ordernummer:]]="","",SUM(Tabel1[[#This Row],[% uren 1:]],Tabel1[[#This Row],[% uren 2:]],Tabel1[[#This Row],[% uren 3:]]))</f>
        <v/>
      </c>
      <c r="Q200" s="127"/>
      <c r="R200" s="128"/>
      <c r="S200" s="44"/>
      <c r="T200" s="25"/>
    </row>
    <row r="201" spans="2:20" x14ac:dyDescent="0.25">
      <c r="B201" s="7"/>
      <c r="C201" s="10"/>
      <c r="D201" s="10"/>
      <c r="E201" s="72"/>
      <c r="F201" s="73"/>
      <c r="G201" s="72"/>
      <c r="H201" s="31"/>
      <c r="I201" s="85" t="str">
        <f>IF(Tabel1[[#This Row],[% uren 1:]]="","",Tabel1[[#This Row],[% uren 1:]]*Tabel1[[#This Row],[Totale uren:]])</f>
        <v/>
      </c>
      <c r="J201" s="68"/>
      <c r="K201" s="31"/>
      <c r="L201" s="86" t="str">
        <f>IF(Tabel1[[#This Row],[% uren 2:]]="","",Tabel1[[#This Row],[% uren 2:]]*Tabel1[[#This Row],[Totale uren:]])</f>
        <v/>
      </c>
      <c r="M201" s="72"/>
      <c r="N201" s="31"/>
      <c r="O201" s="85" t="str">
        <f>IF(Tabel1[[#This Row],[% uren 3:]]="","",Tabel1[[#This Row],[% uren 3:]]*Tabel1[[#This Row],[Totale uren:]])</f>
        <v/>
      </c>
      <c r="P201" s="138" t="str">
        <f>IF(Tabel1[[#This Row],[Ordernummer:]]="","",SUM(Tabel1[[#This Row],[% uren 1:]],Tabel1[[#This Row],[% uren 2:]],Tabel1[[#This Row],[% uren 3:]]))</f>
        <v/>
      </c>
      <c r="Q201" s="127"/>
      <c r="R201" s="128"/>
      <c r="S201" s="44"/>
      <c r="T201" s="25"/>
    </row>
    <row r="202" spans="2:20" x14ac:dyDescent="0.25">
      <c r="B202" s="7"/>
      <c r="C202" s="10"/>
      <c r="D202" s="10"/>
      <c r="E202" s="72"/>
      <c r="F202" s="73"/>
      <c r="G202" s="72"/>
      <c r="H202" s="31"/>
      <c r="I202" s="85" t="str">
        <f>IF(Tabel1[[#This Row],[% uren 1:]]="","",Tabel1[[#This Row],[% uren 1:]]*Tabel1[[#This Row],[Totale uren:]])</f>
        <v/>
      </c>
      <c r="J202" s="68"/>
      <c r="K202" s="31"/>
      <c r="L202" s="86" t="str">
        <f>IF(Tabel1[[#This Row],[% uren 2:]]="","",Tabel1[[#This Row],[% uren 2:]]*Tabel1[[#This Row],[Totale uren:]])</f>
        <v/>
      </c>
      <c r="M202" s="72"/>
      <c r="N202" s="31"/>
      <c r="O202" s="85" t="str">
        <f>IF(Tabel1[[#This Row],[% uren 3:]]="","",Tabel1[[#This Row],[% uren 3:]]*Tabel1[[#This Row],[Totale uren:]])</f>
        <v/>
      </c>
      <c r="P202" s="138" t="str">
        <f>IF(Tabel1[[#This Row],[Ordernummer:]]="","",SUM(Tabel1[[#This Row],[% uren 1:]],Tabel1[[#This Row],[% uren 2:]],Tabel1[[#This Row],[% uren 3:]]))</f>
        <v/>
      </c>
      <c r="Q202" s="127"/>
      <c r="R202" s="128"/>
      <c r="S202" s="44"/>
      <c r="T202" s="25"/>
    </row>
    <row r="203" spans="2:20" x14ac:dyDescent="0.25">
      <c r="B203" s="7"/>
      <c r="C203" s="10"/>
      <c r="D203" s="10"/>
      <c r="E203" s="72"/>
      <c r="F203" s="73"/>
      <c r="G203" s="72"/>
      <c r="H203" s="31"/>
      <c r="I203" s="85" t="str">
        <f>IF(Tabel1[[#This Row],[% uren 1:]]="","",Tabel1[[#This Row],[% uren 1:]]*Tabel1[[#This Row],[Totale uren:]])</f>
        <v/>
      </c>
      <c r="J203" s="68"/>
      <c r="K203" s="31"/>
      <c r="L203" s="86" t="str">
        <f>IF(Tabel1[[#This Row],[% uren 2:]]="","",Tabel1[[#This Row],[% uren 2:]]*Tabel1[[#This Row],[Totale uren:]])</f>
        <v/>
      </c>
      <c r="M203" s="72"/>
      <c r="N203" s="31"/>
      <c r="O203" s="85" t="str">
        <f>IF(Tabel1[[#This Row],[% uren 3:]]="","",Tabel1[[#This Row],[% uren 3:]]*Tabel1[[#This Row],[Totale uren:]])</f>
        <v/>
      </c>
      <c r="P203" s="138" t="str">
        <f>IF(Tabel1[[#This Row],[Ordernummer:]]="","",SUM(Tabel1[[#This Row],[% uren 1:]],Tabel1[[#This Row],[% uren 2:]],Tabel1[[#This Row],[% uren 3:]]))</f>
        <v/>
      </c>
      <c r="Q203" s="127"/>
      <c r="R203" s="128"/>
      <c r="S203" s="44"/>
      <c r="T203" s="25"/>
    </row>
    <row r="204" spans="2:20" x14ac:dyDescent="0.25">
      <c r="B204" s="7"/>
      <c r="C204" s="10"/>
      <c r="D204" s="10"/>
      <c r="E204" s="72"/>
      <c r="F204" s="73"/>
      <c r="G204" s="72"/>
      <c r="H204" s="31"/>
      <c r="I204" s="85" t="str">
        <f>IF(Tabel1[[#This Row],[% uren 1:]]="","",Tabel1[[#This Row],[% uren 1:]]*Tabel1[[#This Row],[Totale uren:]])</f>
        <v/>
      </c>
      <c r="J204" s="68"/>
      <c r="K204" s="31"/>
      <c r="L204" s="86" t="str">
        <f>IF(Tabel1[[#This Row],[% uren 2:]]="","",Tabel1[[#This Row],[% uren 2:]]*Tabel1[[#This Row],[Totale uren:]])</f>
        <v/>
      </c>
      <c r="M204" s="72"/>
      <c r="N204" s="31"/>
      <c r="O204" s="85" t="str">
        <f>IF(Tabel1[[#This Row],[% uren 3:]]="","",Tabel1[[#This Row],[% uren 3:]]*Tabel1[[#This Row],[Totale uren:]])</f>
        <v/>
      </c>
      <c r="P204" s="138" t="str">
        <f>IF(Tabel1[[#This Row],[Ordernummer:]]="","",SUM(Tabel1[[#This Row],[% uren 1:]],Tabel1[[#This Row],[% uren 2:]],Tabel1[[#This Row],[% uren 3:]]))</f>
        <v/>
      </c>
      <c r="Q204" s="127"/>
      <c r="R204" s="128"/>
      <c r="S204" s="44"/>
      <c r="T204" s="25"/>
    </row>
    <row r="205" spans="2:20" x14ac:dyDescent="0.25">
      <c r="B205" s="7"/>
      <c r="C205" s="10"/>
      <c r="D205" s="10"/>
      <c r="E205" s="72"/>
      <c r="F205" s="73"/>
      <c r="G205" s="72"/>
      <c r="H205" s="31"/>
      <c r="I205" s="85" t="str">
        <f>IF(Tabel1[[#This Row],[% uren 1:]]="","",Tabel1[[#This Row],[% uren 1:]]*Tabel1[[#This Row],[Totale uren:]])</f>
        <v/>
      </c>
      <c r="J205" s="68"/>
      <c r="K205" s="31"/>
      <c r="L205" s="86" t="str">
        <f>IF(Tabel1[[#This Row],[% uren 2:]]="","",Tabel1[[#This Row],[% uren 2:]]*Tabel1[[#This Row],[Totale uren:]])</f>
        <v/>
      </c>
      <c r="M205" s="72"/>
      <c r="N205" s="31"/>
      <c r="O205" s="85" t="str">
        <f>IF(Tabel1[[#This Row],[% uren 3:]]="","",Tabel1[[#This Row],[% uren 3:]]*Tabel1[[#This Row],[Totale uren:]])</f>
        <v/>
      </c>
      <c r="P205" s="138" t="str">
        <f>IF(Tabel1[[#This Row],[Ordernummer:]]="","",SUM(Tabel1[[#This Row],[% uren 1:]],Tabel1[[#This Row],[% uren 2:]],Tabel1[[#This Row],[% uren 3:]]))</f>
        <v/>
      </c>
      <c r="Q205" s="127"/>
      <c r="R205" s="128"/>
      <c r="S205" s="44"/>
      <c r="T205" s="25"/>
    </row>
    <row r="206" spans="2:20" x14ac:dyDescent="0.25">
      <c r="B206" s="7"/>
      <c r="C206" s="10"/>
      <c r="D206" s="10"/>
      <c r="E206" s="72"/>
      <c r="F206" s="73"/>
      <c r="G206" s="72"/>
      <c r="H206" s="31"/>
      <c r="I206" s="85" t="str">
        <f>IF(Tabel1[[#This Row],[% uren 1:]]="","",Tabel1[[#This Row],[% uren 1:]]*Tabel1[[#This Row],[Totale uren:]])</f>
        <v/>
      </c>
      <c r="J206" s="68"/>
      <c r="K206" s="31"/>
      <c r="L206" s="86" t="str">
        <f>IF(Tabel1[[#This Row],[% uren 2:]]="","",Tabel1[[#This Row],[% uren 2:]]*Tabel1[[#This Row],[Totale uren:]])</f>
        <v/>
      </c>
      <c r="M206" s="72"/>
      <c r="N206" s="31"/>
      <c r="O206" s="85" t="str">
        <f>IF(Tabel1[[#This Row],[% uren 3:]]="","",Tabel1[[#This Row],[% uren 3:]]*Tabel1[[#This Row],[Totale uren:]])</f>
        <v/>
      </c>
      <c r="P206" s="138" t="str">
        <f>IF(Tabel1[[#This Row],[Ordernummer:]]="","",SUM(Tabel1[[#This Row],[% uren 1:]],Tabel1[[#This Row],[% uren 2:]],Tabel1[[#This Row],[% uren 3:]]))</f>
        <v/>
      </c>
      <c r="Q206" s="127"/>
      <c r="R206" s="128"/>
      <c r="S206" s="44"/>
      <c r="T206" s="25"/>
    </row>
    <row r="207" spans="2:20" x14ac:dyDescent="0.25">
      <c r="B207" s="7"/>
      <c r="C207" s="10"/>
      <c r="D207" s="10"/>
      <c r="E207" s="72"/>
      <c r="F207" s="73"/>
      <c r="G207" s="72"/>
      <c r="H207" s="31"/>
      <c r="I207" s="85" t="str">
        <f>IF(Tabel1[[#This Row],[% uren 1:]]="","",Tabel1[[#This Row],[% uren 1:]]*Tabel1[[#This Row],[Totale uren:]])</f>
        <v/>
      </c>
      <c r="J207" s="68"/>
      <c r="K207" s="31"/>
      <c r="L207" s="86" t="str">
        <f>IF(Tabel1[[#This Row],[% uren 2:]]="","",Tabel1[[#This Row],[% uren 2:]]*Tabel1[[#This Row],[Totale uren:]])</f>
        <v/>
      </c>
      <c r="M207" s="72"/>
      <c r="N207" s="31"/>
      <c r="O207" s="85" t="str">
        <f>IF(Tabel1[[#This Row],[% uren 3:]]="","",Tabel1[[#This Row],[% uren 3:]]*Tabel1[[#This Row],[Totale uren:]])</f>
        <v/>
      </c>
      <c r="P207" s="138" t="str">
        <f>IF(Tabel1[[#This Row],[Ordernummer:]]="","",SUM(Tabel1[[#This Row],[% uren 1:]],Tabel1[[#This Row],[% uren 2:]],Tabel1[[#This Row],[% uren 3:]]))</f>
        <v/>
      </c>
      <c r="Q207" s="127"/>
      <c r="R207" s="128"/>
      <c r="S207" s="44"/>
      <c r="T207" s="25"/>
    </row>
    <row r="208" spans="2:20" x14ac:dyDescent="0.25">
      <c r="B208" s="7"/>
      <c r="C208" s="10"/>
      <c r="D208" s="10"/>
      <c r="E208" s="72"/>
      <c r="F208" s="73"/>
      <c r="G208" s="72"/>
      <c r="H208" s="31"/>
      <c r="I208" s="85" t="str">
        <f>IF(Tabel1[[#This Row],[% uren 1:]]="","",Tabel1[[#This Row],[% uren 1:]]*Tabel1[[#This Row],[Totale uren:]])</f>
        <v/>
      </c>
      <c r="J208" s="68"/>
      <c r="K208" s="31"/>
      <c r="L208" s="86" t="str">
        <f>IF(Tabel1[[#This Row],[% uren 2:]]="","",Tabel1[[#This Row],[% uren 2:]]*Tabel1[[#This Row],[Totale uren:]])</f>
        <v/>
      </c>
      <c r="M208" s="72"/>
      <c r="N208" s="31"/>
      <c r="O208" s="85" t="str">
        <f>IF(Tabel1[[#This Row],[% uren 3:]]="","",Tabel1[[#This Row],[% uren 3:]]*Tabel1[[#This Row],[Totale uren:]])</f>
        <v/>
      </c>
      <c r="P208" s="138" t="str">
        <f>IF(Tabel1[[#This Row],[Ordernummer:]]="","",SUM(Tabel1[[#This Row],[% uren 1:]],Tabel1[[#This Row],[% uren 2:]],Tabel1[[#This Row],[% uren 3:]]))</f>
        <v/>
      </c>
      <c r="Q208" s="127"/>
      <c r="R208" s="128"/>
      <c r="S208" s="44"/>
      <c r="T208" s="25"/>
    </row>
    <row r="209" spans="2:20" x14ac:dyDescent="0.25">
      <c r="B209" s="7"/>
      <c r="C209" s="10"/>
      <c r="D209" s="10"/>
      <c r="E209" s="72"/>
      <c r="F209" s="73"/>
      <c r="G209" s="72"/>
      <c r="H209" s="31"/>
      <c r="I209" s="85" t="str">
        <f>IF(Tabel1[[#This Row],[% uren 1:]]="","",Tabel1[[#This Row],[% uren 1:]]*Tabel1[[#This Row],[Totale uren:]])</f>
        <v/>
      </c>
      <c r="J209" s="68"/>
      <c r="K209" s="31"/>
      <c r="L209" s="86" t="str">
        <f>IF(Tabel1[[#This Row],[% uren 2:]]="","",Tabel1[[#This Row],[% uren 2:]]*Tabel1[[#This Row],[Totale uren:]])</f>
        <v/>
      </c>
      <c r="M209" s="72"/>
      <c r="N209" s="31"/>
      <c r="O209" s="85" t="str">
        <f>IF(Tabel1[[#This Row],[% uren 3:]]="","",Tabel1[[#This Row],[% uren 3:]]*Tabel1[[#This Row],[Totale uren:]])</f>
        <v/>
      </c>
      <c r="P209" s="138" t="str">
        <f>IF(Tabel1[[#This Row],[Ordernummer:]]="","",SUM(Tabel1[[#This Row],[% uren 1:]],Tabel1[[#This Row],[% uren 2:]],Tabel1[[#This Row],[% uren 3:]]))</f>
        <v/>
      </c>
      <c r="Q209" s="127"/>
      <c r="R209" s="128"/>
      <c r="S209" s="44"/>
      <c r="T209" s="25"/>
    </row>
    <row r="210" spans="2:20" x14ac:dyDescent="0.25">
      <c r="B210" s="7"/>
      <c r="C210" s="10"/>
      <c r="D210" s="10"/>
      <c r="E210" s="72"/>
      <c r="F210" s="73"/>
      <c r="G210" s="72"/>
      <c r="H210" s="31"/>
      <c r="I210" s="85" t="str">
        <f>IF(Tabel1[[#This Row],[% uren 1:]]="","",Tabel1[[#This Row],[% uren 1:]]*Tabel1[[#This Row],[Totale uren:]])</f>
        <v/>
      </c>
      <c r="J210" s="68"/>
      <c r="K210" s="31"/>
      <c r="L210" s="86" t="str">
        <f>IF(Tabel1[[#This Row],[% uren 2:]]="","",Tabel1[[#This Row],[% uren 2:]]*Tabel1[[#This Row],[Totale uren:]])</f>
        <v/>
      </c>
      <c r="M210" s="72"/>
      <c r="N210" s="31"/>
      <c r="O210" s="85" t="str">
        <f>IF(Tabel1[[#This Row],[% uren 3:]]="","",Tabel1[[#This Row],[% uren 3:]]*Tabel1[[#This Row],[Totale uren:]])</f>
        <v/>
      </c>
      <c r="P210" s="138" t="str">
        <f>IF(Tabel1[[#This Row],[Ordernummer:]]="","",SUM(Tabel1[[#This Row],[% uren 1:]],Tabel1[[#This Row],[% uren 2:]],Tabel1[[#This Row],[% uren 3:]]))</f>
        <v/>
      </c>
      <c r="Q210" s="127"/>
      <c r="R210" s="128"/>
      <c r="S210" s="44"/>
      <c r="T210" s="25"/>
    </row>
    <row r="211" spans="2:20" x14ac:dyDescent="0.25">
      <c r="B211" s="7"/>
      <c r="C211" s="10"/>
      <c r="D211" s="10"/>
      <c r="E211" s="72"/>
      <c r="F211" s="73"/>
      <c r="G211" s="72"/>
      <c r="H211" s="31"/>
      <c r="I211" s="85" t="str">
        <f>IF(Tabel1[[#This Row],[% uren 1:]]="","",Tabel1[[#This Row],[% uren 1:]]*Tabel1[[#This Row],[Totale uren:]])</f>
        <v/>
      </c>
      <c r="J211" s="68"/>
      <c r="K211" s="31"/>
      <c r="L211" s="86" t="str">
        <f>IF(Tabel1[[#This Row],[% uren 2:]]="","",Tabel1[[#This Row],[% uren 2:]]*Tabel1[[#This Row],[Totale uren:]])</f>
        <v/>
      </c>
      <c r="M211" s="72"/>
      <c r="N211" s="31"/>
      <c r="O211" s="85" t="str">
        <f>IF(Tabel1[[#This Row],[% uren 3:]]="","",Tabel1[[#This Row],[% uren 3:]]*Tabel1[[#This Row],[Totale uren:]])</f>
        <v/>
      </c>
      <c r="P211" s="138" t="str">
        <f>IF(Tabel1[[#This Row],[Ordernummer:]]="","",SUM(Tabel1[[#This Row],[% uren 1:]],Tabel1[[#This Row],[% uren 2:]],Tabel1[[#This Row],[% uren 3:]]))</f>
        <v/>
      </c>
      <c r="Q211" s="127"/>
      <c r="R211" s="128"/>
      <c r="S211" s="44"/>
      <c r="T211" s="25"/>
    </row>
    <row r="212" spans="2:20" x14ac:dyDescent="0.25">
      <c r="B212" s="7"/>
      <c r="C212" s="10"/>
      <c r="D212" s="10"/>
      <c r="E212" s="72"/>
      <c r="F212" s="73"/>
      <c r="G212" s="72"/>
      <c r="H212" s="31"/>
      <c r="I212" s="85" t="str">
        <f>IF(Tabel1[[#This Row],[% uren 1:]]="","",Tabel1[[#This Row],[% uren 1:]]*Tabel1[[#This Row],[Totale uren:]])</f>
        <v/>
      </c>
      <c r="J212" s="68"/>
      <c r="K212" s="31"/>
      <c r="L212" s="86" t="str">
        <f>IF(Tabel1[[#This Row],[% uren 2:]]="","",Tabel1[[#This Row],[% uren 2:]]*Tabel1[[#This Row],[Totale uren:]])</f>
        <v/>
      </c>
      <c r="M212" s="72"/>
      <c r="N212" s="31"/>
      <c r="O212" s="85" t="str">
        <f>IF(Tabel1[[#This Row],[% uren 3:]]="","",Tabel1[[#This Row],[% uren 3:]]*Tabel1[[#This Row],[Totale uren:]])</f>
        <v/>
      </c>
      <c r="P212" s="138" t="str">
        <f>IF(Tabel1[[#This Row],[Ordernummer:]]="","",SUM(Tabel1[[#This Row],[% uren 1:]],Tabel1[[#This Row],[% uren 2:]],Tabel1[[#This Row],[% uren 3:]]))</f>
        <v/>
      </c>
      <c r="Q212" s="127"/>
      <c r="R212" s="128"/>
      <c r="S212" s="44"/>
      <c r="T212" s="25"/>
    </row>
    <row r="213" spans="2:20" x14ac:dyDescent="0.25">
      <c r="B213" s="7"/>
      <c r="C213" s="10"/>
      <c r="D213" s="10"/>
      <c r="E213" s="72"/>
      <c r="F213" s="73"/>
      <c r="G213" s="72"/>
      <c r="H213" s="31"/>
      <c r="I213" s="85" t="str">
        <f>IF(Tabel1[[#This Row],[% uren 1:]]="","",Tabel1[[#This Row],[% uren 1:]]*Tabel1[[#This Row],[Totale uren:]])</f>
        <v/>
      </c>
      <c r="J213" s="68"/>
      <c r="K213" s="31"/>
      <c r="L213" s="86" t="str">
        <f>IF(Tabel1[[#This Row],[% uren 2:]]="","",Tabel1[[#This Row],[% uren 2:]]*Tabel1[[#This Row],[Totale uren:]])</f>
        <v/>
      </c>
      <c r="M213" s="72"/>
      <c r="N213" s="31"/>
      <c r="O213" s="85" t="str">
        <f>IF(Tabel1[[#This Row],[% uren 3:]]="","",Tabel1[[#This Row],[% uren 3:]]*Tabel1[[#This Row],[Totale uren:]])</f>
        <v/>
      </c>
      <c r="P213" s="138" t="str">
        <f>IF(Tabel1[[#This Row],[Ordernummer:]]="","",SUM(Tabel1[[#This Row],[% uren 1:]],Tabel1[[#This Row],[% uren 2:]],Tabel1[[#This Row],[% uren 3:]]))</f>
        <v/>
      </c>
      <c r="Q213" s="127"/>
      <c r="R213" s="128"/>
      <c r="S213" s="44"/>
      <c r="T213" s="25"/>
    </row>
    <row r="214" spans="2:20" x14ac:dyDescent="0.25">
      <c r="B214" s="7"/>
      <c r="C214" s="10"/>
      <c r="D214" s="10"/>
      <c r="E214" s="72"/>
      <c r="F214" s="73"/>
      <c r="G214" s="72"/>
      <c r="H214" s="31"/>
      <c r="I214" s="85" t="str">
        <f>IF(Tabel1[[#This Row],[% uren 1:]]="","",Tabel1[[#This Row],[% uren 1:]]*Tabel1[[#This Row],[Totale uren:]])</f>
        <v/>
      </c>
      <c r="J214" s="68"/>
      <c r="K214" s="31"/>
      <c r="L214" s="86" t="str">
        <f>IF(Tabel1[[#This Row],[% uren 2:]]="","",Tabel1[[#This Row],[% uren 2:]]*Tabel1[[#This Row],[Totale uren:]])</f>
        <v/>
      </c>
      <c r="M214" s="72"/>
      <c r="N214" s="31"/>
      <c r="O214" s="85" t="str">
        <f>IF(Tabel1[[#This Row],[% uren 3:]]="","",Tabel1[[#This Row],[% uren 3:]]*Tabel1[[#This Row],[Totale uren:]])</f>
        <v/>
      </c>
      <c r="P214" s="138" t="str">
        <f>IF(Tabel1[[#This Row],[Ordernummer:]]="","",SUM(Tabel1[[#This Row],[% uren 1:]],Tabel1[[#This Row],[% uren 2:]],Tabel1[[#This Row],[% uren 3:]]))</f>
        <v/>
      </c>
      <c r="Q214" s="127"/>
      <c r="R214" s="128"/>
      <c r="S214" s="44"/>
      <c r="T214" s="25"/>
    </row>
    <row r="215" spans="2:20" x14ac:dyDescent="0.25">
      <c r="B215" s="7"/>
      <c r="C215" s="10"/>
      <c r="D215" s="10"/>
      <c r="E215" s="72"/>
      <c r="F215" s="73"/>
      <c r="G215" s="72"/>
      <c r="H215" s="31"/>
      <c r="I215" s="85" t="str">
        <f>IF(Tabel1[[#This Row],[% uren 1:]]="","",Tabel1[[#This Row],[% uren 1:]]*Tabel1[[#This Row],[Totale uren:]])</f>
        <v/>
      </c>
      <c r="J215" s="68"/>
      <c r="K215" s="31"/>
      <c r="L215" s="86" t="str">
        <f>IF(Tabel1[[#This Row],[% uren 2:]]="","",Tabel1[[#This Row],[% uren 2:]]*Tabel1[[#This Row],[Totale uren:]])</f>
        <v/>
      </c>
      <c r="M215" s="72"/>
      <c r="N215" s="31"/>
      <c r="O215" s="85" t="str">
        <f>IF(Tabel1[[#This Row],[% uren 3:]]="","",Tabel1[[#This Row],[% uren 3:]]*Tabel1[[#This Row],[Totale uren:]])</f>
        <v/>
      </c>
      <c r="P215" s="138" t="str">
        <f>IF(Tabel1[[#This Row],[Ordernummer:]]="","",SUM(Tabel1[[#This Row],[% uren 1:]],Tabel1[[#This Row],[% uren 2:]],Tabel1[[#This Row],[% uren 3:]]))</f>
        <v/>
      </c>
      <c r="Q215" s="127"/>
      <c r="R215" s="128"/>
      <c r="S215" s="44"/>
      <c r="T215" s="25"/>
    </row>
    <row r="216" spans="2:20" x14ac:dyDescent="0.25">
      <c r="B216" s="7"/>
      <c r="C216" s="10"/>
      <c r="D216" s="10"/>
      <c r="E216" s="72"/>
      <c r="F216" s="73"/>
      <c r="G216" s="72"/>
      <c r="H216" s="31"/>
      <c r="I216" s="85" t="str">
        <f>IF(Tabel1[[#This Row],[% uren 1:]]="","",Tabel1[[#This Row],[% uren 1:]]*Tabel1[[#This Row],[Totale uren:]])</f>
        <v/>
      </c>
      <c r="J216" s="68"/>
      <c r="K216" s="31"/>
      <c r="L216" s="86" t="str">
        <f>IF(Tabel1[[#This Row],[% uren 2:]]="","",Tabel1[[#This Row],[% uren 2:]]*Tabel1[[#This Row],[Totale uren:]])</f>
        <v/>
      </c>
      <c r="M216" s="72"/>
      <c r="N216" s="31"/>
      <c r="O216" s="85" t="str">
        <f>IF(Tabel1[[#This Row],[% uren 3:]]="","",Tabel1[[#This Row],[% uren 3:]]*Tabel1[[#This Row],[Totale uren:]])</f>
        <v/>
      </c>
      <c r="P216" s="138" t="str">
        <f>IF(Tabel1[[#This Row],[Ordernummer:]]="","",SUM(Tabel1[[#This Row],[% uren 1:]],Tabel1[[#This Row],[% uren 2:]],Tabel1[[#This Row],[% uren 3:]]))</f>
        <v/>
      </c>
      <c r="Q216" s="127"/>
      <c r="R216" s="128"/>
      <c r="S216" s="44"/>
      <c r="T216" s="25"/>
    </row>
    <row r="217" spans="2:20" x14ac:dyDescent="0.25">
      <c r="B217" s="7"/>
      <c r="C217" s="10"/>
      <c r="D217" s="10"/>
      <c r="E217" s="72"/>
      <c r="F217" s="73"/>
      <c r="G217" s="72"/>
      <c r="H217" s="31"/>
      <c r="I217" s="85" t="str">
        <f>IF(Tabel1[[#This Row],[% uren 1:]]="","",Tabel1[[#This Row],[% uren 1:]]*Tabel1[[#This Row],[Totale uren:]])</f>
        <v/>
      </c>
      <c r="J217" s="68"/>
      <c r="K217" s="31"/>
      <c r="L217" s="86" t="str">
        <f>IF(Tabel1[[#This Row],[% uren 2:]]="","",Tabel1[[#This Row],[% uren 2:]]*Tabel1[[#This Row],[Totale uren:]])</f>
        <v/>
      </c>
      <c r="M217" s="72"/>
      <c r="N217" s="31"/>
      <c r="O217" s="85" t="str">
        <f>IF(Tabel1[[#This Row],[% uren 3:]]="","",Tabel1[[#This Row],[% uren 3:]]*Tabel1[[#This Row],[Totale uren:]])</f>
        <v/>
      </c>
      <c r="P217" s="138" t="str">
        <f>IF(Tabel1[[#This Row],[Ordernummer:]]="","",SUM(Tabel1[[#This Row],[% uren 1:]],Tabel1[[#This Row],[% uren 2:]],Tabel1[[#This Row],[% uren 3:]]))</f>
        <v/>
      </c>
      <c r="Q217" s="127"/>
      <c r="R217" s="128"/>
      <c r="S217" s="44"/>
      <c r="T217" s="25"/>
    </row>
    <row r="218" spans="2:20" x14ac:dyDescent="0.25">
      <c r="B218" s="7"/>
      <c r="C218" s="10"/>
      <c r="D218" s="10"/>
      <c r="E218" s="72"/>
      <c r="F218" s="73"/>
      <c r="G218" s="72"/>
      <c r="H218" s="31"/>
      <c r="I218" s="85" t="str">
        <f>IF(Tabel1[[#This Row],[% uren 1:]]="","",Tabel1[[#This Row],[% uren 1:]]*Tabel1[[#This Row],[Totale uren:]])</f>
        <v/>
      </c>
      <c r="J218" s="68"/>
      <c r="K218" s="31"/>
      <c r="L218" s="86" t="str">
        <f>IF(Tabel1[[#This Row],[% uren 2:]]="","",Tabel1[[#This Row],[% uren 2:]]*Tabel1[[#This Row],[Totale uren:]])</f>
        <v/>
      </c>
      <c r="M218" s="72"/>
      <c r="N218" s="31"/>
      <c r="O218" s="85" t="str">
        <f>IF(Tabel1[[#This Row],[% uren 3:]]="","",Tabel1[[#This Row],[% uren 3:]]*Tabel1[[#This Row],[Totale uren:]])</f>
        <v/>
      </c>
      <c r="P218" s="138" t="str">
        <f>IF(Tabel1[[#This Row],[Ordernummer:]]="","",SUM(Tabel1[[#This Row],[% uren 1:]],Tabel1[[#This Row],[% uren 2:]],Tabel1[[#This Row],[% uren 3:]]))</f>
        <v/>
      </c>
      <c r="Q218" s="127"/>
      <c r="R218" s="128"/>
      <c r="S218" s="44"/>
      <c r="T218" s="25"/>
    </row>
    <row r="219" spans="2:20" x14ac:dyDescent="0.25">
      <c r="B219" s="7"/>
      <c r="C219" s="10"/>
      <c r="D219" s="10"/>
      <c r="E219" s="72"/>
      <c r="F219" s="73"/>
      <c r="G219" s="72"/>
      <c r="H219" s="31"/>
      <c r="I219" s="85" t="str">
        <f>IF(Tabel1[[#This Row],[% uren 1:]]="","",Tabel1[[#This Row],[% uren 1:]]*Tabel1[[#This Row],[Totale uren:]])</f>
        <v/>
      </c>
      <c r="J219" s="68"/>
      <c r="K219" s="31"/>
      <c r="L219" s="86" t="str">
        <f>IF(Tabel1[[#This Row],[% uren 2:]]="","",Tabel1[[#This Row],[% uren 2:]]*Tabel1[[#This Row],[Totale uren:]])</f>
        <v/>
      </c>
      <c r="M219" s="72"/>
      <c r="N219" s="31"/>
      <c r="O219" s="85" t="str">
        <f>IF(Tabel1[[#This Row],[% uren 3:]]="","",Tabel1[[#This Row],[% uren 3:]]*Tabel1[[#This Row],[Totale uren:]])</f>
        <v/>
      </c>
      <c r="P219" s="138" t="str">
        <f>IF(Tabel1[[#This Row],[Ordernummer:]]="","",SUM(Tabel1[[#This Row],[% uren 1:]],Tabel1[[#This Row],[% uren 2:]],Tabel1[[#This Row],[% uren 3:]]))</f>
        <v/>
      </c>
      <c r="Q219" s="127"/>
      <c r="R219" s="128"/>
      <c r="S219" s="44"/>
      <c r="T219" s="25"/>
    </row>
    <row r="220" spans="2:20" x14ac:dyDescent="0.25">
      <c r="B220" s="7"/>
      <c r="C220" s="10"/>
      <c r="D220" s="10"/>
      <c r="E220" s="72"/>
      <c r="F220" s="73"/>
      <c r="G220" s="72"/>
      <c r="H220" s="31"/>
      <c r="I220" s="85" t="str">
        <f>IF(Tabel1[[#This Row],[% uren 1:]]="","",Tabel1[[#This Row],[% uren 1:]]*Tabel1[[#This Row],[Totale uren:]])</f>
        <v/>
      </c>
      <c r="J220" s="68"/>
      <c r="K220" s="31"/>
      <c r="L220" s="86" t="str">
        <f>IF(Tabel1[[#This Row],[% uren 2:]]="","",Tabel1[[#This Row],[% uren 2:]]*Tabel1[[#This Row],[Totale uren:]])</f>
        <v/>
      </c>
      <c r="M220" s="72"/>
      <c r="N220" s="31"/>
      <c r="O220" s="85" t="str">
        <f>IF(Tabel1[[#This Row],[% uren 3:]]="","",Tabel1[[#This Row],[% uren 3:]]*Tabel1[[#This Row],[Totale uren:]])</f>
        <v/>
      </c>
      <c r="P220" s="138" t="str">
        <f>IF(Tabel1[[#This Row],[Ordernummer:]]="","",SUM(Tabel1[[#This Row],[% uren 1:]],Tabel1[[#This Row],[% uren 2:]],Tabel1[[#This Row],[% uren 3:]]))</f>
        <v/>
      </c>
      <c r="Q220" s="127"/>
      <c r="R220" s="128"/>
      <c r="S220" s="44"/>
      <c r="T220" s="25"/>
    </row>
    <row r="221" spans="2:20" x14ac:dyDescent="0.25">
      <c r="B221" s="7"/>
      <c r="C221" s="10"/>
      <c r="D221" s="10"/>
      <c r="E221" s="72"/>
      <c r="F221" s="73"/>
      <c r="G221" s="72"/>
      <c r="H221" s="31"/>
      <c r="I221" s="85" t="str">
        <f>IF(Tabel1[[#This Row],[% uren 1:]]="","",Tabel1[[#This Row],[% uren 1:]]*Tabel1[[#This Row],[Totale uren:]])</f>
        <v/>
      </c>
      <c r="J221" s="68"/>
      <c r="K221" s="31"/>
      <c r="L221" s="86" t="str">
        <f>IF(Tabel1[[#This Row],[% uren 2:]]="","",Tabel1[[#This Row],[% uren 2:]]*Tabel1[[#This Row],[Totale uren:]])</f>
        <v/>
      </c>
      <c r="M221" s="72"/>
      <c r="N221" s="31"/>
      <c r="O221" s="85" t="str">
        <f>IF(Tabel1[[#This Row],[% uren 3:]]="","",Tabel1[[#This Row],[% uren 3:]]*Tabel1[[#This Row],[Totale uren:]])</f>
        <v/>
      </c>
      <c r="P221" s="138" t="str">
        <f>IF(Tabel1[[#This Row],[Ordernummer:]]="","",SUM(Tabel1[[#This Row],[% uren 1:]],Tabel1[[#This Row],[% uren 2:]],Tabel1[[#This Row],[% uren 3:]]))</f>
        <v/>
      </c>
      <c r="Q221" s="127"/>
      <c r="R221" s="128"/>
      <c r="S221" s="44"/>
      <c r="T221" s="25"/>
    </row>
    <row r="222" spans="2:20" x14ac:dyDescent="0.25">
      <c r="B222" s="7"/>
      <c r="C222" s="10"/>
      <c r="D222" s="10"/>
      <c r="E222" s="72"/>
      <c r="F222" s="73"/>
      <c r="G222" s="72"/>
      <c r="H222" s="31"/>
      <c r="I222" s="85" t="str">
        <f>IF(Tabel1[[#This Row],[% uren 1:]]="","",Tabel1[[#This Row],[% uren 1:]]*Tabel1[[#This Row],[Totale uren:]])</f>
        <v/>
      </c>
      <c r="J222" s="68"/>
      <c r="K222" s="31"/>
      <c r="L222" s="86" t="str">
        <f>IF(Tabel1[[#This Row],[% uren 2:]]="","",Tabel1[[#This Row],[% uren 2:]]*Tabel1[[#This Row],[Totale uren:]])</f>
        <v/>
      </c>
      <c r="M222" s="72"/>
      <c r="N222" s="31"/>
      <c r="O222" s="85" t="str">
        <f>IF(Tabel1[[#This Row],[% uren 3:]]="","",Tabel1[[#This Row],[% uren 3:]]*Tabel1[[#This Row],[Totale uren:]])</f>
        <v/>
      </c>
      <c r="P222" s="138" t="str">
        <f>IF(Tabel1[[#This Row],[Ordernummer:]]="","",SUM(Tabel1[[#This Row],[% uren 1:]],Tabel1[[#This Row],[% uren 2:]],Tabel1[[#This Row],[% uren 3:]]))</f>
        <v/>
      </c>
      <c r="Q222" s="127"/>
      <c r="R222" s="128"/>
      <c r="S222" s="44"/>
      <c r="T222" s="25"/>
    </row>
    <row r="223" spans="2:20" x14ac:dyDescent="0.25">
      <c r="B223" s="7"/>
      <c r="C223" s="10"/>
      <c r="D223" s="10"/>
      <c r="E223" s="72"/>
      <c r="F223" s="73"/>
      <c r="G223" s="72"/>
      <c r="H223" s="31"/>
      <c r="I223" s="85" t="str">
        <f>IF(Tabel1[[#This Row],[% uren 1:]]="","",Tabel1[[#This Row],[% uren 1:]]*Tabel1[[#This Row],[Totale uren:]])</f>
        <v/>
      </c>
      <c r="J223" s="68"/>
      <c r="K223" s="31"/>
      <c r="L223" s="86" t="str">
        <f>IF(Tabel1[[#This Row],[% uren 2:]]="","",Tabel1[[#This Row],[% uren 2:]]*Tabel1[[#This Row],[Totale uren:]])</f>
        <v/>
      </c>
      <c r="M223" s="72"/>
      <c r="N223" s="31"/>
      <c r="O223" s="85" t="str">
        <f>IF(Tabel1[[#This Row],[% uren 3:]]="","",Tabel1[[#This Row],[% uren 3:]]*Tabel1[[#This Row],[Totale uren:]])</f>
        <v/>
      </c>
      <c r="P223" s="138" t="str">
        <f>IF(Tabel1[[#This Row],[Ordernummer:]]="","",SUM(Tabel1[[#This Row],[% uren 1:]],Tabel1[[#This Row],[% uren 2:]],Tabel1[[#This Row],[% uren 3:]]))</f>
        <v/>
      </c>
      <c r="Q223" s="127"/>
      <c r="R223" s="128"/>
      <c r="S223" s="44"/>
      <c r="T223" s="25"/>
    </row>
    <row r="224" spans="2:20" x14ac:dyDescent="0.25">
      <c r="B224" s="7"/>
      <c r="C224" s="10"/>
      <c r="D224" s="10"/>
      <c r="E224" s="72"/>
      <c r="F224" s="73"/>
      <c r="G224" s="72"/>
      <c r="H224" s="31"/>
      <c r="I224" s="85" t="str">
        <f>IF(Tabel1[[#This Row],[% uren 1:]]="","",Tabel1[[#This Row],[% uren 1:]]*Tabel1[[#This Row],[Totale uren:]])</f>
        <v/>
      </c>
      <c r="J224" s="68"/>
      <c r="K224" s="31"/>
      <c r="L224" s="86" t="str">
        <f>IF(Tabel1[[#This Row],[% uren 2:]]="","",Tabel1[[#This Row],[% uren 2:]]*Tabel1[[#This Row],[Totale uren:]])</f>
        <v/>
      </c>
      <c r="M224" s="72"/>
      <c r="N224" s="31"/>
      <c r="O224" s="85" t="str">
        <f>IF(Tabel1[[#This Row],[% uren 3:]]="","",Tabel1[[#This Row],[% uren 3:]]*Tabel1[[#This Row],[Totale uren:]])</f>
        <v/>
      </c>
      <c r="P224" s="138" t="str">
        <f>IF(Tabel1[[#This Row],[Ordernummer:]]="","",SUM(Tabel1[[#This Row],[% uren 1:]],Tabel1[[#This Row],[% uren 2:]],Tabel1[[#This Row],[% uren 3:]]))</f>
        <v/>
      </c>
      <c r="Q224" s="127"/>
      <c r="R224" s="128"/>
      <c r="S224" s="44"/>
      <c r="T224" s="25"/>
    </row>
    <row r="225" spans="2:20" x14ac:dyDescent="0.25">
      <c r="B225" s="7"/>
      <c r="C225" s="10"/>
      <c r="D225" s="10"/>
      <c r="E225" s="72"/>
      <c r="F225" s="73"/>
      <c r="G225" s="72"/>
      <c r="H225" s="31"/>
      <c r="I225" s="85" t="str">
        <f>IF(Tabel1[[#This Row],[% uren 1:]]="","",Tabel1[[#This Row],[% uren 1:]]*Tabel1[[#This Row],[Totale uren:]])</f>
        <v/>
      </c>
      <c r="J225" s="68"/>
      <c r="K225" s="31"/>
      <c r="L225" s="86" t="str">
        <f>IF(Tabel1[[#This Row],[% uren 2:]]="","",Tabel1[[#This Row],[% uren 2:]]*Tabel1[[#This Row],[Totale uren:]])</f>
        <v/>
      </c>
      <c r="M225" s="72"/>
      <c r="N225" s="31"/>
      <c r="O225" s="85" t="str">
        <f>IF(Tabel1[[#This Row],[% uren 3:]]="","",Tabel1[[#This Row],[% uren 3:]]*Tabel1[[#This Row],[Totale uren:]])</f>
        <v/>
      </c>
      <c r="P225" s="138" t="str">
        <f>IF(Tabel1[[#This Row],[Ordernummer:]]="","",SUM(Tabel1[[#This Row],[% uren 1:]],Tabel1[[#This Row],[% uren 2:]],Tabel1[[#This Row],[% uren 3:]]))</f>
        <v/>
      </c>
      <c r="Q225" s="127"/>
      <c r="R225" s="128"/>
      <c r="S225" s="44"/>
      <c r="T225" s="25"/>
    </row>
    <row r="226" spans="2:20" x14ac:dyDescent="0.25">
      <c r="B226" s="7"/>
      <c r="C226" s="10"/>
      <c r="D226" s="10"/>
      <c r="E226" s="72"/>
      <c r="F226" s="73"/>
      <c r="G226" s="72"/>
      <c r="H226" s="31"/>
      <c r="I226" s="85" t="str">
        <f>IF(Tabel1[[#This Row],[% uren 1:]]="","",Tabel1[[#This Row],[% uren 1:]]*Tabel1[[#This Row],[Totale uren:]])</f>
        <v/>
      </c>
      <c r="J226" s="68"/>
      <c r="K226" s="31"/>
      <c r="L226" s="86" t="str">
        <f>IF(Tabel1[[#This Row],[% uren 2:]]="","",Tabel1[[#This Row],[% uren 2:]]*Tabel1[[#This Row],[Totale uren:]])</f>
        <v/>
      </c>
      <c r="M226" s="72"/>
      <c r="N226" s="31"/>
      <c r="O226" s="85" t="str">
        <f>IF(Tabel1[[#This Row],[% uren 3:]]="","",Tabel1[[#This Row],[% uren 3:]]*Tabel1[[#This Row],[Totale uren:]])</f>
        <v/>
      </c>
      <c r="P226" s="138" t="str">
        <f>IF(Tabel1[[#This Row],[Ordernummer:]]="","",SUM(Tabel1[[#This Row],[% uren 1:]],Tabel1[[#This Row],[% uren 2:]],Tabel1[[#This Row],[% uren 3:]]))</f>
        <v/>
      </c>
      <c r="Q226" s="127"/>
      <c r="R226" s="128"/>
      <c r="S226" s="44"/>
      <c r="T226" s="25"/>
    </row>
    <row r="227" spans="2:20" x14ac:dyDescent="0.25">
      <c r="B227" s="7"/>
      <c r="C227" s="10"/>
      <c r="D227" s="10"/>
      <c r="E227" s="72"/>
      <c r="F227" s="73"/>
      <c r="G227" s="72"/>
      <c r="H227" s="31"/>
      <c r="I227" s="85" t="str">
        <f>IF(Tabel1[[#This Row],[% uren 1:]]="","",Tabel1[[#This Row],[% uren 1:]]*Tabel1[[#This Row],[Totale uren:]])</f>
        <v/>
      </c>
      <c r="J227" s="68"/>
      <c r="K227" s="31"/>
      <c r="L227" s="86" t="str">
        <f>IF(Tabel1[[#This Row],[% uren 2:]]="","",Tabel1[[#This Row],[% uren 2:]]*Tabel1[[#This Row],[Totale uren:]])</f>
        <v/>
      </c>
      <c r="M227" s="72"/>
      <c r="N227" s="31"/>
      <c r="O227" s="85" t="str">
        <f>IF(Tabel1[[#This Row],[% uren 3:]]="","",Tabel1[[#This Row],[% uren 3:]]*Tabel1[[#This Row],[Totale uren:]])</f>
        <v/>
      </c>
      <c r="P227" s="138" t="str">
        <f>IF(Tabel1[[#This Row],[Ordernummer:]]="","",SUM(Tabel1[[#This Row],[% uren 1:]],Tabel1[[#This Row],[% uren 2:]],Tabel1[[#This Row],[% uren 3:]]))</f>
        <v/>
      </c>
      <c r="Q227" s="127"/>
      <c r="R227" s="128"/>
      <c r="S227" s="44"/>
      <c r="T227" s="25"/>
    </row>
    <row r="228" spans="2:20" x14ac:dyDescent="0.25">
      <c r="B228" s="7"/>
      <c r="C228" s="10"/>
      <c r="D228" s="10"/>
      <c r="E228" s="72"/>
      <c r="F228" s="73"/>
      <c r="G228" s="72"/>
      <c r="H228" s="31"/>
      <c r="I228" s="85" t="str">
        <f>IF(Tabel1[[#This Row],[% uren 1:]]="","",Tabel1[[#This Row],[% uren 1:]]*Tabel1[[#This Row],[Totale uren:]])</f>
        <v/>
      </c>
      <c r="J228" s="68"/>
      <c r="K228" s="31"/>
      <c r="L228" s="86" t="str">
        <f>IF(Tabel1[[#This Row],[% uren 2:]]="","",Tabel1[[#This Row],[% uren 2:]]*Tabel1[[#This Row],[Totale uren:]])</f>
        <v/>
      </c>
      <c r="M228" s="72"/>
      <c r="N228" s="31"/>
      <c r="O228" s="85" t="str">
        <f>IF(Tabel1[[#This Row],[% uren 3:]]="","",Tabel1[[#This Row],[% uren 3:]]*Tabel1[[#This Row],[Totale uren:]])</f>
        <v/>
      </c>
      <c r="P228" s="138" t="str">
        <f>IF(Tabel1[[#This Row],[Ordernummer:]]="","",SUM(Tabel1[[#This Row],[% uren 1:]],Tabel1[[#This Row],[% uren 2:]],Tabel1[[#This Row],[% uren 3:]]))</f>
        <v/>
      </c>
      <c r="Q228" s="127"/>
      <c r="R228" s="128"/>
      <c r="S228" s="44"/>
      <c r="T228" s="25"/>
    </row>
    <row r="229" spans="2:20" x14ac:dyDescent="0.25">
      <c r="B229" s="7"/>
      <c r="C229" s="10"/>
      <c r="D229" s="10"/>
      <c r="E229" s="72"/>
      <c r="F229" s="73"/>
      <c r="G229" s="72"/>
      <c r="H229" s="31"/>
      <c r="I229" s="85" t="str">
        <f>IF(Tabel1[[#This Row],[% uren 1:]]="","",Tabel1[[#This Row],[% uren 1:]]*Tabel1[[#This Row],[Totale uren:]])</f>
        <v/>
      </c>
      <c r="J229" s="68"/>
      <c r="K229" s="31"/>
      <c r="L229" s="86" t="str">
        <f>IF(Tabel1[[#This Row],[% uren 2:]]="","",Tabel1[[#This Row],[% uren 2:]]*Tabel1[[#This Row],[Totale uren:]])</f>
        <v/>
      </c>
      <c r="M229" s="72"/>
      <c r="N229" s="31"/>
      <c r="O229" s="85" t="str">
        <f>IF(Tabel1[[#This Row],[% uren 3:]]="","",Tabel1[[#This Row],[% uren 3:]]*Tabel1[[#This Row],[Totale uren:]])</f>
        <v/>
      </c>
      <c r="P229" s="138" t="str">
        <f>IF(Tabel1[[#This Row],[Ordernummer:]]="","",SUM(Tabel1[[#This Row],[% uren 1:]],Tabel1[[#This Row],[% uren 2:]],Tabel1[[#This Row],[% uren 3:]]))</f>
        <v/>
      </c>
      <c r="Q229" s="127"/>
      <c r="R229" s="128"/>
      <c r="S229" s="44"/>
      <c r="T229" s="25"/>
    </row>
    <row r="230" spans="2:20" x14ac:dyDescent="0.25">
      <c r="B230" s="7"/>
      <c r="C230" s="10"/>
      <c r="D230" s="10"/>
      <c r="E230" s="72"/>
      <c r="F230" s="73"/>
      <c r="G230" s="72"/>
      <c r="H230" s="31"/>
      <c r="I230" s="85" t="str">
        <f>IF(Tabel1[[#This Row],[% uren 1:]]="","",Tabel1[[#This Row],[% uren 1:]]*Tabel1[[#This Row],[Totale uren:]])</f>
        <v/>
      </c>
      <c r="J230" s="68"/>
      <c r="K230" s="31"/>
      <c r="L230" s="86" t="str">
        <f>IF(Tabel1[[#This Row],[% uren 2:]]="","",Tabel1[[#This Row],[% uren 2:]]*Tabel1[[#This Row],[Totale uren:]])</f>
        <v/>
      </c>
      <c r="M230" s="72"/>
      <c r="N230" s="31"/>
      <c r="O230" s="85" t="str">
        <f>IF(Tabel1[[#This Row],[% uren 3:]]="","",Tabel1[[#This Row],[% uren 3:]]*Tabel1[[#This Row],[Totale uren:]])</f>
        <v/>
      </c>
      <c r="P230" s="138" t="str">
        <f>IF(Tabel1[[#This Row],[Ordernummer:]]="","",SUM(Tabel1[[#This Row],[% uren 1:]],Tabel1[[#This Row],[% uren 2:]],Tabel1[[#This Row],[% uren 3:]]))</f>
        <v/>
      </c>
      <c r="Q230" s="127"/>
      <c r="R230" s="128"/>
      <c r="S230" s="44"/>
      <c r="T230" s="25"/>
    </row>
    <row r="231" spans="2:20" x14ac:dyDescent="0.25">
      <c r="B231" s="7"/>
      <c r="C231" s="10"/>
      <c r="D231" s="10"/>
      <c r="E231" s="72"/>
      <c r="F231" s="73"/>
      <c r="G231" s="72"/>
      <c r="H231" s="31"/>
      <c r="I231" s="85" t="str">
        <f>IF(Tabel1[[#This Row],[% uren 1:]]="","",Tabel1[[#This Row],[% uren 1:]]*Tabel1[[#This Row],[Totale uren:]])</f>
        <v/>
      </c>
      <c r="J231" s="68"/>
      <c r="K231" s="31"/>
      <c r="L231" s="86" t="str">
        <f>IF(Tabel1[[#This Row],[% uren 2:]]="","",Tabel1[[#This Row],[% uren 2:]]*Tabel1[[#This Row],[Totale uren:]])</f>
        <v/>
      </c>
      <c r="M231" s="72"/>
      <c r="N231" s="31"/>
      <c r="O231" s="85" t="str">
        <f>IF(Tabel1[[#This Row],[% uren 3:]]="","",Tabel1[[#This Row],[% uren 3:]]*Tabel1[[#This Row],[Totale uren:]])</f>
        <v/>
      </c>
      <c r="P231" s="138" t="str">
        <f>IF(Tabel1[[#This Row],[Ordernummer:]]="","",SUM(Tabel1[[#This Row],[% uren 1:]],Tabel1[[#This Row],[% uren 2:]],Tabel1[[#This Row],[% uren 3:]]))</f>
        <v/>
      </c>
      <c r="Q231" s="127"/>
      <c r="R231" s="128"/>
      <c r="S231" s="44"/>
      <c r="T231" s="25"/>
    </row>
    <row r="232" spans="2:20" x14ac:dyDescent="0.25">
      <c r="B232" s="7"/>
      <c r="C232" s="10"/>
      <c r="D232" s="10"/>
      <c r="E232" s="72"/>
      <c r="F232" s="73"/>
      <c r="G232" s="72"/>
      <c r="H232" s="31"/>
      <c r="I232" s="85" t="str">
        <f>IF(Tabel1[[#This Row],[% uren 1:]]="","",Tabel1[[#This Row],[% uren 1:]]*Tabel1[[#This Row],[Totale uren:]])</f>
        <v/>
      </c>
      <c r="J232" s="68"/>
      <c r="K232" s="31"/>
      <c r="L232" s="86" t="str">
        <f>IF(Tabel1[[#This Row],[% uren 2:]]="","",Tabel1[[#This Row],[% uren 2:]]*Tabel1[[#This Row],[Totale uren:]])</f>
        <v/>
      </c>
      <c r="M232" s="72"/>
      <c r="N232" s="31"/>
      <c r="O232" s="85" t="str">
        <f>IF(Tabel1[[#This Row],[% uren 3:]]="","",Tabel1[[#This Row],[% uren 3:]]*Tabel1[[#This Row],[Totale uren:]])</f>
        <v/>
      </c>
      <c r="P232" s="138" t="str">
        <f>IF(Tabel1[[#This Row],[Ordernummer:]]="","",SUM(Tabel1[[#This Row],[% uren 1:]],Tabel1[[#This Row],[% uren 2:]],Tabel1[[#This Row],[% uren 3:]]))</f>
        <v/>
      </c>
      <c r="Q232" s="127"/>
      <c r="R232" s="128"/>
      <c r="S232" s="44"/>
      <c r="T232" s="25"/>
    </row>
    <row r="233" spans="2:20" x14ac:dyDescent="0.25">
      <c r="B233" s="7"/>
      <c r="C233" s="10"/>
      <c r="D233" s="10"/>
      <c r="E233" s="72"/>
      <c r="F233" s="73"/>
      <c r="G233" s="72"/>
      <c r="H233" s="31"/>
      <c r="I233" s="85" t="str">
        <f>IF(Tabel1[[#This Row],[% uren 1:]]="","",Tabel1[[#This Row],[% uren 1:]]*Tabel1[[#This Row],[Totale uren:]])</f>
        <v/>
      </c>
      <c r="J233" s="68"/>
      <c r="K233" s="31"/>
      <c r="L233" s="86" t="str">
        <f>IF(Tabel1[[#This Row],[% uren 2:]]="","",Tabel1[[#This Row],[% uren 2:]]*Tabel1[[#This Row],[Totale uren:]])</f>
        <v/>
      </c>
      <c r="M233" s="72"/>
      <c r="N233" s="31"/>
      <c r="O233" s="85" t="str">
        <f>IF(Tabel1[[#This Row],[% uren 3:]]="","",Tabel1[[#This Row],[% uren 3:]]*Tabel1[[#This Row],[Totale uren:]])</f>
        <v/>
      </c>
      <c r="P233" s="138" t="str">
        <f>IF(Tabel1[[#This Row],[Ordernummer:]]="","",SUM(Tabel1[[#This Row],[% uren 1:]],Tabel1[[#This Row],[% uren 2:]],Tabel1[[#This Row],[% uren 3:]]))</f>
        <v/>
      </c>
      <c r="Q233" s="127"/>
      <c r="R233" s="128"/>
      <c r="S233" s="44"/>
      <c r="T233" s="25"/>
    </row>
    <row r="234" spans="2:20" x14ac:dyDescent="0.25">
      <c r="B234" s="7"/>
      <c r="C234" s="10"/>
      <c r="D234" s="10"/>
      <c r="E234" s="72"/>
      <c r="F234" s="73"/>
      <c r="G234" s="72"/>
      <c r="H234" s="31"/>
      <c r="I234" s="85" t="str">
        <f>IF(Tabel1[[#This Row],[% uren 1:]]="","",Tabel1[[#This Row],[% uren 1:]]*Tabel1[[#This Row],[Totale uren:]])</f>
        <v/>
      </c>
      <c r="J234" s="68"/>
      <c r="K234" s="31"/>
      <c r="L234" s="86" t="str">
        <f>IF(Tabel1[[#This Row],[% uren 2:]]="","",Tabel1[[#This Row],[% uren 2:]]*Tabel1[[#This Row],[Totale uren:]])</f>
        <v/>
      </c>
      <c r="M234" s="72"/>
      <c r="N234" s="31"/>
      <c r="O234" s="85" t="str">
        <f>IF(Tabel1[[#This Row],[% uren 3:]]="","",Tabel1[[#This Row],[% uren 3:]]*Tabel1[[#This Row],[Totale uren:]])</f>
        <v/>
      </c>
      <c r="P234" s="138" t="str">
        <f>IF(Tabel1[[#This Row],[Ordernummer:]]="","",SUM(Tabel1[[#This Row],[% uren 1:]],Tabel1[[#This Row],[% uren 2:]],Tabel1[[#This Row],[% uren 3:]]))</f>
        <v/>
      </c>
      <c r="Q234" s="127"/>
      <c r="R234" s="128"/>
      <c r="S234" s="44"/>
      <c r="T234" s="25"/>
    </row>
    <row r="235" spans="2:20" x14ac:dyDescent="0.25">
      <c r="B235" s="7"/>
      <c r="C235" s="10"/>
      <c r="D235" s="10"/>
      <c r="E235" s="72"/>
      <c r="F235" s="73"/>
      <c r="G235" s="72"/>
      <c r="H235" s="31"/>
      <c r="I235" s="85" t="str">
        <f>IF(Tabel1[[#This Row],[% uren 1:]]="","",Tabel1[[#This Row],[% uren 1:]]*Tabel1[[#This Row],[Totale uren:]])</f>
        <v/>
      </c>
      <c r="J235" s="68"/>
      <c r="K235" s="31"/>
      <c r="L235" s="86" t="str">
        <f>IF(Tabel1[[#This Row],[% uren 2:]]="","",Tabel1[[#This Row],[% uren 2:]]*Tabel1[[#This Row],[Totale uren:]])</f>
        <v/>
      </c>
      <c r="M235" s="72"/>
      <c r="N235" s="31"/>
      <c r="O235" s="85" t="str">
        <f>IF(Tabel1[[#This Row],[% uren 3:]]="","",Tabel1[[#This Row],[% uren 3:]]*Tabel1[[#This Row],[Totale uren:]])</f>
        <v/>
      </c>
      <c r="P235" s="138" t="str">
        <f>IF(Tabel1[[#This Row],[Ordernummer:]]="","",SUM(Tabel1[[#This Row],[% uren 1:]],Tabel1[[#This Row],[% uren 2:]],Tabel1[[#This Row],[% uren 3:]]))</f>
        <v/>
      </c>
      <c r="Q235" s="127"/>
      <c r="R235" s="128"/>
      <c r="S235" s="44"/>
      <c r="T235" s="25"/>
    </row>
    <row r="236" spans="2:20" x14ac:dyDescent="0.25">
      <c r="B236" s="7"/>
      <c r="C236" s="10"/>
      <c r="D236" s="10"/>
      <c r="E236" s="72"/>
      <c r="F236" s="73"/>
      <c r="G236" s="72"/>
      <c r="H236" s="31"/>
      <c r="I236" s="85" t="str">
        <f>IF(Tabel1[[#This Row],[% uren 1:]]="","",Tabel1[[#This Row],[% uren 1:]]*Tabel1[[#This Row],[Totale uren:]])</f>
        <v/>
      </c>
      <c r="J236" s="68"/>
      <c r="K236" s="31"/>
      <c r="L236" s="86" t="str">
        <f>IF(Tabel1[[#This Row],[% uren 2:]]="","",Tabel1[[#This Row],[% uren 2:]]*Tabel1[[#This Row],[Totale uren:]])</f>
        <v/>
      </c>
      <c r="M236" s="72"/>
      <c r="N236" s="31"/>
      <c r="O236" s="85" t="str">
        <f>IF(Tabel1[[#This Row],[% uren 3:]]="","",Tabel1[[#This Row],[% uren 3:]]*Tabel1[[#This Row],[Totale uren:]])</f>
        <v/>
      </c>
      <c r="P236" s="138" t="str">
        <f>IF(Tabel1[[#This Row],[Ordernummer:]]="","",SUM(Tabel1[[#This Row],[% uren 1:]],Tabel1[[#This Row],[% uren 2:]],Tabel1[[#This Row],[% uren 3:]]))</f>
        <v/>
      </c>
      <c r="Q236" s="127"/>
      <c r="R236" s="128"/>
      <c r="S236" s="44"/>
      <c r="T236" s="25"/>
    </row>
    <row r="237" spans="2:20" x14ac:dyDescent="0.25">
      <c r="B237" s="7"/>
      <c r="C237" s="10"/>
      <c r="D237" s="10"/>
      <c r="E237" s="72"/>
      <c r="F237" s="73"/>
      <c r="G237" s="72"/>
      <c r="H237" s="31"/>
      <c r="I237" s="85" t="str">
        <f>IF(Tabel1[[#This Row],[% uren 1:]]="","",Tabel1[[#This Row],[% uren 1:]]*Tabel1[[#This Row],[Totale uren:]])</f>
        <v/>
      </c>
      <c r="J237" s="68"/>
      <c r="K237" s="31"/>
      <c r="L237" s="86" t="str">
        <f>IF(Tabel1[[#This Row],[% uren 2:]]="","",Tabel1[[#This Row],[% uren 2:]]*Tabel1[[#This Row],[Totale uren:]])</f>
        <v/>
      </c>
      <c r="M237" s="72"/>
      <c r="N237" s="31"/>
      <c r="O237" s="85" t="str">
        <f>IF(Tabel1[[#This Row],[% uren 3:]]="","",Tabel1[[#This Row],[% uren 3:]]*Tabel1[[#This Row],[Totale uren:]])</f>
        <v/>
      </c>
      <c r="P237" s="138" t="str">
        <f>IF(Tabel1[[#This Row],[Ordernummer:]]="","",SUM(Tabel1[[#This Row],[% uren 1:]],Tabel1[[#This Row],[% uren 2:]],Tabel1[[#This Row],[% uren 3:]]))</f>
        <v/>
      </c>
      <c r="Q237" s="127"/>
      <c r="R237" s="128"/>
      <c r="S237" s="44"/>
      <c r="T237" s="25"/>
    </row>
    <row r="238" spans="2:20" x14ac:dyDescent="0.25">
      <c r="B238" s="7"/>
      <c r="C238" s="10"/>
      <c r="D238" s="10"/>
      <c r="E238" s="72"/>
      <c r="F238" s="73"/>
      <c r="G238" s="72"/>
      <c r="H238" s="31"/>
      <c r="I238" s="85" t="str">
        <f>IF(Tabel1[[#This Row],[% uren 1:]]="","",Tabel1[[#This Row],[% uren 1:]]*Tabel1[[#This Row],[Totale uren:]])</f>
        <v/>
      </c>
      <c r="J238" s="68"/>
      <c r="K238" s="31"/>
      <c r="L238" s="86" t="str">
        <f>IF(Tabel1[[#This Row],[% uren 2:]]="","",Tabel1[[#This Row],[% uren 2:]]*Tabel1[[#This Row],[Totale uren:]])</f>
        <v/>
      </c>
      <c r="M238" s="72"/>
      <c r="N238" s="31"/>
      <c r="O238" s="85" t="str">
        <f>IF(Tabel1[[#This Row],[% uren 3:]]="","",Tabel1[[#This Row],[% uren 3:]]*Tabel1[[#This Row],[Totale uren:]])</f>
        <v/>
      </c>
      <c r="P238" s="138" t="str">
        <f>IF(Tabel1[[#This Row],[Ordernummer:]]="","",SUM(Tabel1[[#This Row],[% uren 1:]],Tabel1[[#This Row],[% uren 2:]],Tabel1[[#This Row],[% uren 3:]]))</f>
        <v/>
      </c>
      <c r="Q238" s="127"/>
      <c r="R238" s="128"/>
      <c r="S238" s="44"/>
      <c r="T238" s="25"/>
    </row>
    <row r="239" spans="2:20" x14ac:dyDescent="0.25">
      <c r="B239" s="7"/>
      <c r="C239" s="10"/>
      <c r="D239" s="10"/>
      <c r="E239" s="72"/>
      <c r="F239" s="73"/>
      <c r="G239" s="72"/>
      <c r="H239" s="31"/>
      <c r="I239" s="85" t="str">
        <f>IF(Tabel1[[#This Row],[% uren 1:]]="","",Tabel1[[#This Row],[% uren 1:]]*Tabel1[[#This Row],[Totale uren:]])</f>
        <v/>
      </c>
      <c r="J239" s="68"/>
      <c r="K239" s="31"/>
      <c r="L239" s="86" t="str">
        <f>IF(Tabel1[[#This Row],[% uren 2:]]="","",Tabel1[[#This Row],[% uren 2:]]*Tabel1[[#This Row],[Totale uren:]])</f>
        <v/>
      </c>
      <c r="M239" s="72"/>
      <c r="N239" s="31"/>
      <c r="O239" s="85" t="str">
        <f>IF(Tabel1[[#This Row],[% uren 3:]]="","",Tabel1[[#This Row],[% uren 3:]]*Tabel1[[#This Row],[Totale uren:]])</f>
        <v/>
      </c>
      <c r="P239" s="138" t="str">
        <f>IF(Tabel1[[#This Row],[Ordernummer:]]="","",SUM(Tabel1[[#This Row],[% uren 1:]],Tabel1[[#This Row],[% uren 2:]],Tabel1[[#This Row],[% uren 3:]]))</f>
        <v/>
      </c>
      <c r="Q239" s="127"/>
      <c r="R239" s="128"/>
      <c r="S239" s="44"/>
      <c r="T239" s="25"/>
    </row>
    <row r="240" spans="2:20" x14ac:dyDescent="0.25">
      <c r="B240" s="7"/>
      <c r="C240" s="10"/>
      <c r="D240" s="10"/>
      <c r="E240" s="72"/>
      <c r="F240" s="73"/>
      <c r="G240" s="72"/>
      <c r="H240" s="31"/>
      <c r="I240" s="85" t="str">
        <f>IF(Tabel1[[#This Row],[% uren 1:]]="","",Tabel1[[#This Row],[% uren 1:]]*Tabel1[[#This Row],[Totale uren:]])</f>
        <v/>
      </c>
      <c r="J240" s="68"/>
      <c r="K240" s="31"/>
      <c r="L240" s="86" t="str">
        <f>IF(Tabel1[[#This Row],[% uren 2:]]="","",Tabel1[[#This Row],[% uren 2:]]*Tabel1[[#This Row],[Totale uren:]])</f>
        <v/>
      </c>
      <c r="M240" s="72"/>
      <c r="N240" s="31"/>
      <c r="O240" s="85" t="str">
        <f>IF(Tabel1[[#This Row],[% uren 3:]]="","",Tabel1[[#This Row],[% uren 3:]]*Tabel1[[#This Row],[Totale uren:]])</f>
        <v/>
      </c>
      <c r="P240" s="138" t="str">
        <f>IF(Tabel1[[#This Row],[Ordernummer:]]="","",SUM(Tabel1[[#This Row],[% uren 1:]],Tabel1[[#This Row],[% uren 2:]],Tabel1[[#This Row],[% uren 3:]]))</f>
        <v/>
      </c>
      <c r="Q240" s="127"/>
      <c r="R240" s="128"/>
      <c r="S240" s="44"/>
      <c r="T240" s="25"/>
    </row>
    <row r="241" spans="2:20" x14ac:dyDescent="0.25">
      <c r="B241" s="7"/>
      <c r="C241" s="10"/>
      <c r="D241" s="10"/>
      <c r="E241" s="72"/>
      <c r="F241" s="73"/>
      <c r="G241" s="72"/>
      <c r="H241" s="31"/>
      <c r="I241" s="85" t="str">
        <f>IF(Tabel1[[#This Row],[% uren 1:]]="","",Tabel1[[#This Row],[% uren 1:]]*Tabel1[[#This Row],[Totale uren:]])</f>
        <v/>
      </c>
      <c r="J241" s="68"/>
      <c r="K241" s="31"/>
      <c r="L241" s="86" t="str">
        <f>IF(Tabel1[[#This Row],[% uren 2:]]="","",Tabel1[[#This Row],[% uren 2:]]*Tabel1[[#This Row],[Totale uren:]])</f>
        <v/>
      </c>
      <c r="M241" s="72"/>
      <c r="N241" s="31"/>
      <c r="O241" s="85" t="str">
        <f>IF(Tabel1[[#This Row],[% uren 3:]]="","",Tabel1[[#This Row],[% uren 3:]]*Tabel1[[#This Row],[Totale uren:]])</f>
        <v/>
      </c>
      <c r="P241" s="138" t="str">
        <f>IF(Tabel1[[#This Row],[Ordernummer:]]="","",SUM(Tabel1[[#This Row],[% uren 1:]],Tabel1[[#This Row],[% uren 2:]],Tabel1[[#This Row],[% uren 3:]]))</f>
        <v/>
      </c>
      <c r="Q241" s="127"/>
      <c r="R241" s="128"/>
      <c r="S241" s="44"/>
      <c r="T241" s="25"/>
    </row>
    <row r="242" spans="2:20" x14ac:dyDescent="0.25">
      <c r="B242" s="7"/>
      <c r="C242" s="10"/>
      <c r="D242" s="10"/>
      <c r="E242" s="72"/>
      <c r="F242" s="73"/>
      <c r="G242" s="72"/>
      <c r="H242" s="31"/>
      <c r="I242" s="85" t="str">
        <f>IF(Tabel1[[#This Row],[% uren 1:]]="","",Tabel1[[#This Row],[% uren 1:]]*Tabel1[[#This Row],[Totale uren:]])</f>
        <v/>
      </c>
      <c r="J242" s="68"/>
      <c r="K242" s="31"/>
      <c r="L242" s="86" t="str">
        <f>IF(Tabel1[[#This Row],[% uren 2:]]="","",Tabel1[[#This Row],[% uren 2:]]*Tabel1[[#This Row],[Totale uren:]])</f>
        <v/>
      </c>
      <c r="M242" s="72"/>
      <c r="N242" s="31"/>
      <c r="O242" s="85" t="str">
        <f>IF(Tabel1[[#This Row],[% uren 3:]]="","",Tabel1[[#This Row],[% uren 3:]]*Tabel1[[#This Row],[Totale uren:]])</f>
        <v/>
      </c>
      <c r="P242" s="138" t="str">
        <f>IF(Tabel1[[#This Row],[Ordernummer:]]="","",SUM(Tabel1[[#This Row],[% uren 1:]],Tabel1[[#This Row],[% uren 2:]],Tabel1[[#This Row],[% uren 3:]]))</f>
        <v/>
      </c>
      <c r="Q242" s="127"/>
      <c r="R242" s="128"/>
      <c r="S242" s="44"/>
      <c r="T242" s="25"/>
    </row>
    <row r="243" spans="2:20" x14ac:dyDescent="0.25">
      <c r="B243" s="7"/>
      <c r="C243" s="10"/>
      <c r="D243" s="10"/>
      <c r="E243" s="72"/>
      <c r="F243" s="73"/>
      <c r="G243" s="72"/>
      <c r="H243" s="31"/>
      <c r="I243" s="85" t="str">
        <f>IF(Tabel1[[#This Row],[% uren 1:]]="","",Tabel1[[#This Row],[% uren 1:]]*Tabel1[[#This Row],[Totale uren:]])</f>
        <v/>
      </c>
      <c r="J243" s="68"/>
      <c r="K243" s="31"/>
      <c r="L243" s="86" t="str">
        <f>IF(Tabel1[[#This Row],[% uren 2:]]="","",Tabel1[[#This Row],[% uren 2:]]*Tabel1[[#This Row],[Totale uren:]])</f>
        <v/>
      </c>
      <c r="M243" s="72"/>
      <c r="N243" s="31"/>
      <c r="O243" s="85" t="str">
        <f>IF(Tabel1[[#This Row],[% uren 3:]]="","",Tabel1[[#This Row],[% uren 3:]]*Tabel1[[#This Row],[Totale uren:]])</f>
        <v/>
      </c>
      <c r="P243" s="138" t="str">
        <f>IF(Tabel1[[#This Row],[Ordernummer:]]="","",SUM(Tabel1[[#This Row],[% uren 1:]],Tabel1[[#This Row],[% uren 2:]],Tabel1[[#This Row],[% uren 3:]]))</f>
        <v/>
      </c>
      <c r="Q243" s="127"/>
      <c r="R243" s="128"/>
      <c r="S243" s="44"/>
      <c r="T243" s="25"/>
    </row>
    <row r="244" spans="2:20" x14ac:dyDescent="0.25">
      <c r="B244" s="7"/>
      <c r="C244" s="10"/>
      <c r="D244" s="10"/>
      <c r="E244" s="72"/>
      <c r="F244" s="73"/>
      <c r="G244" s="72"/>
      <c r="H244" s="31"/>
      <c r="I244" s="85" t="str">
        <f>IF(Tabel1[[#This Row],[% uren 1:]]="","",Tabel1[[#This Row],[% uren 1:]]*Tabel1[[#This Row],[Totale uren:]])</f>
        <v/>
      </c>
      <c r="J244" s="68"/>
      <c r="K244" s="31"/>
      <c r="L244" s="86" t="str">
        <f>IF(Tabel1[[#This Row],[% uren 2:]]="","",Tabel1[[#This Row],[% uren 2:]]*Tabel1[[#This Row],[Totale uren:]])</f>
        <v/>
      </c>
      <c r="M244" s="72"/>
      <c r="N244" s="31"/>
      <c r="O244" s="85" t="str">
        <f>IF(Tabel1[[#This Row],[% uren 3:]]="","",Tabel1[[#This Row],[% uren 3:]]*Tabel1[[#This Row],[Totale uren:]])</f>
        <v/>
      </c>
      <c r="P244" s="138" t="str">
        <f>IF(Tabel1[[#This Row],[Ordernummer:]]="","",SUM(Tabel1[[#This Row],[% uren 1:]],Tabel1[[#This Row],[% uren 2:]],Tabel1[[#This Row],[% uren 3:]]))</f>
        <v/>
      </c>
      <c r="Q244" s="127"/>
      <c r="R244" s="128"/>
      <c r="S244" s="44"/>
      <c r="T244" s="25"/>
    </row>
    <row r="245" spans="2:20" x14ac:dyDescent="0.25">
      <c r="B245" s="7"/>
      <c r="C245" s="10"/>
      <c r="D245" s="10"/>
      <c r="E245" s="72"/>
      <c r="F245" s="73"/>
      <c r="G245" s="72"/>
      <c r="H245" s="31"/>
      <c r="I245" s="85" t="str">
        <f>IF(Tabel1[[#This Row],[% uren 1:]]="","",Tabel1[[#This Row],[% uren 1:]]*Tabel1[[#This Row],[Totale uren:]])</f>
        <v/>
      </c>
      <c r="J245" s="68"/>
      <c r="K245" s="31"/>
      <c r="L245" s="86" t="str">
        <f>IF(Tabel1[[#This Row],[% uren 2:]]="","",Tabel1[[#This Row],[% uren 2:]]*Tabel1[[#This Row],[Totale uren:]])</f>
        <v/>
      </c>
      <c r="M245" s="72"/>
      <c r="N245" s="31"/>
      <c r="O245" s="85" t="str">
        <f>IF(Tabel1[[#This Row],[% uren 3:]]="","",Tabel1[[#This Row],[% uren 3:]]*Tabel1[[#This Row],[Totale uren:]])</f>
        <v/>
      </c>
      <c r="P245" s="138" t="str">
        <f>IF(Tabel1[[#This Row],[Ordernummer:]]="","",SUM(Tabel1[[#This Row],[% uren 1:]],Tabel1[[#This Row],[% uren 2:]],Tabel1[[#This Row],[% uren 3:]]))</f>
        <v/>
      </c>
      <c r="Q245" s="127"/>
      <c r="R245" s="128"/>
      <c r="S245" s="44"/>
      <c r="T245" s="25"/>
    </row>
    <row r="246" spans="2:20" x14ac:dyDescent="0.25">
      <c r="B246" s="7"/>
      <c r="C246" s="10"/>
      <c r="D246" s="10"/>
      <c r="E246" s="72"/>
      <c r="F246" s="73"/>
      <c r="G246" s="72"/>
      <c r="H246" s="31"/>
      <c r="I246" s="85" t="str">
        <f>IF(Tabel1[[#This Row],[% uren 1:]]="","",Tabel1[[#This Row],[% uren 1:]]*Tabel1[[#This Row],[Totale uren:]])</f>
        <v/>
      </c>
      <c r="J246" s="68"/>
      <c r="K246" s="31"/>
      <c r="L246" s="86" t="str">
        <f>IF(Tabel1[[#This Row],[% uren 2:]]="","",Tabel1[[#This Row],[% uren 2:]]*Tabel1[[#This Row],[Totale uren:]])</f>
        <v/>
      </c>
      <c r="M246" s="72"/>
      <c r="N246" s="31"/>
      <c r="O246" s="85" t="str">
        <f>IF(Tabel1[[#This Row],[% uren 3:]]="","",Tabel1[[#This Row],[% uren 3:]]*Tabel1[[#This Row],[Totale uren:]])</f>
        <v/>
      </c>
      <c r="P246" s="138" t="str">
        <f>IF(Tabel1[[#This Row],[Ordernummer:]]="","",SUM(Tabel1[[#This Row],[% uren 1:]],Tabel1[[#This Row],[% uren 2:]],Tabel1[[#This Row],[% uren 3:]]))</f>
        <v/>
      </c>
      <c r="Q246" s="127"/>
      <c r="R246" s="128"/>
      <c r="S246" s="44"/>
      <c r="T246" s="25"/>
    </row>
    <row r="247" spans="2:20" x14ac:dyDescent="0.25">
      <c r="B247" s="7"/>
      <c r="C247" s="10"/>
      <c r="D247" s="10"/>
      <c r="E247" s="72"/>
      <c r="F247" s="73"/>
      <c r="G247" s="72"/>
      <c r="H247" s="31"/>
      <c r="I247" s="85" t="str">
        <f>IF(Tabel1[[#This Row],[% uren 1:]]="","",Tabel1[[#This Row],[% uren 1:]]*Tabel1[[#This Row],[Totale uren:]])</f>
        <v/>
      </c>
      <c r="J247" s="68"/>
      <c r="K247" s="31"/>
      <c r="L247" s="86" t="str">
        <f>IF(Tabel1[[#This Row],[% uren 2:]]="","",Tabel1[[#This Row],[% uren 2:]]*Tabel1[[#This Row],[Totale uren:]])</f>
        <v/>
      </c>
      <c r="M247" s="72"/>
      <c r="N247" s="31"/>
      <c r="O247" s="85" t="str">
        <f>IF(Tabel1[[#This Row],[% uren 3:]]="","",Tabel1[[#This Row],[% uren 3:]]*Tabel1[[#This Row],[Totale uren:]])</f>
        <v/>
      </c>
      <c r="P247" s="138" t="str">
        <f>IF(Tabel1[[#This Row],[Ordernummer:]]="","",SUM(Tabel1[[#This Row],[% uren 1:]],Tabel1[[#This Row],[% uren 2:]],Tabel1[[#This Row],[% uren 3:]]))</f>
        <v/>
      </c>
      <c r="Q247" s="127"/>
      <c r="R247" s="128"/>
      <c r="S247" s="44"/>
      <c r="T247" s="25"/>
    </row>
    <row r="248" spans="2:20" x14ac:dyDescent="0.25">
      <c r="B248" s="7"/>
      <c r="C248" s="10"/>
      <c r="D248" s="10"/>
      <c r="E248" s="72"/>
      <c r="F248" s="73"/>
      <c r="G248" s="72"/>
      <c r="H248" s="31"/>
      <c r="I248" s="85" t="str">
        <f>IF(Tabel1[[#This Row],[% uren 1:]]="","",Tabel1[[#This Row],[% uren 1:]]*Tabel1[[#This Row],[Totale uren:]])</f>
        <v/>
      </c>
      <c r="J248" s="68"/>
      <c r="K248" s="31"/>
      <c r="L248" s="86" t="str">
        <f>IF(Tabel1[[#This Row],[% uren 2:]]="","",Tabel1[[#This Row],[% uren 2:]]*Tabel1[[#This Row],[Totale uren:]])</f>
        <v/>
      </c>
      <c r="M248" s="72"/>
      <c r="N248" s="31"/>
      <c r="O248" s="85" t="str">
        <f>IF(Tabel1[[#This Row],[% uren 3:]]="","",Tabel1[[#This Row],[% uren 3:]]*Tabel1[[#This Row],[Totale uren:]])</f>
        <v/>
      </c>
      <c r="P248" s="138" t="str">
        <f>IF(Tabel1[[#This Row],[Ordernummer:]]="","",SUM(Tabel1[[#This Row],[% uren 1:]],Tabel1[[#This Row],[% uren 2:]],Tabel1[[#This Row],[% uren 3:]]))</f>
        <v/>
      </c>
      <c r="Q248" s="127"/>
      <c r="R248" s="128"/>
      <c r="S248" s="44"/>
      <c r="T248" s="25"/>
    </row>
    <row r="249" spans="2:20" x14ac:dyDescent="0.25">
      <c r="B249" s="7"/>
      <c r="C249" s="10"/>
      <c r="D249" s="10"/>
      <c r="E249" s="72"/>
      <c r="F249" s="73"/>
      <c r="G249" s="72"/>
      <c r="H249" s="31"/>
      <c r="I249" s="85" t="str">
        <f>IF(Tabel1[[#This Row],[% uren 1:]]="","",Tabel1[[#This Row],[% uren 1:]]*Tabel1[[#This Row],[Totale uren:]])</f>
        <v/>
      </c>
      <c r="J249" s="68"/>
      <c r="K249" s="31"/>
      <c r="L249" s="86" t="str">
        <f>IF(Tabel1[[#This Row],[% uren 2:]]="","",Tabel1[[#This Row],[% uren 2:]]*Tabel1[[#This Row],[Totale uren:]])</f>
        <v/>
      </c>
      <c r="M249" s="72"/>
      <c r="N249" s="31"/>
      <c r="O249" s="85" t="str">
        <f>IF(Tabel1[[#This Row],[% uren 3:]]="","",Tabel1[[#This Row],[% uren 3:]]*Tabel1[[#This Row],[Totale uren:]])</f>
        <v/>
      </c>
      <c r="P249" s="138" t="str">
        <f>IF(Tabel1[[#This Row],[Ordernummer:]]="","",SUM(Tabel1[[#This Row],[% uren 1:]],Tabel1[[#This Row],[% uren 2:]],Tabel1[[#This Row],[% uren 3:]]))</f>
        <v/>
      </c>
      <c r="Q249" s="127"/>
      <c r="R249" s="128"/>
      <c r="S249" s="44"/>
      <c r="T249" s="25"/>
    </row>
    <row r="250" spans="2:20" x14ac:dyDescent="0.25">
      <c r="B250" s="7"/>
      <c r="C250" s="10"/>
      <c r="D250" s="10"/>
      <c r="E250" s="72"/>
      <c r="F250" s="73"/>
      <c r="G250" s="72"/>
      <c r="H250" s="31"/>
      <c r="I250" s="85" t="str">
        <f>IF(Tabel1[[#This Row],[% uren 1:]]="","",Tabel1[[#This Row],[% uren 1:]]*Tabel1[[#This Row],[Totale uren:]])</f>
        <v/>
      </c>
      <c r="J250" s="68"/>
      <c r="K250" s="31"/>
      <c r="L250" s="86" t="str">
        <f>IF(Tabel1[[#This Row],[% uren 2:]]="","",Tabel1[[#This Row],[% uren 2:]]*Tabel1[[#This Row],[Totale uren:]])</f>
        <v/>
      </c>
      <c r="M250" s="72"/>
      <c r="N250" s="31"/>
      <c r="O250" s="85" t="str">
        <f>IF(Tabel1[[#This Row],[% uren 3:]]="","",Tabel1[[#This Row],[% uren 3:]]*Tabel1[[#This Row],[Totale uren:]])</f>
        <v/>
      </c>
      <c r="P250" s="138" t="str">
        <f>IF(Tabel1[[#This Row],[Ordernummer:]]="","",SUM(Tabel1[[#This Row],[% uren 1:]],Tabel1[[#This Row],[% uren 2:]],Tabel1[[#This Row],[% uren 3:]]))</f>
        <v/>
      </c>
      <c r="Q250" s="127"/>
      <c r="R250" s="128"/>
      <c r="S250" s="44"/>
      <c r="T250" s="25"/>
    </row>
    <row r="251" spans="2:20" x14ac:dyDescent="0.25">
      <c r="B251" s="7"/>
      <c r="C251" s="10"/>
      <c r="D251" s="10"/>
      <c r="E251" s="72"/>
      <c r="F251" s="73"/>
      <c r="G251" s="72"/>
      <c r="H251" s="31"/>
      <c r="I251" s="85" t="str">
        <f>IF(Tabel1[[#This Row],[% uren 1:]]="","",Tabel1[[#This Row],[% uren 1:]]*Tabel1[[#This Row],[Totale uren:]])</f>
        <v/>
      </c>
      <c r="J251" s="68"/>
      <c r="K251" s="31"/>
      <c r="L251" s="86" t="str">
        <f>IF(Tabel1[[#This Row],[% uren 2:]]="","",Tabel1[[#This Row],[% uren 2:]]*Tabel1[[#This Row],[Totale uren:]])</f>
        <v/>
      </c>
      <c r="M251" s="72"/>
      <c r="N251" s="31"/>
      <c r="O251" s="85" t="str">
        <f>IF(Tabel1[[#This Row],[% uren 3:]]="","",Tabel1[[#This Row],[% uren 3:]]*Tabel1[[#This Row],[Totale uren:]])</f>
        <v/>
      </c>
      <c r="P251" s="138" t="str">
        <f>IF(Tabel1[[#This Row],[Ordernummer:]]="","",SUM(Tabel1[[#This Row],[% uren 1:]],Tabel1[[#This Row],[% uren 2:]],Tabel1[[#This Row],[% uren 3:]]))</f>
        <v/>
      </c>
      <c r="Q251" s="127"/>
      <c r="R251" s="128"/>
      <c r="S251" s="44"/>
      <c r="T251" s="25"/>
    </row>
    <row r="252" spans="2:20" x14ac:dyDescent="0.25">
      <c r="B252" s="7"/>
      <c r="C252" s="10"/>
      <c r="D252" s="10"/>
      <c r="E252" s="72"/>
      <c r="F252" s="73"/>
      <c r="G252" s="72"/>
      <c r="H252" s="31"/>
      <c r="I252" s="85" t="str">
        <f>IF(Tabel1[[#This Row],[% uren 1:]]="","",Tabel1[[#This Row],[% uren 1:]]*Tabel1[[#This Row],[Totale uren:]])</f>
        <v/>
      </c>
      <c r="J252" s="68"/>
      <c r="K252" s="31"/>
      <c r="L252" s="86" t="str">
        <f>IF(Tabel1[[#This Row],[% uren 2:]]="","",Tabel1[[#This Row],[% uren 2:]]*Tabel1[[#This Row],[Totale uren:]])</f>
        <v/>
      </c>
      <c r="M252" s="72"/>
      <c r="N252" s="31"/>
      <c r="O252" s="85" t="str">
        <f>IF(Tabel1[[#This Row],[% uren 3:]]="","",Tabel1[[#This Row],[% uren 3:]]*Tabel1[[#This Row],[Totale uren:]])</f>
        <v/>
      </c>
      <c r="P252" s="138" t="str">
        <f>IF(Tabel1[[#This Row],[Ordernummer:]]="","",SUM(Tabel1[[#This Row],[% uren 1:]],Tabel1[[#This Row],[% uren 2:]],Tabel1[[#This Row],[% uren 3:]]))</f>
        <v/>
      </c>
      <c r="Q252" s="127"/>
      <c r="R252" s="128"/>
      <c r="S252" s="44"/>
      <c r="T252" s="25"/>
    </row>
    <row r="253" spans="2:20" x14ac:dyDescent="0.25">
      <c r="B253" s="7"/>
      <c r="C253" s="10"/>
      <c r="D253" s="10"/>
      <c r="E253" s="72"/>
      <c r="F253" s="73"/>
      <c r="G253" s="72"/>
      <c r="H253" s="31"/>
      <c r="I253" s="85" t="str">
        <f>IF(Tabel1[[#This Row],[% uren 1:]]="","",Tabel1[[#This Row],[% uren 1:]]*Tabel1[[#This Row],[Totale uren:]])</f>
        <v/>
      </c>
      <c r="J253" s="68"/>
      <c r="K253" s="31"/>
      <c r="L253" s="86" t="str">
        <f>IF(Tabel1[[#This Row],[% uren 2:]]="","",Tabel1[[#This Row],[% uren 2:]]*Tabel1[[#This Row],[Totale uren:]])</f>
        <v/>
      </c>
      <c r="M253" s="72"/>
      <c r="N253" s="31"/>
      <c r="O253" s="85" t="str">
        <f>IF(Tabel1[[#This Row],[% uren 3:]]="","",Tabel1[[#This Row],[% uren 3:]]*Tabel1[[#This Row],[Totale uren:]])</f>
        <v/>
      </c>
      <c r="P253" s="138" t="str">
        <f>IF(Tabel1[[#This Row],[Ordernummer:]]="","",SUM(Tabel1[[#This Row],[% uren 1:]],Tabel1[[#This Row],[% uren 2:]],Tabel1[[#This Row],[% uren 3:]]))</f>
        <v/>
      </c>
      <c r="Q253" s="127"/>
      <c r="R253" s="128"/>
      <c r="S253" s="44"/>
      <c r="T253" s="25"/>
    </row>
    <row r="254" spans="2:20" x14ac:dyDescent="0.25">
      <c r="B254" s="7"/>
      <c r="C254" s="10"/>
      <c r="D254" s="10"/>
      <c r="E254" s="72"/>
      <c r="F254" s="73"/>
      <c r="G254" s="72"/>
      <c r="H254" s="31"/>
      <c r="I254" s="85" t="str">
        <f>IF(Tabel1[[#This Row],[% uren 1:]]="","",Tabel1[[#This Row],[% uren 1:]]*Tabel1[[#This Row],[Totale uren:]])</f>
        <v/>
      </c>
      <c r="J254" s="68"/>
      <c r="K254" s="31"/>
      <c r="L254" s="86" t="str">
        <f>IF(Tabel1[[#This Row],[% uren 2:]]="","",Tabel1[[#This Row],[% uren 2:]]*Tabel1[[#This Row],[Totale uren:]])</f>
        <v/>
      </c>
      <c r="M254" s="72"/>
      <c r="N254" s="31"/>
      <c r="O254" s="85" t="str">
        <f>IF(Tabel1[[#This Row],[% uren 3:]]="","",Tabel1[[#This Row],[% uren 3:]]*Tabel1[[#This Row],[Totale uren:]])</f>
        <v/>
      </c>
      <c r="P254" s="138" t="str">
        <f>IF(Tabel1[[#This Row],[Ordernummer:]]="","",SUM(Tabel1[[#This Row],[% uren 1:]],Tabel1[[#This Row],[% uren 2:]],Tabel1[[#This Row],[% uren 3:]]))</f>
        <v/>
      </c>
      <c r="Q254" s="127"/>
      <c r="R254" s="128"/>
      <c r="S254" s="44"/>
      <c r="T254" s="25"/>
    </row>
    <row r="255" spans="2:20" x14ac:dyDescent="0.25">
      <c r="B255" s="7"/>
      <c r="C255" s="10"/>
      <c r="D255" s="10"/>
      <c r="E255" s="72"/>
      <c r="F255" s="73"/>
      <c r="G255" s="72"/>
      <c r="H255" s="31"/>
      <c r="I255" s="85" t="str">
        <f>IF(Tabel1[[#This Row],[% uren 1:]]="","",Tabel1[[#This Row],[% uren 1:]]*Tabel1[[#This Row],[Totale uren:]])</f>
        <v/>
      </c>
      <c r="J255" s="68"/>
      <c r="K255" s="31"/>
      <c r="L255" s="86" t="str">
        <f>IF(Tabel1[[#This Row],[% uren 2:]]="","",Tabel1[[#This Row],[% uren 2:]]*Tabel1[[#This Row],[Totale uren:]])</f>
        <v/>
      </c>
      <c r="M255" s="72"/>
      <c r="N255" s="31"/>
      <c r="O255" s="85" t="str">
        <f>IF(Tabel1[[#This Row],[% uren 3:]]="","",Tabel1[[#This Row],[% uren 3:]]*Tabel1[[#This Row],[Totale uren:]])</f>
        <v/>
      </c>
      <c r="P255" s="138" t="str">
        <f>IF(Tabel1[[#This Row],[Ordernummer:]]="","",SUM(Tabel1[[#This Row],[% uren 1:]],Tabel1[[#This Row],[% uren 2:]],Tabel1[[#This Row],[% uren 3:]]))</f>
        <v/>
      </c>
      <c r="Q255" s="127"/>
      <c r="R255" s="128"/>
      <c r="S255" s="44"/>
      <c r="T255" s="25"/>
    </row>
    <row r="256" spans="2:20" x14ac:dyDescent="0.25">
      <c r="B256" s="7"/>
      <c r="C256" s="10"/>
      <c r="D256" s="10"/>
      <c r="E256" s="72"/>
      <c r="F256" s="73"/>
      <c r="G256" s="72"/>
      <c r="H256" s="31"/>
      <c r="I256" s="85" t="str">
        <f>IF(Tabel1[[#This Row],[% uren 1:]]="","",Tabel1[[#This Row],[% uren 1:]]*Tabel1[[#This Row],[Totale uren:]])</f>
        <v/>
      </c>
      <c r="J256" s="68"/>
      <c r="K256" s="31"/>
      <c r="L256" s="86" t="str">
        <f>IF(Tabel1[[#This Row],[% uren 2:]]="","",Tabel1[[#This Row],[% uren 2:]]*Tabel1[[#This Row],[Totale uren:]])</f>
        <v/>
      </c>
      <c r="M256" s="72"/>
      <c r="N256" s="31"/>
      <c r="O256" s="85" t="str">
        <f>IF(Tabel1[[#This Row],[% uren 3:]]="","",Tabel1[[#This Row],[% uren 3:]]*Tabel1[[#This Row],[Totale uren:]])</f>
        <v/>
      </c>
      <c r="P256" s="138" t="str">
        <f>IF(Tabel1[[#This Row],[Ordernummer:]]="","",SUM(Tabel1[[#This Row],[% uren 1:]],Tabel1[[#This Row],[% uren 2:]],Tabel1[[#This Row],[% uren 3:]]))</f>
        <v/>
      </c>
      <c r="Q256" s="127"/>
      <c r="R256" s="128"/>
      <c r="S256" s="44"/>
      <c r="T256" s="25"/>
    </row>
    <row r="257" spans="2:20" x14ac:dyDescent="0.25">
      <c r="B257" s="7"/>
      <c r="C257" s="10"/>
      <c r="D257" s="10"/>
      <c r="E257" s="72"/>
      <c r="F257" s="73"/>
      <c r="G257" s="72"/>
      <c r="H257" s="31"/>
      <c r="I257" s="85" t="str">
        <f>IF(Tabel1[[#This Row],[% uren 1:]]="","",Tabel1[[#This Row],[% uren 1:]]*Tabel1[[#This Row],[Totale uren:]])</f>
        <v/>
      </c>
      <c r="J257" s="68"/>
      <c r="K257" s="31"/>
      <c r="L257" s="86" t="str">
        <f>IF(Tabel1[[#This Row],[% uren 2:]]="","",Tabel1[[#This Row],[% uren 2:]]*Tabel1[[#This Row],[Totale uren:]])</f>
        <v/>
      </c>
      <c r="M257" s="72"/>
      <c r="N257" s="31"/>
      <c r="O257" s="85" t="str">
        <f>IF(Tabel1[[#This Row],[% uren 3:]]="","",Tabel1[[#This Row],[% uren 3:]]*Tabel1[[#This Row],[Totale uren:]])</f>
        <v/>
      </c>
      <c r="P257" s="138" t="str">
        <f>IF(Tabel1[[#This Row],[Ordernummer:]]="","",SUM(Tabel1[[#This Row],[% uren 1:]],Tabel1[[#This Row],[% uren 2:]],Tabel1[[#This Row],[% uren 3:]]))</f>
        <v/>
      </c>
      <c r="Q257" s="127"/>
      <c r="R257" s="128"/>
      <c r="S257" s="44"/>
      <c r="T257" s="25"/>
    </row>
    <row r="258" spans="2:20" x14ac:dyDescent="0.25">
      <c r="B258" s="7"/>
      <c r="C258" s="10"/>
      <c r="D258" s="10"/>
      <c r="E258" s="72"/>
      <c r="F258" s="73"/>
      <c r="G258" s="72"/>
      <c r="H258" s="31"/>
      <c r="I258" s="85" t="str">
        <f>IF(Tabel1[[#This Row],[% uren 1:]]="","",Tabel1[[#This Row],[% uren 1:]]*Tabel1[[#This Row],[Totale uren:]])</f>
        <v/>
      </c>
      <c r="J258" s="68"/>
      <c r="K258" s="31"/>
      <c r="L258" s="86" t="str">
        <f>IF(Tabel1[[#This Row],[% uren 2:]]="","",Tabel1[[#This Row],[% uren 2:]]*Tabel1[[#This Row],[Totale uren:]])</f>
        <v/>
      </c>
      <c r="M258" s="72"/>
      <c r="N258" s="31"/>
      <c r="O258" s="85" t="str">
        <f>IF(Tabel1[[#This Row],[% uren 3:]]="","",Tabel1[[#This Row],[% uren 3:]]*Tabel1[[#This Row],[Totale uren:]])</f>
        <v/>
      </c>
      <c r="P258" s="138" t="str">
        <f>IF(Tabel1[[#This Row],[Ordernummer:]]="","",SUM(Tabel1[[#This Row],[% uren 1:]],Tabel1[[#This Row],[% uren 2:]],Tabel1[[#This Row],[% uren 3:]]))</f>
        <v/>
      </c>
      <c r="Q258" s="127"/>
      <c r="R258" s="128"/>
      <c r="S258" s="44"/>
      <c r="T258" s="25"/>
    </row>
    <row r="259" spans="2:20" x14ac:dyDescent="0.25">
      <c r="B259" s="7"/>
      <c r="C259" s="10"/>
      <c r="D259" s="10"/>
      <c r="E259" s="72"/>
      <c r="F259" s="73"/>
      <c r="G259" s="72"/>
      <c r="H259" s="31"/>
      <c r="I259" s="85" t="str">
        <f>IF(Tabel1[[#This Row],[% uren 1:]]="","",Tabel1[[#This Row],[% uren 1:]]*Tabel1[[#This Row],[Totale uren:]])</f>
        <v/>
      </c>
      <c r="J259" s="68"/>
      <c r="K259" s="31"/>
      <c r="L259" s="86" t="str">
        <f>IF(Tabel1[[#This Row],[% uren 2:]]="","",Tabel1[[#This Row],[% uren 2:]]*Tabel1[[#This Row],[Totale uren:]])</f>
        <v/>
      </c>
      <c r="M259" s="72"/>
      <c r="N259" s="31"/>
      <c r="O259" s="85" t="str">
        <f>IF(Tabel1[[#This Row],[% uren 3:]]="","",Tabel1[[#This Row],[% uren 3:]]*Tabel1[[#This Row],[Totale uren:]])</f>
        <v/>
      </c>
      <c r="P259" s="138" t="str">
        <f>IF(Tabel1[[#This Row],[Ordernummer:]]="","",SUM(Tabel1[[#This Row],[% uren 1:]],Tabel1[[#This Row],[% uren 2:]],Tabel1[[#This Row],[% uren 3:]]))</f>
        <v/>
      </c>
      <c r="Q259" s="127"/>
      <c r="R259" s="128"/>
      <c r="S259" s="44"/>
      <c r="T259" s="25"/>
    </row>
    <row r="260" spans="2:20" x14ac:dyDescent="0.25">
      <c r="B260" s="7"/>
      <c r="C260" s="10"/>
      <c r="D260" s="10"/>
      <c r="E260" s="72"/>
      <c r="F260" s="73"/>
      <c r="G260" s="72"/>
      <c r="H260" s="31"/>
      <c r="I260" s="85" t="str">
        <f>IF(Tabel1[[#This Row],[% uren 1:]]="","",Tabel1[[#This Row],[% uren 1:]]*Tabel1[[#This Row],[Totale uren:]])</f>
        <v/>
      </c>
      <c r="J260" s="68"/>
      <c r="K260" s="31"/>
      <c r="L260" s="86" t="str">
        <f>IF(Tabel1[[#This Row],[% uren 2:]]="","",Tabel1[[#This Row],[% uren 2:]]*Tabel1[[#This Row],[Totale uren:]])</f>
        <v/>
      </c>
      <c r="M260" s="72"/>
      <c r="N260" s="31"/>
      <c r="O260" s="85" t="str">
        <f>IF(Tabel1[[#This Row],[% uren 3:]]="","",Tabel1[[#This Row],[% uren 3:]]*Tabel1[[#This Row],[Totale uren:]])</f>
        <v/>
      </c>
      <c r="P260" s="138" t="str">
        <f>IF(Tabel1[[#This Row],[Ordernummer:]]="","",SUM(Tabel1[[#This Row],[% uren 1:]],Tabel1[[#This Row],[% uren 2:]],Tabel1[[#This Row],[% uren 3:]]))</f>
        <v/>
      </c>
      <c r="Q260" s="127"/>
      <c r="R260" s="128"/>
      <c r="S260" s="44"/>
      <c r="T260" s="25"/>
    </row>
    <row r="261" spans="2:20" x14ac:dyDescent="0.25">
      <c r="B261" s="7"/>
      <c r="C261" s="10"/>
      <c r="D261" s="10"/>
      <c r="E261" s="72"/>
      <c r="F261" s="73"/>
      <c r="G261" s="72"/>
      <c r="H261" s="31"/>
      <c r="I261" s="85" t="str">
        <f>IF(Tabel1[[#This Row],[% uren 1:]]="","",Tabel1[[#This Row],[% uren 1:]]*Tabel1[[#This Row],[Totale uren:]])</f>
        <v/>
      </c>
      <c r="J261" s="68"/>
      <c r="K261" s="31"/>
      <c r="L261" s="86" t="str">
        <f>IF(Tabel1[[#This Row],[% uren 2:]]="","",Tabel1[[#This Row],[% uren 2:]]*Tabel1[[#This Row],[Totale uren:]])</f>
        <v/>
      </c>
      <c r="M261" s="72"/>
      <c r="N261" s="31"/>
      <c r="O261" s="85" t="str">
        <f>IF(Tabel1[[#This Row],[% uren 3:]]="","",Tabel1[[#This Row],[% uren 3:]]*Tabel1[[#This Row],[Totale uren:]])</f>
        <v/>
      </c>
      <c r="P261" s="138" t="str">
        <f>IF(Tabel1[[#This Row],[Ordernummer:]]="","",SUM(Tabel1[[#This Row],[% uren 1:]],Tabel1[[#This Row],[% uren 2:]],Tabel1[[#This Row],[% uren 3:]]))</f>
        <v/>
      </c>
      <c r="Q261" s="127"/>
      <c r="R261" s="128"/>
      <c r="S261" s="44"/>
      <c r="T261" s="25"/>
    </row>
    <row r="262" spans="2:20" x14ac:dyDescent="0.25">
      <c r="B262" s="7"/>
      <c r="C262" s="10"/>
      <c r="D262" s="10"/>
      <c r="E262" s="72"/>
      <c r="F262" s="73"/>
      <c r="G262" s="72"/>
      <c r="H262" s="31"/>
      <c r="I262" s="85" t="str">
        <f>IF(Tabel1[[#This Row],[% uren 1:]]="","",Tabel1[[#This Row],[% uren 1:]]*Tabel1[[#This Row],[Totale uren:]])</f>
        <v/>
      </c>
      <c r="J262" s="68"/>
      <c r="K262" s="31"/>
      <c r="L262" s="86" t="str">
        <f>IF(Tabel1[[#This Row],[% uren 2:]]="","",Tabel1[[#This Row],[% uren 2:]]*Tabel1[[#This Row],[Totale uren:]])</f>
        <v/>
      </c>
      <c r="M262" s="72"/>
      <c r="N262" s="31"/>
      <c r="O262" s="85" t="str">
        <f>IF(Tabel1[[#This Row],[% uren 3:]]="","",Tabel1[[#This Row],[% uren 3:]]*Tabel1[[#This Row],[Totale uren:]])</f>
        <v/>
      </c>
      <c r="P262" s="138" t="str">
        <f>IF(Tabel1[[#This Row],[Ordernummer:]]="","",SUM(Tabel1[[#This Row],[% uren 1:]],Tabel1[[#This Row],[% uren 2:]],Tabel1[[#This Row],[% uren 3:]]))</f>
        <v/>
      </c>
      <c r="Q262" s="127"/>
      <c r="R262" s="128"/>
      <c r="S262" s="44"/>
      <c r="T262" s="25"/>
    </row>
    <row r="263" spans="2:20" x14ac:dyDescent="0.25">
      <c r="B263" s="7"/>
      <c r="C263" s="10"/>
      <c r="D263" s="10"/>
      <c r="E263" s="72"/>
      <c r="F263" s="73"/>
      <c r="G263" s="72"/>
      <c r="H263" s="31"/>
      <c r="I263" s="85" t="str">
        <f>IF(Tabel1[[#This Row],[% uren 1:]]="","",Tabel1[[#This Row],[% uren 1:]]*Tabel1[[#This Row],[Totale uren:]])</f>
        <v/>
      </c>
      <c r="J263" s="68"/>
      <c r="K263" s="31"/>
      <c r="L263" s="86" t="str">
        <f>IF(Tabel1[[#This Row],[% uren 2:]]="","",Tabel1[[#This Row],[% uren 2:]]*Tabel1[[#This Row],[Totale uren:]])</f>
        <v/>
      </c>
      <c r="M263" s="72"/>
      <c r="N263" s="31"/>
      <c r="O263" s="85" t="str">
        <f>IF(Tabel1[[#This Row],[% uren 3:]]="","",Tabel1[[#This Row],[% uren 3:]]*Tabel1[[#This Row],[Totale uren:]])</f>
        <v/>
      </c>
      <c r="P263" s="138" t="str">
        <f>IF(Tabel1[[#This Row],[Ordernummer:]]="","",SUM(Tabel1[[#This Row],[% uren 1:]],Tabel1[[#This Row],[% uren 2:]],Tabel1[[#This Row],[% uren 3:]]))</f>
        <v/>
      </c>
      <c r="Q263" s="127"/>
      <c r="R263" s="128"/>
      <c r="S263" s="44"/>
      <c r="T263" s="25"/>
    </row>
    <row r="264" spans="2:20" x14ac:dyDescent="0.25">
      <c r="B264" s="7"/>
      <c r="C264" s="10"/>
      <c r="D264" s="10"/>
      <c r="E264" s="72"/>
      <c r="F264" s="73"/>
      <c r="G264" s="72"/>
      <c r="H264" s="31"/>
      <c r="I264" s="85" t="str">
        <f>IF(Tabel1[[#This Row],[% uren 1:]]="","",Tabel1[[#This Row],[% uren 1:]]*Tabel1[[#This Row],[Totale uren:]])</f>
        <v/>
      </c>
      <c r="J264" s="68"/>
      <c r="K264" s="31"/>
      <c r="L264" s="86" t="str">
        <f>IF(Tabel1[[#This Row],[% uren 2:]]="","",Tabel1[[#This Row],[% uren 2:]]*Tabel1[[#This Row],[Totale uren:]])</f>
        <v/>
      </c>
      <c r="M264" s="72"/>
      <c r="N264" s="31"/>
      <c r="O264" s="85" t="str">
        <f>IF(Tabel1[[#This Row],[% uren 3:]]="","",Tabel1[[#This Row],[% uren 3:]]*Tabel1[[#This Row],[Totale uren:]])</f>
        <v/>
      </c>
      <c r="P264" s="138" t="str">
        <f>IF(Tabel1[[#This Row],[Ordernummer:]]="","",SUM(Tabel1[[#This Row],[% uren 1:]],Tabel1[[#This Row],[% uren 2:]],Tabel1[[#This Row],[% uren 3:]]))</f>
        <v/>
      </c>
      <c r="Q264" s="127"/>
      <c r="R264" s="128"/>
      <c r="S264" s="44"/>
      <c r="T264" s="25"/>
    </row>
    <row r="265" spans="2:20" x14ac:dyDescent="0.25">
      <c r="B265" s="7"/>
      <c r="C265" s="10"/>
      <c r="D265" s="10"/>
      <c r="E265" s="72"/>
      <c r="F265" s="73"/>
      <c r="G265" s="72"/>
      <c r="H265" s="31"/>
      <c r="I265" s="85" t="str">
        <f>IF(Tabel1[[#This Row],[% uren 1:]]="","",Tabel1[[#This Row],[% uren 1:]]*Tabel1[[#This Row],[Totale uren:]])</f>
        <v/>
      </c>
      <c r="J265" s="68"/>
      <c r="K265" s="31"/>
      <c r="L265" s="86" t="str">
        <f>IF(Tabel1[[#This Row],[% uren 2:]]="","",Tabel1[[#This Row],[% uren 2:]]*Tabel1[[#This Row],[Totale uren:]])</f>
        <v/>
      </c>
      <c r="M265" s="72"/>
      <c r="N265" s="31"/>
      <c r="O265" s="85" t="str">
        <f>IF(Tabel1[[#This Row],[% uren 3:]]="","",Tabel1[[#This Row],[% uren 3:]]*Tabel1[[#This Row],[Totale uren:]])</f>
        <v/>
      </c>
      <c r="P265" s="138" t="str">
        <f>IF(Tabel1[[#This Row],[Ordernummer:]]="","",SUM(Tabel1[[#This Row],[% uren 1:]],Tabel1[[#This Row],[% uren 2:]],Tabel1[[#This Row],[% uren 3:]]))</f>
        <v/>
      </c>
      <c r="Q265" s="127"/>
      <c r="R265" s="128"/>
      <c r="S265" s="44"/>
      <c r="T265" s="25"/>
    </row>
    <row r="266" spans="2:20" x14ac:dyDescent="0.25">
      <c r="B266" s="7"/>
      <c r="C266" s="10"/>
      <c r="D266" s="10"/>
      <c r="E266" s="72"/>
      <c r="F266" s="73"/>
      <c r="G266" s="72"/>
      <c r="H266" s="31"/>
      <c r="I266" s="85" t="str">
        <f>IF(Tabel1[[#This Row],[% uren 1:]]="","",Tabel1[[#This Row],[% uren 1:]]*Tabel1[[#This Row],[Totale uren:]])</f>
        <v/>
      </c>
      <c r="J266" s="68"/>
      <c r="K266" s="31"/>
      <c r="L266" s="86" t="str">
        <f>IF(Tabel1[[#This Row],[% uren 2:]]="","",Tabel1[[#This Row],[% uren 2:]]*Tabel1[[#This Row],[Totale uren:]])</f>
        <v/>
      </c>
      <c r="M266" s="72"/>
      <c r="N266" s="31"/>
      <c r="O266" s="85" t="str">
        <f>IF(Tabel1[[#This Row],[% uren 3:]]="","",Tabel1[[#This Row],[% uren 3:]]*Tabel1[[#This Row],[Totale uren:]])</f>
        <v/>
      </c>
      <c r="P266" s="138" t="str">
        <f>IF(Tabel1[[#This Row],[Ordernummer:]]="","",SUM(Tabel1[[#This Row],[% uren 1:]],Tabel1[[#This Row],[% uren 2:]],Tabel1[[#This Row],[% uren 3:]]))</f>
        <v/>
      </c>
      <c r="Q266" s="127"/>
      <c r="R266" s="128"/>
      <c r="S266" s="44"/>
      <c r="T266" s="25"/>
    </row>
    <row r="267" spans="2:20" x14ac:dyDescent="0.25">
      <c r="B267" s="7"/>
      <c r="C267" s="10"/>
      <c r="D267" s="10"/>
      <c r="E267" s="72"/>
      <c r="F267" s="73"/>
      <c r="G267" s="72"/>
      <c r="H267" s="31"/>
      <c r="I267" s="85" t="str">
        <f>IF(Tabel1[[#This Row],[% uren 1:]]="","",Tabel1[[#This Row],[% uren 1:]]*Tabel1[[#This Row],[Totale uren:]])</f>
        <v/>
      </c>
      <c r="J267" s="68"/>
      <c r="K267" s="31"/>
      <c r="L267" s="86" t="str">
        <f>IF(Tabel1[[#This Row],[% uren 2:]]="","",Tabel1[[#This Row],[% uren 2:]]*Tabel1[[#This Row],[Totale uren:]])</f>
        <v/>
      </c>
      <c r="M267" s="72"/>
      <c r="N267" s="31"/>
      <c r="O267" s="85" t="str">
        <f>IF(Tabel1[[#This Row],[% uren 3:]]="","",Tabel1[[#This Row],[% uren 3:]]*Tabel1[[#This Row],[Totale uren:]])</f>
        <v/>
      </c>
      <c r="P267" s="138" t="str">
        <f>IF(Tabel1[[#This Row],[Ordernummer:]]="","",SUM(Tabel1[[#This Row],[% uren 1:]],Tabel1[[#This Row],[% uren 2:]],Tabel1[[#This Row],[% uren 3:]]))</f>
        <v/>
      </c>
      <c r="Q267" s="127"/>
      <c r="R267" s="128"/>
      <c r="S267" s="44"/>
      <c r="T267" s="25"/>
    </row>
    <row r="268" spans="2:20" x14ac:dyDescent="0.25">
      <c r="B268" s="7"/>
      <c r="C268" s="10"/>
      <c r="D268" s="10"/>
      <c r="E268" s="72"/>
      <c r="F268" s="73"/>
      <c r="G268" s="72"/>
      <c r="H268" s="31"/>
      <c r="I268" s="85" t="str">
        <f>IF(Tabel1[[#This Row],[% uren 1:]]="","",Tabel1[[#This Row],[% uren 1:]]*Tabel1[[#This Row],[Totale uren:]])</f>
        <v/>
      </c>
      <c r="J268" s="68"/>
      <c r="K268" s="31"/>
      <c r="L268" s="86" t="str">
        <f>IF(Tabel1[[#This Row],[% uren 2:]]="","",Tabel1[[#This Row],[% uren 2:]]*Tabel1[[#This Row],[Totale uren:]])</f>
        <v/>
      </c>
      <c r="M268" s="72"/>
      <c r="N268" s="31"/>
      <c r="O268" s="85" t="str">
        <f>IF(Tabel1[[#This Row],[% uren 3:]]="","",Tabel1[[#This Row],[% uren 3:]]*Tabel1[[#This Row],[Totale uren:]])</f>
        <v/>
      </c>
      <c r="P268" s="138" t="str">
        <f>IF(Tabel1[[#This Row],[Ordernummer:]]="","",SUM(Tabel1[[#This Row],[% uren 1:]],Tabel1[[#This Row],[% uren 2:]],Tabel1[[#This Row],[% uren 3:]]))</f>
        <v/>
      </c>
      <c r="Q268" s="127"/>
      <c r="R268" s="128"/>
      <c r="S268" s="44"/>
      <c r="T268" s="25"/>
    </row>
    <row r="269" spans="2:20" x14ac:dyDescent="0.25">
      <c r="B269" s="7"/>
      <c r="C269" s="10"/>
      <c r="D269" s="10"/>
      <c r="E269" s="72"/>
      <c r="F269" s="73"/>
      <c r="G269" s="72"/>
      <c r="H269" s="31"/>
      <c r="I269" s="85" t="str">
        <f>IF(Tabel1[[#This Row],[% uren 1:]]="","",Tabel1[[#This Row],[% uren 1:]]*Tabel1[[#This Row],[Totale uren:]])</f>
        <v/>
      </c>
      <c r="J269" s="68"/>
      <c r="K269" s="31"/>
      <c r="L269" s="86" t="str">
        <f>IF(Tabel1[[#This Row],[% uren 2:]]="","",Tabel1[[#This Row],[% uren 2:]]*Tabel1[[#This Row],[Totale uren:]])</f>
        <v/>
      </c>
      <c r="M269" s="72"/>
      <c r="N269" s="31"/>
      <c r="O269" s="85" t="str">
        <f>IF(Tabel1[[#This Row],[% uren 3:]]="","",Tabel1[[#This Row],[% uren 3:]]*Tabel1[[#This Row],[Totale uren:]])</f>
        <v/>
      </c>
      <c r="P269" s="138" t="str">
        <f>IF(Tabel1[[#This Row],[Ordernummer:]]="","",SUM(Tabel1[[#This Row],[% uren 1:]],Tabel1[[#This Row],[% uren 2:]],Tabel1[[#This Row],[% uren 3:]]))</f>
        <v/>
      </c>
      <c r="Q269" s="127"/>
      <c r="R269" s="128"/>
      <c r="S269" s="44"/>
      <c r="T269" s="25"/>
    </row>
    <row r="270" spans="2:20" x14ac:dyDescent="0.25">
      <c r="B270" s="7"/>
      <c r="C270" s="10"/>
      <c r="D270" s="10"/>
      <c r="E270" s="72"/>
      <c r="F270" s="73"/>
      <c r="G270" s="72"/>
      <c r="H270" s="31"/>
      <c r="I270" s="85" t="str">
        <f>IF(Tabel1[[#This Row],[% uren 1:]]="","",Tabel1[[#This Row],[% uren 1:]]*Tabel1[[#This Row],[Totale uren:]])</f>
        <v/>
      </c>
      <c r="J270" s="68"/>
      <c r="K270" s="31"/>
      <c r="L270" s="86" t="str">
        <f>IF(Tabel1[[#This Row],[% uren 2:]]="","",Tabel1[[#This Row],[% uren 2:]]*Tabel1[[#This Row],[Totale uren:]])</f>
        <v/>
      </c>
      <c r="M270" s="72"/>
      <c r="N270" s="31"/>
      <c r="O270" s="85" t="str">
        <f>IF(Tabel1[[#This Row],[% uren 3:]]="","",Tabel1[[#This Row],[% uren 3:]]*Tabel1[[#This Row],[Totale uren:]])</f>
        <v/>
      </c>
      <c r="P270" s="138" t="str">
        <f>IF(Tabel1[[#This Row],[Ordernummer:]]="","",SUM(Tabel1[[#This Row],[% uren 1:]],Tabel1[[#This Row],[% uren 2:]],Tabel1[[#This Row],[% uren 3:]]))</f>
        <v/>
      </c>
      <c r="Q270" s="127"/>
      <c r="R270" s="128"/>
      <c r="S270" s="44"/>
      <c r="T270" s="25"/>
    </row>
    <row r="271" spans="2:20" x14ac:dyDescent="0.25">
      <c r="B271" s="7"/>
      <c r="C271" s="10"/>
      <c r="D271" s="10"/>
      <c r="E271" s="72"/>
      <c r="F271" s="73"/>
      <c r="G271" s="72"/>
      <c r="H271" s="31"/>
      <c r="I271" s="85" t="str">
        <f>IF(Tabel1[[#This Row],[% uren 1:]]="","",Tabel1[[#This Row],[% uren 1:]]*Tabel1[[#This Row],[Totale uren:]])</f>
        <v/>
      </c>
      <c r="J271" s="68"/>
      <c r="K271" s="31"/>
      <c r="L271" s="86" t="str">
        <f>IF(Tabel1[[#This Row],[% uren 2:]]="","",Tabel1[[#This Row],[% uren 2:]]*Tabel1[[#This Row],[Totale uren:]])</f>
        <v/>
      </c>
      <c r="M271" s="72"/>
      <c r="N271" s="31"/>
      <c r="O271" s="85" t="str">
        <f>IF(Tabel1[[#This Row],[% uren 3:]]="","",Tabel1[[#This Row],[% uren 3:]]*Tabel1[[#This Row],[Totale uren:]])</f>
        <v/>
      </c>
      <c r="P271" s="138" t="str">
        <f>IF(Tabel1[[#This Row],[Ordernummer:]]="","",SUM(Tabel1[[#This Row],[% uren 1:]],Tabel1[[#This Row],[% uren 2:]],Tabel1[[#This Row],[% uren 3:]]))</f>
        <v/>
      </c>
      <c r="Q271" s="127"/>
      <c r="R271" s="128"/>
      <c r="S271" s="44"/>
      <c r="T271" s="25"/>
    </row>
    <row r="272" spans="2:20" x14ac:dyDescent="0.25">
      <c r="B272" s="7"/>
      <c r="C272" s="10"/>
      <c r="D272" s="10"/>
      <c r="E272" s="72"/>
      <c r="F272" s="73"/>
      <c r="G272" s="72"/>
      <c r="H272" s="31"/>
      <c r="I272" s="85" t="str">
        <f>IF(Tabel1[[#This Row],[% uren 1:]]="","",Tabel1[[#This Row],[% uren 1:]]*Tabel1[[#This Row],[Totale uren:]])</f>
        <v/>
      </c>
      <c r="J272" s="68"/>
      <c r="K272" s="31"/>
      <c r="L272" s="86" t="str">
        <f>IF(Tabel1[[#This Row],[% uren 2:]]="","",Tabel1[[#This Row],[% uren 2:]]*Tabel1[[#This Row],[Totale uren:]])</f>
        <v/>
      </c>
      <c r="M272" s="72"/>
      <c r="N272" s="31"/>
      <c r="O272" s="85" t="str">
        <f>IF(Tabel1[[#This Row],[% uren 3:]]="","",Tabel1[[#This Row],[% uren 3:]]*Tabel1[[#This Row],[Totale uren:]])</f>
        <v/>
      </c>
      <c r="P272" s="138" t="str">
        <f>IF(Tabel1[[#This Row],[Ordernummer:]]="","",SUM(Tabel1[[#This Row],[% uren 1:]],Tabel1[[#This Row],[% uren 2:]],Tabel1[[#This Row],[% uren 3:]]))</f>
        <v/>
      </c>
      <c r="Q272" s="127"/>
      <c r="R272" s="128"/>
      <c r="S272" s="44"/>
      <c r="T272" s="25"/>
    </row>
    <row r="273" spans="2:20" x14ac:dyDescent="0.25">
      <c r="B273" s="7"/>
      <c r="C273" s="10"/>
      <c r="D273" s="10"/>
      <c r="E273" s="72"/>
      <c r="F273" s="73"/>
      <c r="G273" s="72"/>
      <c r="H273" s="31"/>
      <c r="I273" s="85" t="str">
        <f>IF(Tabel1[[#This Row],[% uren 1:]]="","",Tabel1[[#This Row],[% uren 1:]]*Tabel1[[#This Row],[Totale uren:]])</f>
        <v/>
      </c>
      <c r="J273" s="68"/>
      <c r="K273" s="31"/>
      <c r="L273" s="86" t="str">
        <f>IF(Tabel1[[#This Row],[% uren 2:]]="","",Tabel1[[#This Row],[% uren 2:]]*Tabel1[[#This Row],[Totale uren:]])</f>
        <v/>
      </c>
      <c r="M273" s="72"/>
      <c r="N273" s="31"/>
      <c r="O273" s="85" t="str">
        <f>IF(Tabel1[[#This Row],[% uren 3:]]="","",Tabel1[[#This Row],[% uren 3:]]*Tabel1[[#This Row],[Totale uren:]])</f>
        <v/>
      </c>
      <c r="P273" s="138" t="str">
        <f>IF(Tabel1[[#This Row],[Ordernummer:]]="","",SUM(Tabel1[[#This Row],[% uren 1:]],Tabel1[[#This Row],[% uren 2:]],Tabel1[[#This Row],[% uren 3:]]))</f>
        <v/>
      </c>
      <c r="Q273" s="127"/>
      <c r="R273" s="128"/>
      <c r="S273" s="44"/>
      <c r="T273" s="25"/>
    </row>
    <row r="274" spans="2:20" x14ac:dyDescent="0.25">
      <c r="B274" s="7"/>
      <c r="C274" s="10"/>
      <c r="D274" s="10"/>
      <c r="E274" s="72"/>
      <c r="F274" s="73"/>
      <c r="G274" s="72"/>
      <c r="H274" s="31"/>
      <c r="I274" s="85" t="str">
        <f>IF(Tabel1[[#This Row],[% uren 1:]]="","",Tabel1[[#This Row],[% uren 1:]]*Tabel1[[#This Row],[Totale uren:]])</f>
        <v/>
      </c>
      <c r="J274" s="68"/>
      <c r="K274" s="31"/>
      <c r="L274" s="86" t="str">
        <f>IF(Tabel1[[#This Row],[% uren 2:]]="","",Tabel1[[#This Row],[% uren 2:]]*Tabel1[[#This Row],[Totale uren:]])</f>
        <v/>
      </c>
      <c r="M274" s="72"/>
      <c r="N274" s="31"/>
      <c r="O274" s="85" t="str">
        <f>IF(Tabel1[[#This Row],[% uren 3:]]="","",Tabel1[[#This Row],[% uren 3:]]*Tabel1[[#This Row],[Totale uren:]])</f>
        <v/>
      </c>
      <c r="P274" s="138" t="str">
        <f>IF(Tabel1[[#This Row],[Ordernummer:]]="","",SUM(Tabel1[[#This Row],[% uren 1:]],Tabel1[[#This Row],[% uren 2:]],Tabel1[[#This Row],[% uren 3:]]))</f>
        <v/>
      </c>
      <c r="Q274" s="127"/>
      <c r="R274" s="128"/>
      <c r="S274" s="44"/>
      <c r="T274" s="25"/>
    </row>
    <row r="275" spans="2:20" x14ac:dyDescent="0.25">
      <c r="B275" s="7"/>
      <c r="C275" s="10"/>
      <c r="D275" s="10"/>
      <c r="E275" s="72"/>
      <c r="F275" s="73"/>
      <c r="G275" s="72"/>
      <c r="H275" s="31"/>
      <c r="I275" s="85" t="str">
        <f>IF(Tabel1[[#This Row],[% uren 1:]]="","",Tabel1[[#This Row],[% uren 1:]]*Tabel1[[#This Row],[Totale uren:]])</f>
        <v/>
      </c>
      <c r="J275" s="68"/>
      <c r="K275" s="31"/>
      <c r="L275" s="86" t="str">
        <f>IF(Tabel1[[#This Row],[% uren 2:]]="","",Tabel1[[#This Row],[% uren 2:]]*Tabel1[[#This Row],[Totale uren:]])</f>
        <v/>
      </c>
      <c r="M275" s="72"/>
      <c r="N275" s="31"/>
      <c r="O275" s="85" t="str">
        <f>IF(Tabel1[[#This Row],[% uren 3:]]="","",Tabel1[[#This Row],[% uren 3:]]*Tabel1[[#This Row],[Totale uren:]])</f>
        <v/>
      </c>
      <c r="P275" s="138" t="str">
        <f>IF(Tabel1[[#This Row],[Ordernummer:]]="","",SUM(Tabel1[[#This Row],[% uren 1:]],Tabel1[[#This Row],[% uren 2:]],Tabel1[[#This Row],[% uren 3:]]))</f>
        <v/>
      </c>
      <c r="Q275" s="127"/>
      <c r="R275" s="128"/>
      <c r="S275" s="44"/>
      <c r="T275" s="25"/>
    </row>
    <row r="276" spans="2:20" x14ac:dyDescent="0.25">
      <c r="B276" s="7"/>
      <c r="C276" s="10"/>
      <c r="D276" s="10"/>
      <c r="E276" s="72"/>
      <c r="F276" s="73"/>
      <c r="G276" s="72"/>
      <c r="H276" s="31"/>
      <c r="I276" s="85" t="str">
        <f>IF(Tabel1[[#This Row],[% uren 1:]]="","",Tabel1[[#This Row],[% uren 1:]]*Tabel1[[#This Row],[Totale uren:]])</f>
        <v/>
      </c>
      <c r="J276" s="68"/>
      <c r="K276" s="31"/>
      <c r="L276" s="86" t="str">
        <f>IF(Tabel1[[#This Row],[% uren 2:]]="","",Tabel1[[#This Row],[% uren 2:]]*Tabel1[[#This Row],[Totale uren:]])</f>
        <v/>
      </c>
      <c r="M276" s="72"/>
      <c r="N276" s="31"/>
      <c r="O276" s="85" t="str">
        <f>IF(Tabel1[[#This Row],[% uren 3:]]="","",Tabel1[[#This Row],[% uren 3:]]*Tabel1[[#This Row],[Totale uren:]])</f>
        <v/>
      </c>
      <c r="P276" s="138" t="str">
        <f>IF(Tabel1[[#This Row],[Ordernummer:]]="","",SUM(Tabel1[[#This Row],[% uren 1:]],Tabel1[[#This Row],[% uren 2:]],Tabel1[[#This Row],[% uren 3:]]))</f>
        <v/>
      </c>
      <c r="Q276" s="127"/>
      <c r="R276" s="128"/>
      <c r="S276" s="44"/>
      <c r="T276" s="25"/>
    </row>
    <row r="277" spans="2:20" x14ac:dyDescent="0.25">
      <c r="B277" s="7"/>
      <c r="C277" s="10"/>
      <c r="D277" s="10"/>
      <c r="E277" s="72"/>
      <c r="F277" s="73"/>
      <c r="G277" s="72"/>
      <c r="H277" s="31"/>
      <c r="I277" s="85" t="str">
        <f>IF(Tabel1[[#This Row],[% uren 1:]]="","",Tabel1[[#This Row],[% uren 1:]]*Tabel1[[#This Row],[Totale uren:]])</f>
        <v/>
      </c>
      <c r="J277" s="68"/>
      <c r="K277" s="31"/>
      <c r="L277" s="86" t="str">
        <f>IF(Tabel1[[#This Row],[% uren 2:]]="","",Tabel1[[#This Row],[% uren 2:]]*Tabel1[[#This Row],[Totale uren:]])</f>
        <v/>
      </c>
      <c r="M277" s="72"/>
      <c r="N277" s="31"/>
      <c r="O277" s="85" t="str">
        <f>IF(Tabel1[[#This Row],[% uren 3:]]="","",Tabel1[[#This Row],[% uren 3:]]*Tabel1[[#This Row],[Totale uren:]])</f>
        <v/>
      </c>
      <c r="P277" s="138" t="str">
        <f>IF(Tabel1[[#This Row],[Ordernummer:]]="","",SUM(Tabel1[[#This Row],[% uren 1:]],Tabel1[[#This Row],[% uren 2:]],Tabel1[[#This Row],[% uren 3:]]))</f>
        <v/>
      </c>
      <c r="Q277" s="127"/>
      <c r="R277" s="128"/>
      <c r="S277" s="44"/>
      <c r="T277" s="25"/>
    </row>
    <row r="278" spans="2:20" x14ac:dyDescent="0.25">
      <c r="B278" s="7"/>
      <c r="C278" s="10"/>
      <c r="D278" s="10"/>
      <c r="E278" s="72"/>
      <c r="F278" s="73"/>
      <c r="G278" s="72"/>
      <c r="H278" s="31"/>
      <c r="I278" s="85" t="str">
        <f>IF(Tabel1[[#This Row],[% uren 1:]]="","",Tabel1[[#This Row],[% uren 1:]]*Tabel1[[#This Row],[Totale uren:]])</f>
        <v/>
      </c>
      <c r="J278" s="68"/>
      <c r="K278" s="31"/>
      <c r="L278" s="86" t="str">
        <f>IF(Tabel1[[#This Row],[% uren 2:]]="","",Tabel1[[#This Row],[% uren 2:]]*Tabel1[[#This Row],[Totale uren:]])</f>
        <v/>
      </c>
      <c r="M278" s="72"/>
      <c r="N278" s="31"/>
      <c r="O278" s="85" t="str">
        <f>IF(Tabel1[[#This Row],[% uren 3:]]="","",Tabel1[[#This Row],[% uren 3:]]*Tabel1[[#This Row],[Totale uren:]])</f>
        <v/>
      </c>
      <c r="P278" s="138" t="str">
        <f>IF(Tabel1[[#This Row],[Ordernummer:]]="","",SUM(Tabel1[[#This Row],[% uren 1:]],Tabel1[[#This Row],[% uren 2:]],Tabel1[[#This Row],[% uren 3:]]))</f>
        <v/>
      </c>
      <c r="Q278" s="127"/>
      <c r="R278" s="128"/>
      <c r="S278" s="44"/>
      <c r="T278" s="25"/>
    </row>
    <row r="279" spans="2:20" x14ac:dyDescent="0.25">
      <c r="B279" s="7"/>
      <c r="C279" s="10"/>
      <c r="D279" s="10"/>
      <c r="E279" s="72"/>
      <c r="F279" s="73"/>
      <c r="G279" s="72"/>
      <c r="H279" s="31"/>
      <c r="I279" s="85" t="str">
        <f>IF(Tabel1[[#This Row],[% uren 1:]]="","",Tabel1[[#This Row],[% uren 1:]]*Tabel1[[#This Row],[Totale uren:]])</f>
        <v/>
      </c>
      <c r="J279" s="68"/>
      <c r="K279" s="31"/>
      <c r="L279" s="86" t="str">
        <f>IF(Tabel1[[#This Row],[% uren 2:]]="","",Tabel1[[#This Row],[% uren 2:]]*Tabel1[[#This Row],[Totale uren:]])</f>
        <v/>
      </c>
      <c r="M279" s="72"/>
      <c r="N279" s="31"/>
      <c r="O279" s="85" t="str">
        <f>IF(Tabel1[[#This Row],[% uren 3:]]="","",Tabel1[[#This Row],[% uren 3:]]*Tabel1[[#This Row],[Totale uren:]])</f>
        <v/>
      </c>
      <c r="P279" s="138" t="str">
        <f>IF(Tabel1[[#This Row],[Ordernummer:]]="","",SUM(Tabel1[[#This Row],[% uren 1:]],Tabel1[[#This Row],[% uren 2:]],Tabel1[[#This Row],[% uren 3:]]))</f>
        <v/>
      </c>
      <c r="Q279" s="127"/>
      <c r="R279" s="128"/>
      <c r="S279" s="44"/>
      <c r="T279" s="25"/>
    </row>
    <row r="280" spans="2:20" x14ac:dyDescent="0.25">
      <c r="B280" s="7"/>
      <c r="C280" s="10"/>
      <c r="D280" s="10"/>
      <c r="E280" s="72"/>
      <c r="F280" s="73"/>
      <c r="G280" s="72"/>
      <c r="H280" s="31"/>
      <c r="I280" s="85" t="str">
        <f>IF(Tabel1[[#This Row],[% uren 1:]]="","",Tabel1[[#This Row],[% uren 1:]]*Tabel1[[#This Row],[Totale uren:]])</f>
        <v/>
      </c>
      <c r="J280" s="68"/>
      <c r="K280" s="31"/>
      <c r="L280" s="86" t="str">
        <f>IF(Tabel1[[#This Row],[% uren 2:]]="","",Tabel1[[#This Row],[% uren 2:]]*Tabel1[[#This Row],[Totale uren:]])</f>
        <v/>
      </c>
      <c r="M280" s="72"/>
      <c r="N280" s="31"/>
      <c r="O280" s="85" t="str">
        <f>IF(Tabel1[[#This Row],[% uren 3:]]="","",Tabel1[[#This Row],[% uren 3:]]*Tabel1[[#This Row],[Totale uren:]])</f>
        <v/>
      </c>
      <c r="P280" s="138" t="str">
        <f>IF(Tabel1[[#This Row],[Ordernummer:]]="","",SUM(Tabel1[[#This Row],[% uren 1:]],Tabel1[[#This Row],[% uren 2:]],Tabel1[[#This Row],[% uren 3:]]))</f>
        <v/>
      </c>
      <c r="Q280" s="127"/>
      <c r="R280" s="128"/>
      <c r="S280" s="44"/>
      <c r="T280" s="25"/>
    </row>
    <row r="281" spans="2:20" x14ac:dyDescent="0.25">
      <c r="B281" s="7"/>
      <c r="C281" s="10"/>
      <c r="D281" s="10"/>
      <c r="E281" s="72"/>
      <c r="F281" s="73"/>
      <c r="G281" s="72"/>
      <c r="H281" s="31"/>
      <c r="I281" s="85" t="str">
        <f>IF(Tabel1[[#This Row],[% uren 1:]]="","",Tabel1[[#This Row],[% uren 1:]]*Tabel1[[#This Row],[Totale uren:]])</f>
        <v/>
      </c>
      <c r="J281" s="68"/>
      <c r="K281" s="31"/>
      <c r="L281" s="86" t="str">
        <f>IF(Tabel1[[#This Row],[% uren 2:]]="","",Tabel1[[#This Row],[% uren 2:]]*Tabel1[[#This Row],[Totale uren:]])</f>
        <v/>
      </c>
      <c r="M281" s="72"/>
      <c r="N281" s="31"/>
      <c r="O281" s="85" t="str">
        <f>IF(Tabel1[[#This Row],[% uren 3:]]="","",Tabel1[[#This Row],[% uren 3:]]*Tabel1[[#This Row],[Totale uren:]])</f>
        <v/>
      </c>
      <c r="P281" s="138" t="str">
        <f>IF(Tabel1[[#This Row],[Ordernummer:]]="","",SUM(Tabel1[[#This Row],[% uren 1:]],Tabel1[[#This Row],[% uren 2:]],Tabel1[[#This Row],[% uren 3:]]))</f>
        <v/>
      </c>
      <c r="Q281" s="127"/>
      <c r="R281" s="128"/>
      <c r="S281" s="44"/>
      <c r="T281" s="25"/>
    </row>
    <row r="282" spans="2:20" x14ac:dyDescent="0.25">
      <c r="B282" s="7"/>
      <c r="C282" s="10"/>
      <c r="D282" s="10"/>
      <c r="E282" s="72"/>
      <c r="F282" s="73"/>
      <c r="G282" s="72"/>
      <c r="H282" s="31"/>
      <c r="I282" s="85" t="str">
        <f>IF(Tabel1[[#This Row],[% uren 1:]]="","",Tabel1[[#This Row],[% uren 1:]]*Tabel1[[#This Row],[Totale uren:]])</f>
        <v/>
      </c>
      <c r="J282" s="68"/>
      <c r="K282" s="31"/>
      <c r="L282" s="86" t="str">
        <f>IF(Tabel1[[#This Row],[% uren 2:]]="","",Tabel1[[#This Row],[% uren 2:]]*Tabel1[[#This Row],[Totale uren:]])</f>
        <v/>
      </c>
      <c r="M282" s="72"/>
      <c r="N282" s="31"/>
      <c r="O282" s="85" t="str">
        <f>IF(Tabel1[[#This Row],[% uren 3:]]="","",Tabel1[[#This Row],[% uren 3:]]*Tabel1[[#This Row],[Totale uren:]])</f>
        <v/>
      </c>
      <c r="P282" s="138" t="str">
        <f>IF(Tabel1[[#This Row],[Ordernummer:]]="","",SUM(Tabel1[[#This Row],[% uren 1:]],Tabel1[[#This Row],[% uren 2:]],Tabel1[[#This Row],[% uren 3:]]))</f>
        <v/>
      </c>
      <c r="Q282" s="127"/>
      <c r="R282" s="128"/>
      <c r="S282" s="44"/>
      <c r="T282" s="25"/>
    </row>
    <row r="283" spans="2:20" x14ac:dyDescent="0.25">
      <c r="B283" s="7"/>
      <c r="C283" s="10"/>
      <c r="D283" s="10"/>
      <c r="E283" s="72"/>
      <c r="F283" s="73"/>
      <c r="G283" s="72"/>
      <c r="H283" s="31"/>
      <c r="I283" s="85" t="str">
        <f>IF(Tabel1[[#This Row],[% uren 1:]]="","",Tabel1[[#This Row],[% uren 1:]]*Tabel1[[#This Row],[Totale uren:]])</f>
        <v/>
      </c>
      <c r="J283" s="68"/>
      <c r="K283" s="31"/>
      <c r="L283" s="86" t="str">
        <f>IF(Tabel1[[#This Row],[% uren 2:]]="","",Tabel1[[#This Row],[% uren 2:]]*Tabel1[[#This Row],[Totale uren:]])</f>
        <v/>
      </c>
      <c r="M283" s="72"/>
      <c r="N283" s="31"/>
      <c r="O283" s="85" t="str">
        <f>IF(Tabel1[[#This Row],[% uren 3:]]="","",Tabel1[[#This Row],[% uren 3:]]*Tabel1[[#This Row],[Totale uren:]])</f>
        <v/>
      </c>
      <c r="P283" s="138" t="str">
        <f>IF(Tabel1[[#This Row],[Ordernummer:]]="","",SUM(Tabel1[[#This Row],[% uren 1:]],Tabel1[[#This Row],[% uren 2:]],Tabel1[[#This Row],[% uren 3:]]))</f>
        <v/>
      </c>
      <c r="Q283" s="127"/>
      <c r="R283" s="128"/>
      <c r="S283" s="44"/>
      <c r="T283" s="25"/>
    </row>
    <row r="284" spans="2:20" x14ac:dyDescent="0.25">
      <c r="B284" s="7"/>
      <c r="C284" s="10"/>
      <c r="D284" s="10"/>
      <c r="E284" s="72"/>
      <c r="F284" s="73"/>
      <c r="G284" s="72"/>
      <c r="H284" s="31"/>
      <c r="I284" s="85" t="str">
        <f>IF(Tabel1[[#This Row],[% uren 1:]]="","",Tabel1[[#This Row],[% uren 1:]]*Tabel1[[#This Row],[Totale uren:]])</f>
        <v/>
      </c>
      <c r="J284" s="68"/>
      <c r="K284" s="31"/>
      <c r="L284" s="86" t="str">
        <f>IF(Tabel1[[#This Row],[% uren 2:]]="","",Tabel1[[#This Row],[% uren 2:]]*Tabel1[[#This Row],[Totale uren:]])</f>
        <v/>
      </c>
      <c r="M284" s="72"/>
      <c r="N284" s="31"/>
      <c r="O284" s="85" t="str">
        <f>IF(Tabel1[[#This Row],[% uren 3:]]="","",Tabel1[[#This Row],[% uren 3:]]*Tabel1[[#This Row],[Totale uren:]])</f>
        <v/>
      </c>
      <c r="P284" s="138" t="str">
        <f>IF(Tabel1[[#This Row],[Ordernummer:]]="","",SUM(Tabel1[[#This Row],[% uren 1:]],Tabel1[[#This Row],[% uren 2:]],Tabel1[[#This Row],[% uren 3:]]))</f>
        <v/>
      </c>
      <c r="Q284" s="127"/>
      <c r="R284" s="128"/>
      <c r="S284" s="44"/>
      <c r="T284" s="25"/>
    </row>
    <row r="285" spans="2:20" x14ac:dyDescent="0.25">
      <c r="B285" s="7"/>
      <c r="C285" s="10"/>
      <c r="D285" s="10"/>
      <c r="E285" s="72"/>
      <c r="F285" s="73"/>
      <c r="G285" s="72"/>
      <c r="H285" s="31"/>
      <c r="I285" s="85" t="str">
        <f>IF(Tabel1[[#This Row],[% uren 1:]]="","",Tabel1[[#This Row],[% uren 1:]]*Tabel1[[#This Row],[Totale uren:]])</f>
        <v/>
      </c>
      <c r="J285" s="68"/>
      <c r="K285" s="31"/>
      <c r="L285" s="86" t="str">
        <f>IF(Tabel1[[#This Row],[% uren 2:]]="","",Tabel1[[#This Row],[% uren 2:]]*Tabel1[[#This Row],[Totale uren:]])</f>
        <v/>
      </c>
      <c r="M285" s="72"/>
      <c r="N285" s="31"/>
      <c r="O285" s="85" t="str">
        <f>IF(Tabel1[[#This Row],[% uren 3:]]="","",Tabel1[[#This Row],[% uren 3:]]*Tabel1[[#This Row],[Totale uren:]])</f>
        <v/>
      </c>
      <c r="P285" s="138" t="str">
        <f>IF(Tabel1[[#This Row],[Ordernummer:]]="","",SUM(Tabel1[[#This Row],[% uren 1:]],Tabel1[[#This Row],[% uren 2:]],Tabel1[[#This Row],[% uren 3:]]))</f>
        <v/>
      </c>
      <c r="Q285" s="127"/>
      <c r="R285" s="128"/>
      <c r="S285" s="44"/>
      <c r="T285" s="25"/>
    </row>
    <row r="286" spans="2:20" x14ac:dyDescent="0.25">
      <c r="B286" s="7"/>
      <c r="C286" s="10"/>
      <c r="D286" s="10"/>
      <c r="E286" s="72"/>
      <c r="F286" s="73"/>
      <c r="G286" s="72"/>
      <c r="H286" s="31"/>
      <c r="I286" s="85" t="str">
        <f>IF(Tabel1[[#This Row],[% uren 1:]]="","",Tabel1[[#This Row],[% uren 1:]]*Tabel1[[#This Row],[Totale uren:]])</f>
        <v/>
      </c>
      <c r="J286" s="68"/>
      <c r="K286" s="31"/>
      <c r="L286" s="86" t="str">
        <f>IF(Tabel1[[#This Row],[% uren 2:]]="","",Tabel1[[#This Row],[% uren 2:]]*Tabel1[[#This Row],[Totale uren:]])</f>
        <v/>
      </c>
      <c r="M286" s="72"/>
      <c r="N286" s="31"/>
      <c r="O286" s="85" t="str">
        <f>IF(Tabel1[[#This Row],[% uren 3:]]="","",Tabel1[[#This Row],[% uren 3:]]*Tabel1[[#This Row],[Totale uren:]])</f>
        <v/>
      </c>
      <c r="P286" s="138" t="str">
        <f>IF(Tabel1[[#This Row],[Ordernummer:]]="","",SUM(Tabel1[[#This Row],[% uren 1:]],Tabel1[[#This Row],[% uren 2:]],Tabel1[[#This Row],[% uren 3:]]))</f>
        <v/>
      </c>
      <c r="Q286" s="127"/>
      <c r="R286" s="128"/>
      <c r="S286" s="44"/>
      <c r="T286" s="25"/>
    </row>
    <row r="287" spans="2:20" x14ac:dyDescent="0.25">
      <c r="B287" s="7"/>
      <c r="C287" s="10"/>
      <c r="D287" s="10"/>
      <c r="E287" s="72"/>
      <c r="F287" s="73"/>
      <c r="G287" s="72"/>
      <c r="H287" s="31"/>
      <c r="I287" s="85" t="str">
        <f>IF(Tabel1[[#This Row],[% uren 1:]]="","",Tabel1[[#This Row],[% uren 1:]]*Tabel1[[#This Row],[Totale uren:]])</f>
        <v/>
      </c>
      <c r="J287" s="68"/>
      <c r="K287" s="31"/>
      <c r="L287" s="86" t="str">
        <f>IF(Tabel1[[#This Row],[% uren 2:]]="","",Tabel1[[#This Row],[% uren 2:]]*Tabel1[[#This Row],[Totale uren:]])</f>
        <v/>
      </c>
      <c r="M287" s="72"/>
      <c r="N287" s="31"/>
      <c r="O287" s="85" t="str">
        <f>IF(Tabel1[[#This Row],[% uren 3:]]="","",Tabel1[[#This Row],[% uren 3:]]*Tabel1[[#This Row],[Totale uren:]])</f>
        <v/>
      </c>
      <c r="P287" s="138" t="str">
        <f>IF(Tabel1[[#This Row],[Ordernummer:]]="","",SUM(Tabel1[[#This Row],[% uren 1:]],Tabel1[[#This Row],[% uren 2:]],Tabel1[[#This Row],[% uren 3:]]))</f>
        <v/>
      </c>
      <c r="Q287" s="127"/>
      <c r="R287" s="128"/>
      <c r="S287" s="44"/>
      <c r="T287" s="25"/>
    </row>
    <row r="288" spans="2:20" x14ac:dyDescent="0.25">
      <c r="B288" s="7"/>
      <c r="C288" s="10"/>
      <c r="D288" s="10"/>
      <c r="E288" s="72"/>
      <c r="F288" s="73"/>
      <c r="G288" s="72"/>
      <c r="H288" s="31"/>
      <c r="I288" s="85" t="str">
        <f>IF(Tabel1[[#This Row],[% uren 1:]]="","",Tabel1[[#This Row],[% uren 1:]]*Tabel1[[#This Row],[Totale uren:]])</f>
        <v/>
      </c>
      <c r="J288" s="68"/>
      <c r="K288" s="31"/>
      <c r="L288" s="86" t="str">
        <f>IF(Tabel1[[#This Row],[% uren 2:]]="","",Tabel1[[#This Row],[% uren 2:]]*Tabel1[[#This Row],[Totale uren:]])</f>
        <v/>
      </c>
      <c r="M288" s="72"/>
      <c r="N288" s="31"/>
      <c r="O288" s="85" t="str">
        <f>IF(Tabel1[[#This Row],[% uren 3:]]="","",Tabel1[[#This Row],[% uren 3:]]*Tabel1[[#This Row],[Totale uren:]])</f>
        <v/>
      </c>
      <c r="P288" s="138" t="str">
        <f>IF(Tabel1[[#This Row],[Ordernummer:]]="","",SUM(Tabel1[[#This Row],[% uren 1:]],Tabel1[[#This Row],[% uren 2:]],Tabel1[[#This Row],[% uren 3:]]))</f>
        <v/>
      </c>
      <c r="Q288" s="127"/>
      <c r="R288" s="128"/>
      <c r="S288" s="44"/>
      <c r="T288" s="25"/>
    </row>
    <row r="289" spans="2:20" x14ac:dyDescent="0.25">
      <c r="B289" s="7"/>
      <c r="C289" s="10"/>
      <c r="D289" s="10"/>
      <c r="E289" s="72"/>
      <c r="F289" s="73"/>
      <c r="G289" s="72"/>
      <c r="H289" s="31"/>
      <c r="I289" s="85" t="str">
        <f>IF(Tabel1[[#This Row],[% uren 1:]]="","",Tabel1[[#This Row],[% uren 1:]]*Tabel1[[#This Row],[Totale uren:]])</f>
        <v/>
      </c>
      <c r="J289" s="68"/>
      <c r="K289" s="31"/>
      <c r="L289" s="86" t="str">
        <f>IF(Tabel1[[#This Row],[% uren 2:]]="","",Tabel1[[#This Row],[% uren 2:]]*Tabel1[[#This Row],[Totale uren:]])</f>
        <v/>
      </c>
      <c r="M289" s="72"/>
      <c r="N289" s="31"/>
      <c r="O289" s="85" t="str">
        <f>IF(Tabel1[[#This Row],[% uren 3:]]="","",Tabel1[[#This Row],[% uren 3:]]*Tabel1[[#This Row],[Totale uren:]])</f>
        <v/>
      </c>
      <c r="P289" s="138" t="str">
        <f>IF(Tabel1[[#This Row],[Ordernummer:]]="","",SUM(Tabel1[[#This Row],[% uren 1:]],Tabel1[[#This Row],[% uren 2:]],Tabel1[[#This Row],[% uren 3:]]))</f>
        <v/>
      </c>
      <c r="Q289" s="127"/>
      <c r="R289" s="128"/>
      <c r="S289" s="44"/>
      <c r="T289" s="25"/>
    </row>
    <row r="290" spans="2:20" x14ac:dyDescent="0.25">
      <c r="B290" s="7"/>
      <c r="C290" s="10"/>
      <c r="D290" s="10"/>
      <c r="E290" s="72"/>
      <c r="F290" s="73"/>
      <c r="G290" s="72"/>
      <c r="H290" s="31"/>
      <c r="I290" s="85" t="str">
        <f>IF(Tabel1[[#This Row],[% uren 1:]]="","",Tabel1[[#This Row],[% uren 1:]]*Tabel1[[#This Row],[Totale uren:]])</f>
        <v/>
      </c>
      <c r="J290" s="68"/>
      <c r="K290" s="31"/>
      <c r="L290" s="86" t="str">
        <f>IF(Tabel1[[#This Row],[% uren 2:]]="","",Tabel1[[#This Row],[% uren 2:]]*Tabel1[[#This Row],[Totale uren:]])</f>
        <v/>
      </c>
      <c r="M290" s="72"/>
      <c r="N290" s="31"/>
      <c r="O290" s="85" t="str">
        <f>IF(Tabel1[[#This Row],[% uren 3:]]="","",Tabel1[[#This Row],[% uren 3:]]*Tabel1[[#This Row],[Totale uren:]])</f>
        <v/>
      </c>
      <c r="P290" s="138" t="str">
        <f>IF(Tabel1[[#This Row],[Ordernummer:]]="","",SUM(Tabel1[[#This Row],[% uren 1:]],Tabel1[[#This Row],[% uren 2:]],Tabel1[[#This Row],[% uren 3:]]))</f>
        <v/>
      </c>
      <c r="Q290" s="127"/>
      <c r="R290" s="128"/>
      <c r="S290" s="44"/>
      <c r="T290" s="25"/>
    </row>
    <row r="291" spans="2:20" x14ac:dyDescent="0.25">
      <c r="B291" s="7"/>
      <c r="C291" s="10"/>
      <c r="D291" s="10"/>
      <c r="E291" s="72"/>
      <c r="F291" s="73"/>
      <c r="G291" s="72"/>
      <c r="H291" s="31"/>
      <c r="I291" s="85" t="str">
        <f>IF(Tabel1[[#This Row],[% uren 1:]]="","",Tabel1[[#This Row],[% uren 1:]]*Tabel1[[#This Row],[Totale uren:]])</f>
        <v/>
      </c>
      <c r="J291" s="68"/>
      <c r="K291" s="31"/>
      <c r="L291" s="86" t="str">
        <f>IF(Tabel1[[#This Row],[% uren 2:]]="","",Tabel1[[#This Row],[% uren 2:]]*Tabel1[[#This Row],[Totale uren:]])</f>
        <v/>
      </c>
      <c r="M291" s="72"/>
      <c r="N291" s="31"/>
      <c r="O291" s="85" t="str">
        <f>IF(Tabel1[[#This Row],[% uren 3:]]="","",Tabel1[[#This Row],[% uren 3:]]*Tabel1[[#This Row],[Totale uren:]])</f>
        <v/>
      </c>
      <c r="P291" s="138" t="str">
        <f>IF(Tabel1[[#This Row],[Ordernummer:]]="","",SUM(Tabel1[[#This Row],[% uren 1:]],Tabel1[[#This Row],[% uren 2:]],Tabel1[[#This Row],[% uren 3:]]))</f>
        <v/>
      </c>
      <c r="Q291" s="127"/>
      <c r="R291" s="128"/>
      <c r="S291" s="44"/>
      <c r="T291" s="25"/>
    </row>
    <row r="292" spans="2:20" x14ac:dyDescent="0.25">
      <c r="B292" s="7"/>
      <c r="C292" s="10"/>
      <c r="D292" s="10"/>
      <c r="E292" s="72"/>
      <c r="F292" s="73"/>
      <c r="G292" s="72"/>
      <c r="H292" s="31"/>
      <c r="I292" s="85" t="str">
        <f>IF(Tabel1[[#This Row],[% uren 1:]]="","",Tabel1[[#This Row],[% uren 1:]]*Tabel1[[#This Row],[Totale uren:]])</f>
        <v/>
      </c>
      <c r="J292" s="68"/>
      <c r="K292" s="31"/>
      <c r="L292" s="86" t="str">
        <f>IF(Tabel1[[#This Row],[% uren 2:]]="","",Tabel1[[#This Row],[% uren 2:]]*Tabel1[[#This Row],[Totale uren:]])</f>
        <v/>
      </c>
      <c r="M292" s="72"/>
      <c r="N292" s="31"/>
      <c r="O292" s="85" t="str">
        <f>IF(Tabel1[[#This Row],[% uren 3:]]="","",Tabel1[[#This Row],[% uren 3:]]*Tabel1[[#This Row],[Totale uren:]])</f>
        <v/>
      </c>
      <c r="P292" s="138" t="str">
        <f>IF(Tabel1[[#This Row],[Ordernummer:]]="","",SUM(Tabel1[[#This Row],[% uren 1:]],Tabel1[[#This Row],[% uren 2:]],Tabel1[[#This Row],[% uren 3:]]))</f>
        <v/>
      </c>
      <c r="Q292" s="127"/>
      <c r="R292" s="128"/>
      <c r="S292" s="44"/>
      <c r="T292" s="25"/>
    </row>
    <row r="293" spans="2:20" x14ac:dyDescent="0.25">
      <c r="B293" s="7"/>
      <c r="C293" s="10"/>
      <c r="D293" s="10"/>
      <c r="E293" s="72"/>
      <c r="F293" s="73"/>
      <c r="G293" s="72"/>
      <c r="H293" s="31"/>
      <c r="I293" s="85" t="str">
        <f>IF(Tabel1[[#This Row],[% uren 1:]]="","",Tabel1[[#This Row],[% uren 1:]]*Tabel1[[#This Row],[Totale uren:]])</f>
        <v/>
      </c>
      <c r="J293" s="68"/>
      <c r="K293" s="31"/>
      <c r="L293" s="86" t="str">
        <f>IF(Tabel1[[#This Row],[% uren 2:]]="","",Tabel1[[#This Row],[% uren 2:]]*Tabel1[[#This Row],[Totale uren:]])</f>
        <v/>
      </c>
      <c r="M293" s="72"/>
      <c r="N293" s="31"/>
      <c r="O293" s="85" t="str">
        <f>IF(Tabel1[[#This Row],[% uren 3:]]="","",Tabel1[[#This Row],[% uren 3:]]*Tabel1[[#This Row],[Totale uren:]])</f>
        <v/>
      </c>
      <c r="P293" s="138" t="str">
        <f>IF(Tabel1[[#This Row],[Ordernummer:]]="","",SUM(Tabel1[[#This Row],[% uren 1:]],Tabel1[[#This Row],[% uren 2:]],Tabel1[[#This Row],[% uren 3:]]))</f>
        <v/>
      </c>
      <c r="Q293" s="127"/>
      <c r="R293" s="128"/>
      <c r="S293" s="44"/>
      <c r="T293" s="25"/>
    </row>
    <row r="294" spans="2:20" x14ac:dyDescent="0.25">
      <c r="B294" s="7"/>
      <c r="C294" s="10"/>
      <c r="D294" s="10"/>
      <c r="E294" s="72"/>
      <c r="F294" s="73"/>
      <c r="G294" s="72"/>
      <c r="H294" s="31"/>
      <c r="I294" s="85" t="str">
        <f>IF(Tabel1[[#This Row],[% uren 1:]]="","",Tabel1[[#This Row],[% uren 1:]]*Tabel1[[#This Row],[Totale uren:]])</f>
        <v/>
      </c>
      <c r="J294" s="68"/>
      <c r="K294" s="31"/>
      <c r="L294" s="86" t="str">
        <f>IF(Tabel1[[#This Row],[% uren 2:]]="","",Tabel1[[#This Row],[% uren 2:]]*Tabel1[[#This Row],[Totale uren:]])</f>
        <v/>
      </c>
      <c r="M294" s="72"/>
      <c r="N294" s="31"/>
      <c r="O294" s="85" t="str">
        <f>IF(Tabel1[[#This Row],[% uren 3:]]="","",Tabel1[[#This Row],[% uren 3:]]*Tabel1[[#This Row],[Totale uren:]])</f>
        <v/>
      </c>
      <c r="P294" s="138" t="str">
        <f>IF(Tabel1[[#This Row],[Ordernummer:]]="","",SUM(Tabel1[[#This Row],[% uren 1:]],Tabel1[[#This Row],[% uren 2:]],Tabel1[[#This Row],[% uren 3:]]))</f>
        <v/>
      </c>
      <c r="Q294" s="127"/>
      <c r="R294" s="128"/>
      <c r="S294" s="44"/>
      <c r="T294" s="25"/>
    </row>
    <row r="295" spans="2:20" x14ac:dyDescent="0.25">
      <c r="B295" s="7"/>
      <c r="C295" s="10"/>
      <c r="D295" s="10"/>
      <c r="E295" s="72"/>
      <c r="F295" s="73"/>
      <c r="G295" s="72"/>
      <c r="H295" s="31"/>
      <c r="I295" s="85" t="str">
        <f>IF(Tabel1[[#This Row],[% uren 1:]]="","",Tabel1[[#This Row],[% uren 1:]]*Tabel1[[#This Row],[Totale uren:]])</f>
        <v/>
      </c>
      <c r="J295" s="68"/>
      <c r="K295" s="31"/>
      <c r="L295" s="86" t="str">
        <f>IF(Tabel1[[#This Row],[% uren 2:]]="","",Tabel1[[#This Row],[% uren 2:]]*Tabel1[[#This Row],[Totale uren:]])</f>
        <v/>
      </c>
      <c r="M295" s="72"/>
      <c r="N295" s="31"/>
      <c r="O295" s="85" t="str">
        <f>IF(Tabel1[[#This Row],[% uren 3:]]="","",Tabel1[[#This Row],[% uren 3:]]*Tabel1[[#This Row],[Totale uren:]])</f>
        <v/>
      </c>
      <c r="P295" s="138" t="str">
        <f>IF(Tabel1[[#This Row],[Ordernummer:]]="","",SUM(Tabel1[[#This Row],[% uren 1:]],Tabel1[[#This Row],[% uren 2:]],Tabel1[[#This Row],[% uren 3:]]))</f>
        <v/>
      </c>
      <c r="Q295" s="127"/>
      <c r="R295" s="128"/>
      <c r="S295" s="44"/>
      <c r="T295" s="25"/>
    </row>
    <row r="296" spans="2:20" x14ac:dyDescent="0.25">
      <c r="B296" s="7"/>
      <c r="C296" s="10"/>
      <c r="D296" s="10"/>
      <c r="E296" s="72"/>
      <c r="F296" s="73"/>
      <c r="G296" s="72"/>
      <c r="H296" s="31"/>
      <c r="I296" s="85" t="str">
        <f>IF(Tabel1[[#This Row],[% uren 1:]]="","",Tabel1[[#This Row],[% uren 1:]]*Tabel1[[#This Row],[Totale uren:]])</f>
        <v/>
      </c>
      <c r="J296" s="68"/>
      <c r="K296" s="31"/>
      <c r="L296" s="86" t="str">
        <f>IF(Tabel1[[#This Row],[% uren 2:]]="","",Tabel1[[#This Row],[% uren 2:]]*Tabel1[[#This Row],[Totale uren:]])</f>
        <v/>
      </c>
      <c r="M296" s="72"/>
      <c r="N296" s="31"/>
      <c r="O296" s="85" t="str">
        <f>IF(Tabel1[[#This Row],[% uren 3:]]="","",Tabel1[[#This Row],[% uren 3:]]*Tabel1[[#This Row],[Totale uren:]])</f>
        <v/>
      </c>
      <c r="P296" s="138" t="str">
        <f>IF(Tabel1[[#This Row],[Ordernummer:]]="","",SUM(Tabel1[[#This Row],[% uren 1:]],Tabel1[[#This Row],[% uren 2:]],Tabel1[[#This Row],[% uren 3:]]))</f>
        <v/>
      </c>
      <c r="Q296" s="127"/>
      <c r="R296" s="128"/>
      <c r="S296" s="44"/>
      <c r="T296" s="25"/>
    </row>
    <row r="297" spans="2:20" x14ac:dyDescent="0.25">
      <c r="B297" s="7"/>
      <c r="C297" s="10"/>
      <c r="D297" s="10"/>
      <c r="E297" s="72"/>
      <c r="F297" s="73"/>
      <c r="G297" s="72"/>
      <c r="H297" s="31"/>
      <c r="I297" s="85" t="str">
        <f>IF(Tabel1[[#This Row],[% uren 1:]]="","",Tabel1[[#This Row],[% uren 1:]]*Tabel1[[#This Row],[Totale uren:]])</f>
        <v/>
      </c>
      <c r="J297" s="68"/>
      <c r="K297" s="31"/>
      <c r="L297" s="86" t="str">
        <f>IF(Tabel1[[#This Row],[% uren 2:]]="","",Tabel1[[#This Row],[% uren 2:]]*Tabel1[[#This Row],[Totale uren:]])</f>
        <v/>
      </c>
      <c r="M297" s="72"/>
      <c r="N297" s="31"/>
      <c r="O297" s="85" t="str">
        <f>IF(Tabel1[[#This Row],[% uren 3:]]="","",Tabel1[[#This Row],[% uren 3:]]*Tabel1[[#This Row],[Totale uren:]])</f>
        <v/>
      </c>
      <c r="P297" s="138" t="str">
        <f>IF(Tabel1[[#This Row],[Ordernummer:]]="","",SUM(Tabel1[[#This Row],[% uren 1:]],Tabel1[[#This Row],[% uren 2:]],Tabel1[[#This Row],[% uren 3:]]))</f>
        <v/>
      </c>
      <c r="Q297" s="127"/>
      <c r="R297" s="128"/>
      <c r="S297" s="44"/>
      <c r="T297" s="25"/>
    </row>
    <row r="298" spans="2:20" x14ac:dyDescent="0.25">
      <c r="B298" s="7"/>
      <c r="C298" s="10"/>
      <c r="D298" s="10"/>
      <c r="E298" s="72"/>
      <c r="F298" s="73"/>
      <c r="G298" s="72"/>
      <c r="H298" s="31"/>
      <c r="I298" s="85" t="str">
        <f>IF(Tabel1[[#This Row],[% uren 1:]]="","",Tabel1[[#This Row],[% uren 1:]]*Tabel1[[#This Row],[Totale uren:]])</f>
        <v/>
      </c>
      <c r="J298" s="68"/>
      <c r="K298" s="31"/>
      <c r="L298" s="86" t="str">
        <f>IF(Tabel1[[#This Row],[% uren 2:]]="","",Tabel1[[#This Row],[% uren 2:]]*Tabel1[[#This Row],[Totale uren:]])</f>
        <v/>
      </c>
      <c r="M298" s="72"/>
      <c r="N298" s="31"/>
      <c r="O298" s="85" t="str">
        <f>IF(Tabel1[[#This Row],[% uren 3:]]="","",Tabel1[[#This Row],[% uren 3:]]*Tabel1[[#This Row],[Totale uren:]])</f>
        <v/>
      </c>
      <c r="P298" s="138" t="str">
        <f>IF(Tabel1[[#This Row],[Ordernummer:]]="","",SUM(Tabel1[[#This Row],[% uren 1:]],Tabel1[[#This Row],[% uren 2:]],Tabel1[[#This Row],[% uren 3:]]))</f>
        <v/>
      </c>
      <c r="Q298" s="127"/>
      <c r="R298" s="128"/>
      <c r="S298" s="44"/>
      <c r="T298" s="25"/>
    </row>
    <row r="299" spans="2:20" x14ac:dyDescent="0.25">
      <c r="B299" s="7"/>
      <c r="C299" s="10"/>
      <c r="D299" s="10"/>
      <c r="E299" s="72"/>
      <c r="F299" s="73"/>
      <c r="G299" s="72"/>
      <c r="H299" s="31"/>
      <c r="I299" s="85" t="str">
        <f>IF(Tabel1[[#This Row],[% uren 1:]]="","",Tabel1[[#This Row],[% uren 1:]]*Tabel1[[#This Row],[Totale uren:]])</f>
        <v/>
      </c>
      <c r="J299" s="68"/>
      <c r="K299" s="31"/>
      <c r="L299" s="86" t="str">
        <f>IF(Tabel1[[#This Row],[% uren 2:]]="","",Tabel1[[#This Row],[% uren 2:]]*Tabel1[[#This Row],[Totale uren:]])</f>
        <v/>
      </c>
      <c r="M299" s="72"/>
      <c r="N299" s="31"/>
      <c r="O299" s="85" t="str">
        <f>IF(Tabel1[[#This Row],[% uren 3:]]="","",Tabel1[[#This Row],[% uren 3:]]*Tabel1[[#This Row],[Totale uren:]])</f>
        <v/>
      </c>
      <c r="P299" s="138" t="str">
        <f>IF(Tabel1[[#This Row],[Ordernummer:]]="","",SUM(Tabel1[[#This Row],[% uren 1:]],Tabel1[[#This Row],[% uren 2:]],Tabel1[[#This Row],[% uren 3:]]))</f>
        <v/>
      </c>
      <c r="Q299" s="127"/>
      <c r="R299" s="128"/>
      <c r="S299" s="44"/>
      <c r="T299" s="25"/>
    </row>
    <row r="300" spans="2:20" x14ac:dyDescent="0.25">
      <c r="B300" s="7"/>
      <c r="C300" s="10"/>
      <c r="D300" s="10"/>
      <c r="E300" s="72"/>
      <c r="F300" s="73"/>
      <c r="G300" s="72"/>
      <c r="H300" s="31"/>
      <c r="I300" s="85" t="str">
        <f>IF(Tabel1[[#This Row],[% uren 1:]]="","",Tabel1[[#This Row],[% uren 1:]]*Tabel1[[#This Row],[Totale uren:]])</f>
        <v/>
      </c>
      <c r="J300" s="68"/>
      <c r="K300" s="31"/>
      <c r="L300" s="86" t="str">
        <f>IF(Tabel1[[#This Row],[% uren 2:]]="","",Tabel1[[#This Row],[% uren 2:]]*Tabel1[[#This Row],[Totale uren:]])</f>
        <v/>
      </c>
      <c r="M300" s="72"/>
      <c r="N300" s="31"/>
      <c r="O300" s="85" t="str">
        <f>IF(Tabel1[[#This Row],[% uren 3:]]="","",Tabel1[[#This Row],[% uren 3:]]*Tabel1[[#This Row],[Totale uren:]])</f>
        <v/>
      </c>
      <c r="P300" s="138" t="str">
        <f>IF(Tabel1[[#This Row],[Ordernummer:]]="","",SUM(Tabel1[[#This Row],[% uren 1:]],Tabel1[[#This Row],[% uren 2:]],Tabel1[[#This Row],[% uren 3:]]))</f>
        <v/>
      </c>
      <c r="Q300" s="127"/>
      <c r="R300" s="128"/>
      <c r="S300" s="44"/>
      <c r="T300" s="25"/>
    </row>
    <row r="301" spans="2:20" x14ac:dyDescent="0.25">
      <c r="B301" s="7"/>
      <c r="C301" s="10"/>
      <c r="D301" s="10"/>
      <c r="E301" s="72"/>
      <c r="F301" s="73"/>
      <c r="G301" s="72"/>
      <c r="H301" s="31"/>
      <c r="I301" s="85" t="str">
        <f>IF(Tabel1[[#This Row],[% uren 1:]]="","",Tabel1[[#This Row],[% uren 1:]]*Tabel1[[#This Row],[Totale uren:]])</f>
        <v/>
      </c>
      <c r="J301" s="68"/>
      <c r="K301" s="31"/>
      <c r="L301" s="86" t="str">
        <f>IF(Tabel1[[#This Row],[% uren 2:]]="","",Tabel1[[#This Row],[% uren 2:]]*Tabel1[[#This Row],[Totale uren:]])</f>
        <v/>
      </c>
      <c r="M301" s="72"/>
      <c r="N301" s="31"/>
      <c r="O301" s="85" t="str">
        <f>IF(Tabel1[[#This Row],[% uren 3:]]="","",Tabel1[[#This Row],[% uren 3:]]*Tabel1[[#This Row],[Totale uren:]])</f>
        <v/>
      </c>
      <c r="P301" s="138" t="str">
        <f>IF(Tabel1[[#This Row],[Ordernummer:]]="","",SUM(Tabel1[[#This Row],[% uren 1:]],Tabel1[[#This Row],[% uren 2:]],Tabel1[[#This Row],[% uren 3:]]))</f>
        <v/>
      </c>
      <c r="Q301" s="127"/>
      <c r="R301" s="128"/>
      <c r="S301" s="44"/>
      <c r="T301" s="25"/>
    </row>
    <row r="302" spans="2:20" x14ac:dyDescent="0.25">
      <c r="B302" s="7"/>
      <c r="C302" s="10"/>
      <c r="D302" s="10"/>
      <c r="E302" s="72"/>
      <c r="F302" s="73"/>
      <c r="G302" s="72"/>
      <c r="H302" s="31"/>
      <c r="I302" s="85" t="str">
        <f>IF(Tabel1[[#This Row],[% uren 1:]]="","",Tabel1[[#This Row],[% uren 1:]]*Tabel1[[#This Row],[Totale uren:]])</f>
        <v/>
      </c>
      <c r="J302" s="68"/>
      <c r="K302" s="31"/>
      <c r="L302" s="86" t="str">
        <f>IF(Tabel1[[#This Row],[% uren 2:]]="","",Tabel1[[#This Row],[% uren 2:]]*Tabel1[[#This Row],[Totale uren:]])</f>
        <v/>
      </c>
      <c r="M302" s="72"/>
      <c r="N302" s="31"/>
      <c r="O302" s="85" t="str">
        <f>IF(Tabel1[[#This Row],[% uren 3:]]="","",Tabel1[[#This Row],[% uren 3:]]*Tabel1[[#This Row],[Totale uren:]])</f>
        <v/>
      </c>
      <c r="P302" s="138" t="str">
        <f>IF(Tabel1[[#This Row],[Ordernummer:]]="","",SUM(Tabel1[[#This Row],[% uren 1:]],Tabel1[[#This Row],[% uren 2:]],Tabel1[[#This Row],[% uren 3:]]))</f>
        <v/>
      </c>
      <c r="Q302" s="127"/>
      <c r="R302" s="128"/>
      <c r="S302" s="44"/>
      <c r="T302" s="25"/>
    </row>
    <row r="303" spans="2:20" x14ac:dyDescent="0.25">
      <c r="B303" s="7"/>
      <c r="C303" s="10"/>
      <c r="D303" s="10"/>
      <c r="E303" s="72"/>
      <c r="F303" s="73"/>
      <c r="G303" s="72"/>
      <c r="H303" s="31"/>
      <c r="I303" s="85" t="str">
        <f>IF(Tabel1[[#This Row],[% uren 1:]]="","",Tabel1[[#This Row],[% uren 1:]]*Tabel1[[#This Row],[Totale uren:]])</f>
        <v/>
      </c>
      <c r="J303" s="68"/>
      <c r="K303" s="31"/>
      <c r="L303" s="86" t="str">
        <f>IF(Tabel1[[#This Row],[% uren 2:]]="","",Tabel1[[#This Row],[% uren 2:]]*Tabel1[[#This Row],[Totale uren:]])</f>
        <v/>
      </c>
      <c r="M303" s="72"/>
      <c r="N303" s="31"/>
      <c r="O303" s="85" t="str">
        <f>IF(Tabel1[[#This Row],[% uren 3:]]="","",Tabel1[[#This Row],[% uren 3:]]*Tabel1[[#This Row],[Totale uren:]])</f>
        <v/>
      </c>
      <c r="P303" s="138" t="str">
        <f>IF(Tabel1[[#This Row],[Ordernummer:]]="","",SUM(Tabel1[[#This Row],[% uren 1:]],Tabel1[[#This Row],[% uren 2:]],Tabel1[[#This Row],[% uren 3:]]))</f>
        <v/>
      </c>
      <c r="Q303" s="127"/>
      <c r="R303" s="128"/>
      <c r="S303" s="44"/>
      <c r="T303" s="25"/>
    </row>
    <row r="304" spans="2:20" x14ac:dyDescent="0.25">
      <c r="B304" s="7"/>
      <c r="C304" s="10"/>
      <c r="D304" s="10"/>
      <c r="E304" s="72"/>
      <c r="F304" s="73"/>
      <c r="G304" s="72"/>
      <c r="H304" s="31"/>
      <c r="I304" s="85" t="str">
        <f>IF(Tabel1[[#This Row],[% uren 1:]]="","",Tabel1[[#This Row],[% uren 1:]]*Tabel1[[#This Row],[Totale uren:]])</f>
        <v/>
      </c>
      <c r="J304" s="68"/>
      <c r="K304" s="31"/>
      <c r="L304" s="86" t="str">
        <f>IF(Tabel1[[#This Row],[% uren 2:]]="","",Tabel1[[#This Row],[% uren 2:]]*Tabel1[[#This Row],[Totale uren:]])</f>
        <v/>
      </c>
      <c r="M304" s="72"/>
      <c r="N304" s="31"/>
      <c r="O304" s="85" t="str">
        <f>IF(Tabel1[[#This Row],[% uren 3:]]="","",Tabel1[[#This Row],[% uren 3:]]*Tabel1[[#This Row],[Totale uren:]])</f>
        <v/>
      </c>
      <c r="P304" s="138" t="str">
        <f>IF(Tabel1[[#This Row],[Ordernummer:]]="","",SUM(Tabel1[[#This Row],[% uren 1:]],Tabel1[[#This Row],[% uren 2:]],Tabel1[[#This Row],[% uren 3:]]))</f>
        <v/>
      </c>
      <c r="Q304" s="127"/>
      <c r="R304" s="128"/>
      <c r="S304" s="44"/>
      <c r="T304" s="25"/>
    </row>
    <row r="305" spans="2:20" x14ac:dyDescent="0.25">
      <c r="B305" s="7"/>
      <c r="C305" s="10"/>
      <c r="D305" s="10"/>
      <c r="E305" s="72"/>
      <c r="F305" s="73"/>
      <c r="G305" s="72"/>
      <c r="H305" s="31"/>
      <c r="I305" s="85" t="str">
        <f>IF(Tabel1[[#This Row],[% uren 1:]]="","",Tabel1[[#This Row],[% uren 1:]]*Tabel1[[#This Row],[Totale uren:]])</f>
        <v/>
      </c>
      <c r="J305" s="68"/>
      <c r="K305" s="31"/>
      <c r="L305" s="86" t="str">
        <f>IF(Tabel1[[#This Row],[% uren 2:]]="","",Tabel1[[#This Row],[% uren 2:]]*Tabel1[[#This Row],[Totale uren:]])</f>
        <v/>
      </c>
      <c r="M305" s="72"/>
      <c r="N305" s="31"/>
      <c r="O305" s="85" t="str">
        <f>IF(Tabel1[[#This Row],[% uren 3:]]="","",Tabel1[[#This Row],[% uren 3:]]*Tabel1[[#This Row],[Totale uren:]])</f>
        <v/>
      </c>
      <c r="P305" s="138" t="str">
        <f>IF(Tabel1[[#This Row],[Ordernummer:]]="","",SUM(Tabel1[[#This Row],[% uren 1:]],Tabel1[[#This Row],[% uren 2:]],Tabel1[[#This Row],[% uren 3:]]))</f>
        <v/>
      </c>
      <c r="Q305" s="127"/>
      <c r="R305" s="128"/>
      <c r="S305" s="44"/>
      <c r="T305" s="25"/>
    </row>
    <row r="306" spans="2:20" x14ac:dyDescent="0.25">
      <c r="B306" s="7"/>
      <c r="C306" s="10"/>
      <c r="D306" s="10"/>
      <c r="E306" s="72"/>
      <c r="F306" s="73"/>
      <c r="G306" s="72"/>
      <c r="H306" s="31"/>
      <c r="I306" s="85" t="str">
        <f>IF(Tabel1[[#This Row],[% uren 1:]]="","",Tabel1[[#This Row],[% uren 1:]]*Tabel1[[#This Row],[Totale uren:]])</f>
        <v/>
      </c>
      <c r="J306" s="68"/>
      <c r="K306" s="31"/>
      <c r="L306" s="86" t="str">
        <f>IF(Tabel1[[#This Row],[% uren 2:]]="","",Tabel1[[#This Row],[% uren 2:]]*Tabel1[[#This Row],[Totale uren:]])</f>
        <v/>
      </c>
      <c r="M306" s="72"/>
      <c r="N306" s="31"/>
      <c r="O306" s="85" t="str">
        <f>IF(Tabel1[[#This Row],[% uren 3:]]="","",Tabel1[[#This Row],[% uren 3:]]*Tabel1[[#This Row],[Totale uren:]])</f>
        <v/>
      </c>
      <c r="P306" s="138" t="str">
        <f>IF(Tabel1[[#This Row],[Ordernummer:]]="","",SUM(Tabel1[[#This Row],[% uren 1:]],Tabel1[[#This Row],[% uren 2:]],Tabel1[[#This Row],[% uren 3:]]))</f>
        <v/>
      </c>
      <c r="Q306" s="127"/>
      <c r="R306" s="128"/>
      <c r="S306" s="44"/>
      <c r="T306" s="25"/>
    </row>
    <row r="307" spans="2:20" x14ac:dyDescent="0.25">
      <c r="B307" s="7"/>
      <c r="C307" s="10"/>
      <c r="D307" s="10"/>
      <c r="E307" s="72"/>
      <c r="F307" s="73"/>
      <c r="G307" s="72"/>
      <c r="H307" s="31"/>
      <c r="I307" s="85" t="str">
        <f>IF(Tabel1[[#This Row],[% uren 1:]]="","",Tabel1[[#This Row],[% uren 1:]]*Tabel1[[#This Row],[Totale uren:]])</f>
        <v/>
      </c>
      <c r="J307" s="68"/>
      <c r="K307" s="31"/>
      <c r="L307" s="86" t="str">
        <f>IF(Tabel1[[#This Row],[% uren 2:]]="","",Tabel1[[#This Row],[% uren 2:]]*Tabel1[[#This Row],[Totale uren:]])</f>
        <v/>
      </c>
      <c r="M307" s="72"/>
      <c r="N307" s="31"/>
      <c r="O307" s="85" t="str">
        <f>IF(Tabel1[[#This Row],[% uren 3:]]="","",Tabel1[[#This Row],[% uren 3:]]*Tabel1[[#This Row],[Totale uren:]])</f>
        <v/>
      </c>
      <c r="P307" s="138" t="str">
        <f>IF(Tabel1[[#This Row],[Ordernummer:]]="","",SUM(Tabel1[[#This Row],[% uren 1:]],Tabel1[[#This Row],[% uren 2:]],Tabel1[[#This Row],[% uren 3:]]))</f>
        <v/>
      </c>
      <c r="Q307" s="127"/>
      <c r="R307" s="128"/>
      <c r="S307" s="44"/>
      <c r="T307" s="25"/>
    </row>
    <row r="308" spans="2:20" x14ac:dyDescent="0.25">
      <c r="B308" s="7"/>
      <c r="C308" s="10"/>
      <c r="D308" s="10"/>
      <c r="E308" s="72"/>
      <c r="F308" s="73"/>
      <c r="G308" s="72"/>
      <c r="H308" s="31"/>
      <c r="I308" s="85" t="str">
        <f>IF(Tabel1[[#This Row],[% uren 1:]]="","",Tabel1[[#This Row],[% uren 1:]]*Tabel1[[#This Row],[Totale uren:]])</f>
        <v/>
      </c>
      <c r="J308" s="68"/>
      <c r="K308" s="31"/>
      <c r="L308" s="86" t="str">
        <f>IF(Tabel1[[#This Row],[% uren 2:]]="","",Tabel1[[#This Row],[% uren 2:]]*Tabel1[[#This Row],[Totale uren:]])</f>
        <v/>
      </c>
      <c r="M308" s="72"/>
      <c r="N308" s="31"/>
      <c r="O308" s="85" t="str">
        <f>IF(Tabel1[[#This Row],[% uren 3:]]="","",Tabel1[[#This Row],[% uren 3:]]*Tabel1[[#This Row],[Totale uren:]])</f>
        <v/>
      </c>
      <c r="P308" s="138" t="str">
        <f>IF(Tabel1[[#This Row],[Ordernummer:]]="","",SUM(Tabel1[[#This Row],[% uren 1:]],Tabel1[[#This Row],[% uren 2:]],Tabel1[[#This Row],[% uren 3:]]))</f>
        <v/>
      </c>
      <c r="Q308" s="127"/>
      <c r="R308" s="128"/>
      <c r="S308" s="44"/>
      <c r="T308" s="25"/>
    </row>
    <row r="309" spans="2:20" x14ac:dyDescent="0.25">
      <c r="B309" s="7"/>
      <c r="C309" s="10"/>
      <c r="D309" s="10"/>
      <c r="E309" s="72"/>
      <c r="F309" s="73"/>
      <c r="G309" s="72"/>
      <c r="H309" s="31"/>
      <c r="I309" s="85" t="str">
        <f>IF(Tabel1[[#This Row],[% uren 1:]]="","",Tabel1[[#This Row],[% uren 1:]]*Tabel1[[#This Row],[Totale uren:]])</f>
        <v/>
      </c>
      <c r="J309" s="68"/>
      <c r="K309" s="31"/>
      <c r="L309" s="86" t="str">
        <f>IF(Tabel1[[#This Row],[% uren 2:]]="","",Tabel1[[#This Row],[% uren 2:]]*Tabel1[[#This Row],[Totale uren:]])</f>
        <v/>
      </c>
      <c r="M309" s="72"/>
      <c r="N309" s="31"/>
      <c r="O309" s="85" t="str">
        <f>IF(Tabel1[[#This Row],[% uren 3:]]="","",Tabel1[[#This Row],[% uren 3:]]*Tabel1[[#This Row],[Totale uren:]])</f>
        <v/>
      </c>
      <c r="P309" s="138" t="str">
        <f>IF(Tabel1[[#This Row],[Ordernummer:]]="","",SUM(Tabel1[[#This Row],[% uren 1:]],Tabel1[[#This Row],[% uren 2:]],Tabel1[[#This Row],[% uren 3:]]))</f>
        <v/>
      </c>
      <c r="Q309" s="127"/>
      <c r="R309" s="128"/>
      <c r="S309" s="44"/>
      <c r="T309" s="25"/>
    </row>
    <row r="310" spans="2:20" x14ac:dyDescent="0.25">
      <c r="B310" s="7"/>
      <c r="C310" s="10"/>
      <c r="D310" s="10"/>
      <c r="E310" s="72"/>
      <c r="F310" s="73"/>
      <c r="G310" s="72"/>
      <c r="H310" s="31"/>
      <c r="I310" s="85" t="str">
        <f>IF(Tabel1[[#This Row],[% uren 1:]]="","",Tabel1[[#This Row],[% uren 1:]]*Tabel1[[#This Row],[Totale uren:]])</f>
        <v/>
      </c>
      <c r="J310" s="68"/>
      <c r="K310" s="31"/>
      <c r="L310" s="86" t="str">
        <f>IF(Tabel1[[#This Row],[% uren 2:]]="","",Tabel1[[#This Row],[% uren 2:]]*Tabel1[[#This Row],[Totale uren:]])</f>
        <v/>
      </c>
      <c r="M310" s="72"/>
      <c r="N310" s="31"/>
      <c r="O310" s="85" t="str">
        <f>IF(Tabel1[[#This Row],[% uren 3:]]="","",Tabel1[[#This Row],[% uren 3:]]*Tabel1[[#This Row],[Totale uren:]])</f>
        <v/>
      </c>
      <c r="P310" s="138" t="str">
        <f>IF(Tabel1[[#This Row],[Ordernummer:]]="","",SUM(Tabel1[[#This Row],[% uren 1:]],Tabel1[[#This Row],[% uren 2:]],Tabel1[[#This Row],[% uren 3:]]))</f>
        <v/>
      </c>
      <c r="Q310" s="127"/>
      <c r="R310" s="128"/>
      <c r="S310" s="44"/>
      <c r="T310" s="25"/>
    </row>
    <row r="311" spans="2:20" x14ac:dyDescent="0.25">
      <c r="B311" s="7"/>
      <c r="C311" s="10"/>
      <c r="D311" s="10"/>
      <c r="E311" s="72"/>
      <c r="F311" s="73"/>
      <c r="G311" s="72"/>
      <c r="H311" s="31"/>
      <c r="I311" s="85" t="str">
        <f>IF(Tabel1[[#This Row],[% uren 1:]]="","",Tabel1[[#This Row],[% uren 1:]]*Tabel1[[#This Row],[Totale uren:]])</f>
        <v/>
      </c>
      <c r="J311" s="68"/>
      <c r="K311" s="31"/>
      <c r="L311" s="86" t="str">
        <f>IF(Tabel1[[#This Row],[% uren 2:]]="","",Tabel1[[#This Row],[% uren 2:]]*Tabel1[[#This Row],[Totale uren:]])</f>
        <v/>
      </c>
      <c r="M311" s="72"/>
      <c r="N311" s="31"/>
      <c r="O311" s="85" t="str">
        <f>IF(Tabel1[[#This Row],[% uren 3:]]="","",Tabel1[[#This Row],[% uren 3:]]*Tabel1[[#This Row],[Totale uren:]])</f>
        <v/>
      </c>
      <c r="P311" s="138" t="str">
        <f>IF(Tabel1[[#This Row],[Ordernummer:]]="","",SUM(Tabel1[[#This Row],[% uren 1:]],Tabel1[[#This Row],[% uren 2:]],Tabel1[[#This Row],[% uren 3:]]))</f>
        <v/>
      </c>
      <c r="Q311" s="127"/>
      <c r="R311" s="128"/>
      <c r="S311" s="44"/>
      <c r="T311" s="25"/>
    </row>
    <row r="312" spans="2:20" x14ac:dyDescent="0.25">
      <c r="B312" s="7"/>
      <c r="C312" s="10"/>
      <c r="D312" s="10"/>
      <c r="E312" s="72"/>
      <c r="F312" s="73"/>
      <c r="G312" s="72"/>
      <c r="H312" s="31"/>
      <c r="I312" s="85" t="str">
        <f>IF(Tabel1[[#This Row],[% uren 1:]]="","",Tabel1[[#This Row],[% uren 1:]]*Tabel1[[#This Row],[Totale uren:]])</f>
        <v/>
      </c>
      <c r="J312" s="68"/>
      <c r="K312" s="31"/>
      <c r="L312" s="86" t="str">
        <f>IF(Tabel1[[#This Row],[% uren 2:]]="","",Tabel1[[#This Row],[% uren 2:]]*Tabel1[[#This Row],[Totale uren:]])</f>
        <v/>
      </c>
      <c r="M312" s="72"/>
      <c r="N312" s="31"/>
      <c r="O312" s="85" t="str">
        <f>IF(Tabel1[[#This Row],[% uren 3:]]="","",Tabel1[[#This Row],[% uren 3:]]*Tabel1[[#This Row],[Totale uren:]])</f>
        <v/>
      </c>
      <c r="P312" s="138" t="str">
        <f>IF(Tabel1[[#This Row],[Ordernummer:]]="","",SUM(Tabel1[[#This Row],[% uren 1:]],Tabel1[[#This Row],[% uren 2:]],Tabel1[[#This Row],[% uren 3:]]))</f>
        <v/>
      </c>
      <c r="Q312" s="127"/>
      <c r="R312" s="128"/>
      <c r="S312" s="44"/>
      <c r="T312" s="25"/>
    </row>
    <row r="313" spans="2:20" x14ac:dyDescent="0.25">
      <c r="B313" s="7"/>
      <c r="C313" s="10"/>
      <c r="D313" s="10"/>
      <c r="E313" s="72"/>
      <c r="F313" s="73"/>
      <c r="G313" s="72"/>
      <c r="H313" s="31"/>
      <c r="I313" s="85" t="str">
        <f>IF(Tabel1[[#This Row],[% uren 1:]]="","",Tabel1[[#This Row],[% uren 1:]]*Tabel1[[#This Row],[Totale uren:]])</f>
        <v/>
      </c>
      <c r="J313" s="68"/>
      <c r="K313" s="31"/>
      <c r="L313" s="86" t="str">
        <f>IF(Tabel1[[#This Row],[% uren 2:]]="","",Tabel1[[#This Row],[% uren 2:]]*Tabel1[[#This Row],[Totale uren:]])</f>
        <v/>
      </c>
      <c r="M313" s="72"/>
      <c r="N313" s="31"/>
      <c r="O313" s="85" t="str">
        <f>IF(Tabel1[[#This Row],[% uren 3:]]="","",Tabel1[[#This Row],[% uren 3:]]*Tabel1[[#This Row],[Totale uren:]])</f>
        <v/>
      </c>
      <c r="P313" s="138" t="str">
        <f>IF(Tabel1[[#This Row],[Ordernummer:]]="","",SUM(Tabel1[[#This Row],[% uren 1:]],Tabel1[[#This Row],[% uren 2:]],Tabel1[[#This Row],[% uren 3:]]))</f>
        <v/>
      </c>
      <c r="Q313" s="127"/>
      <c r="R313" s="128"/>
      <c r="S313" s="44"/>
      <c r="T313" s="25"/>
    </row>
    <row r="314" spans="2:20" x14ac:dyDescent="0.25">
      <c r="B314" s="7"/>
      <c r="C314" s="10"/>
      <c r="D314" s="10"/>
      <c r="E314" s="72"/>
      <c r="F314" s="73"/>
      <c r="G314" s="72"/>
      <c r="H314" s="31"/>
      <c r="I314" s="85" t="str">
        <f>IF(Tabel1[[#This Row],[% uren 1:]]="","",Tabel1[[#This Row],[% uren 1:]]*Tabel1[[#This Row],[Totale uren:]])</f>
        <v/>
      </c>
      <c r="J314" s="68"/>
      <c r="K314" s="31"/>
      <c r="L314" s="86" t="str">
        <f>IF(Tabel1[[#This Row],[% uren 2:]]="","",Tabel1[[#This Row],[% uren 2:]]*Tabel1[[#This Row],[Totale uren:]])</f>
        <v/>
      </c>
      <c r="M314" s="72"/>
      <c r="N314" s="31"/>
      <c r="O314" s="85" t="str">
        <f>IF(Tabel1[[#This Row],[% uren 3:]]="","",Tabel1[[#This Row],[% uren 3:]]*Tabel1[[#This Row],[Totale uren:]])</f>
        <v/>
      </c>
      <c r="P314" s="138" t="str">
        <f>IF(Tabel1[[#This Row],[Ordernummer:]]="","",SUM(Tabel1[[#This Row],[% uren 1:]],Tabel1[[#This Row],[% uren 2:]],Tabel1[[#This Row],[% uren 3:]]))</f>
        <v/>
      </c>
      <c r="Q314" s="127"/>
      <c r="R314" s="128"/>
      <c r="S314" s="44"/>
      <c r="T314" s="25"/>
    </row>
    <row r="315" spans="2:20" x14ac:dyDescent="0.25">
      <c r="B315" s="7"/>
      <c r="C315" s="10"/>
      <c r="D315" s="10"/>
      <c r="E315" s="72"/>
      <c r="F315" s="73"/>
      <c r="G315" s="72"/>
      <c r="H315" s="31"/>
      <c r="I315" s="85" t="str">
        <f>IF(Tabel1[[#This Row],[% uren 1:]]="","",Tabel1[[#This Row],[% uren 1:]]*Tabel1[[#This Row],[Totale uren:]])</f>
        <v/>
      </c>
      <c r="J315" s="68"/>
      <c r="K315" s="31"/>
      <c r="L315" s="86" t="str">
        <f>IF(Tabel1[[#This Row],[% uren 2:]]="","",Tabel1[[#This Row],[% uren 2:]]*Tabel1[[#This Row],[Totale uren:]])</f>
        <v/>
      </c>
      <c r="M315" s="72"/>
      <c r="N315" s="31"/>
      <c r="O315" s="85" t="str">
        <f>IF(Tabel1[[#This Row],[% uren 3:]]="","",Tabel1[[#This Row],[% uren 3:]]*Tabel1[[#This Row],[Totale uren:]])</f>
        <v/>
      </c>
      <c r="P315" s="138" t="str">
        <f>IF(Tabel1[[#This Row],[Ordernummer:]]="","",SUM(Tabel1[[#This Row],[% uren 1:]],Tabel1[[#This Row],[% uren 2:]],Tabel1[[#This Row],[% uren 3:]]))</f>
        <v/>
      </c>
      <c r="Q315" s="127"/>
      <c r="R315" s="128"/>
      <c r="S315" s="44"/>
      <c r="T315" s="25"/>
    </row>
    <row r="316" spans="2:20" x14ac:dyDescent="0.25">
      <c r="B316" s="7"/>
      <c r="C316" s="10"/>
      <c r="D316" s="10"/>
      <c r="E316" s="72"/>
      <c r="F316" s="73"/>
      <c r="G316" s="72"/>
      <c r="H316" s="31"/>
      <c r="I316" s="85" t="str">
        <f>IF(Tabel1[[#This Row],[% uren 1:]]="","",Tabel1[[#This Row],[% uren 1:]]*Tabel1[[#This Row],[Totale uren:]])</f>
        <v/>
      </c>
      <c r="J316" s="68"/>
      <c r="K316" s="31"/>
      <c r="L316" s="86" t="str">
        <f>IF(Tabel1[[#This Row],[% uren 2:]]="","",Tabel1[[#This Row],[% uren 2:]]*Tabel1[[#This Row],[Totale uren:]])</f>
        <v/>
      </c>
      <c r="M316" s="72"/>
      <c r="N316" s="31"/>
      <c r="O316" s="85" t="str">
        <f>IF(Tabel1[[#This Row],[% uren 3:]]="","",Tabel1[[#This Row],[% uren 3:]]*Tabel1[[#This Row],[Totale uren:]])</f>
        <v/>
      </c>
      <c r="P316" s="138" t="str">
        <f>IF(Tabel1[[#This Row],[Ordernummer:]]="","",SUM(Tabel1[[#This Row],[% uren 1:]],Tabel1[[#This Row],[% uren 2:]],Tabel1[[#This Row],[% uren 3:]]))</f>
        <v/>
      </c>
      <c r="Q316" s="127"/>
      <c r="R316" s="128"/>
      <c r="S316" s="44"/>
      <c r="T316" s="25"/>
    </row>
    <row r="317" spans="2:20" x14ac:dyDescent="0.25">
      <c r="B317" s="7"/>
      <c r="C317" s="10"/>
      <c r="D317" s="10"/>
      <c r="E317" s="72"/>
      <c r="F317" s="73"/>
      <c r="G317" s="72"/>
      <c r="H317" s="31"/>
      <c r="I317" s="85" t="str">
        <f>IF(Tabel1[[#This Row],[% uren 1:]]="","",Tabel1[[#This Row],[% uren 1:]]*Tabel1[[#This Row],[Totale uren:]])</f>
        <v/>
      </c>
      <c r="J317" s="68"/>
      <c r="K317" s="31"/>
      <c r="L317" s="86" t="str">
        <f>IF(Tabel1[[#This Row],[% uren 2:]]="","",Tabel1[[#This Row],[% uren 2:]]*Tabel1[[#This Row],[Totale uren:]])</f>
        <v/>
      </c>
      <c r="M317" s="72"/>
      <c r="N317" s="31"/>
      <c r="O317" s="85" t="str">
        <f>IF(Tabel1[[#This Row],[% uren 3:]]="","",Tabel1[[#This Row],[% uren 3:]]*Tabel1[[#This Row],[Totale uren:]])</f>
        <v/>
      </c>
      <c r="P317" s="138" t="str">
        <f>IF(Tabel1[[#This Row],[Ordernummer:]]="","",SUM(Tabel1[[#This Row],[% uren 1:]],Tabel1[[#This Row],[% uren 2:]],Tabel1[[#This Row],[% uren 3:]]))</f>
        <v/>
      </c>
      <c r="Q317" s="127"/>
      <c r="R317" s="128"/>
      <c r="S317" s="44"/>
      <c r="T317" s="25"/>
    </row>
    <row r="318" spans="2:20" x14ac:dyDescent="0.25">
      <c r="B318" s="7"/>
      <c r="C318" s="10"/>
      <c r="D318" s="10"/>
      <c r="E318" s="72"/>
      <c r="F318" s="73"/>
      <c r="G318" s="72"/>
      <c r="H318" s="31"/>
      <c r="I318" s="85" t="str">
        <f>IF(Tabel1[[#This Row],[% uren 1:]]="","",Tabel1[[#This Row],[% uren 1:]]*Tabel1[[#This Row],[Totale uren:]])</f>
        <v/>
      </c>
      <c r="J318" s="68"/>
      <c r="K318" s="31"/>
      <c r="L318" s="86" t="str">
        <f>IF(Tabel1[[#This Row],[% uren 2:]]="","",Tabel1[[#This Row],[% uren 2:]]*Tabel1[[#This Row],[Totale uren:]])</f>
        <v/>
      </c>
      <c r="M318" s="72"/>
      <c r="N318" s="31"/>
      <c r="O318" s="85" t="str">
        <f>IF(Tabel1[[#This Row],[% uren 3:]]="","",Tabel1[[#This Row],[% uren 3:]]*Tabel1[[#This Row],[Totale uren:]])</f>
        <v/>
      </c>
      <c r="P318" s="138" t="str">
        <f>IF(Tabel1[[#This Row],[Ordernummer:]]="","",SUM(Tabel1[[#This Row],[% uren 1:]],Tabel1[[#This Row],[% uren 2:]],Tabel1[[#This Row],[% uren 3:]]))</f>
        <v/>
      </c>
      <c r="Q318" s="127"/>
      <c r="R318" s="128"/>
      <c r="S318" s="44"/>
      <c r="T318" s="25"/>
    </row>
    <row r="319" spans="2:20" x14ac:dyDescent="0.25">
      <c r="B319" s="7"/>
      <c r="C319" s="10"/>
      <c r="D319" s="10"/>
      <c r="E319" s="72"/>
      <c r="F319" s="73"/>
      <c r="G319" s="72"/>
      <c r="H319" s="31"/>
      <c r="I319" s="85" t="str">
        <f>IF(Tabel1[[#This Row],[% uren 1:]]="","",Tabel1[[#This Row],[% uren 1:]]*Tabel1[[#This Row],[Totale uren:]])</f>
        <v/>
      </c>
      <c r="J319" s="68"/>
      <c r="K319" s="31"/>
      <c r="L319" s="86" t="str">
        <f>IF(Tabel1[[#This Row],[% uren 2:]]="","",Tabel1[[#This Row],[% uren 2:]]*Tabel1[[#This Row],[Totale uren:]])</f>
        <v/>
      </c>
      <c r="M319" s="72"/>
      <c r="N319" s="31"/>
      <c r="O319" s="85" t="str">
        <f>IF(Tabel1[[#This Row],[% uren 3:]]="","",Tabel1[[#This Row],[% uren 3:]]*Tabel1[[#This Row],[Totale uren:]])</f>
        <v/>
      </c>
      <c r="P319" s="138" t="str">
        <f>IF(Tabel1[[#This Row],[Ordernummer:]]="","",SUM(Tabel1[[#This Row],[% uren 1:]],Tabel1[[#This Row],[% uren 2:]],Tabel1[[#This Row],[% uren 3:]]))</f>
        <v/>
      </c>
      <c r="Q319" s="127"/>
      <c r="R319" s="128"/>
      <c r="S319" s="44"/>
      <c r="T319" s="25"/>
    </row>
    <row r="320" spans="2:20" x14ac:dyDescent="0.25">
      <c r="B320" s="7"/>
      <c r="C320" s="10"/>
      <c r="D320" s="10"/>
      <c r="E320" s="72"/>
      <c r="F320" s="73"/>
      <c r="G320" s="72"/>
      <c r="H320" s="31"/>
      <c r="I320" s="85" t="str">
        <f>IF(Tabel1[[#This Row],[% uren 1:]]="","",Tabel1[[#This Row],[% uren 1:]]*Tabel1[[#This Row],[Totale uren:]])</f>
        <v/>
      </c>
      <c r="J320" s="68"/>
      <c r="K320" s="31"/>
      <c r="L320" s="86" t="str">
        <f>IF(Tabel1[[#This Row],[% uren 2:]]="","",Tabel1[[#This Row],[% uren 2:]]*Tabel1[[#This Row],[Totale uren:]])</f>
        <v/>
      </c>
      <c r="M320" s="72"/>
      <c r="N320" s="31"/>
      <c r="O320" s="85" t="str">
        <f>IF(Tabel1[[#This Row],[% uren 3:]]="","",Tabel1[[#This Row],[% uren 3:]]*Tabel1[[#This Row],[Totale uren:]])</f>
        <v/>
      </c>
      <c r="P320" s="138" t="str">
        <f>IF(Tabel1[[#This Row],[Ordernummer:]]="","",SUM(Tabel1[[#This Row],[% uren 1:]],Tabel1[[#This Row],[% uren 2:]],Tabel1[[#This Row],[% uren 3:]]))</f>
        <v/>
      </c>
      <c r="Q320" s="127"/>
      <c r="R320" s="128"/>
      <c r="S320" s="44"/>
      <c r="T320" s="25"/>
    </row>
    <row r="321" spans="2:20" x14ac:dyDescent="0.25">
      <c r="B321" s="7"/>
      <c r="C321" s="10"/>
      <c r="D321" s="10"/>
      <c r="E321" s="72"/>
      <c r="F321" s="73"/>
      <c r="G321" s="72"/>
      <c r="H321" s="31"/>
      <c r="I321" s="85" t="str">
        <f>IF(Tabel1[[#This Row],[% uren 1:]]="","",Tabel1[[#This Row],[% uren 1:]]*Tabel1[[#This Row],[Totale uren:]])</f>
        <v/>
      </c>
      <c r="J321" s="68"/>
      <c r="K321" s="31"/>
      <c r="L321" s="86" t="str">
        <f>IF(Tabel1[[#This Row],[% uren 2:]]="","",Tabel1[[#This Row],[% uren 2:]]*Tabel1[[#This Row],[Totale uren:]])</f>
        <v/>
      </c>
      <c r="M321" s="72"/>
      <c r="N321" s="31"/>
      <c r="O321" s="85" t="str">
        <f>IF(Tabel1[[#This Row],[% uren 3:]]="","",Tabel1[[#This Row],[% uren 3:]]*Tabel1[[#This Row],[Totale uren:]])</f>
        <v/>
      </c>
      <c r="P321" s="138" t="str">
        <f>IF(Tabel1[[#This Row],[Ordernummer:]]="","",SUM(Tabel1[[#This Row],[% uren 1:]],Tabel1[[#This Row],[% uren 2:]],Tabel1[[#This Row],[% uren 3:]]))</f>
        <v/>
      </c>
      <c r="Q321" s="127"/>
      <c r="R321" s="128"/>
      <c r="S321" s="44"/>
      <c r="T321" s="25"/>
    </row>
    <row r="322" spans="2:20" x14ac:dyDescent="0.25">
      <c r="B322" s="7"/>
      <c r="C322" s="10"/>
      <c r="D322" s="10"/>
      <c r="E322" s="72"/>
      <c r="F322" s="73"/>
      <c r="G322" s="72"/>
      <c r="H322" s="31"/>
      <c r="I322" s="85" t="str">
        <f>IF(Tabel1[[#This Row],[% uren 1:]]="","",Tabel1[[#This Row],[% uren 1:]]*Tabel1[[#This Row],[Totale uren:]])</f>
        <v/>
      </c>
      <c r="J322" s="68"/>
      <c r="K322" s="31"/>
      <c r="L322" s="86" t="str">
        <f>IF(Tabel1[[#This Row],[% uren 2:]]="","",Tabel1[[#This Row],[% uren 2:]]*Tabel1[[#This Row],[Totale uren:]])</f>
        <v/>
      </c>
      <c r="M322" s="72"/>
      <c r="N322" s="31"/>
      <c r="O322" s="85" t="str">
        <f>IF(Tabel1[[#This Row],[% uren 3:]]="","",Tabel1[[#This Row],[% uren 3:]]*Tabel1[[#This Row],[Totale uren:]])</f>
        <v/>
      </c>
      <c r="P322" s="138" t="str">
        <f>IF(Tabel1[[#This Row],[Ordernummer:]]="","",SUM(Tabel1[[#This Row],[% uren 1:]],Tabel1[[#This Row],[% uren 2:]],Tabel1[[#This Row],[% uren 3:]]))</f>
        <v/>
      </c>
      <c r="Q322" s="127"/>
      <c r="R322" s="128"/>
      <c r="S322" s="44"/>
      <c r="T322" s="25"/>
    </row>
    <row r="323" spans="2:20" x14ac:dyDescent="0.25">
      <c r="B323" s="7"/>
      <c r="C323" s="10"/>
      <c r="D323" s="10"/>
      <c r="E323" s="72"/>
      <c r="F323" s="73"/>
      <c r="G323" s="72"/>
      <c r="H323" s="31"/>
      <c r="I323" s="85" t="str">
        <f>IF(Tabel1[[#This Row],[% uren 1:]]="","",Tabel1[[#This Row],[% uren 1:]]*Tabel1[[#This Row],[Totale uren:]])</f>
        <v/>
      </c>
      <c r="J323" s="68"/>
      <c r="K323" s="31"/>
      <c r="L323" s="86" t="str">
        <f>IF(Tabel1[[#This Row],[% uren 2:]]="","",Tabel1[[#This Row],[% uren 2:]]*Tabel1[[#This Row],[Totale uren:]])</f>
        <v/>
      </c>
      <c r="M323" s="72"/>
      <c r="N323" s="31"/>
      <c r="O323" s="85" t="str">
        <f>IF(Tabel1[[#This Row],[% uren 3:]]="","",Tabel1[[#This Row],[% uren 3:]]*Tabel1[[#This Row],[Totale uren:]])</f>
        <v/>
      </c>
      <c r="P323" s="138" t="str">
        <f>IF(Tabel1[[#This Row],[Ordernummer:]]="","",SUM(Tabel1[[#This Row],[% uren 1:]],Tabel1[[#This Row],[% uren 2:]],Tabel1[[#This Row],[% uren 3:]]))</f>
        <v/>
      </c>
      <c r="Q323" s="127"/>
      <c r="R323" s="128"/>
      <c r="S323" s="44"/>
      <c r="T323" s="25"/>
    </row>
    <row r="324" spans="2:20" x14ac:dyDescent="0.25">
      <c r="B324" s="7"/>
      <c r="C324" s="10"/>
      <c r="D324" s="10"/>
      <c r="E324" s="72"/>
      <c r="F324" s="73"/>
      <c r="G324" s="72"/>
      <c r="H324" s="31"/>
      <c r="I324" s="85" t="str">
        <f>IF(Tabel1[[#This Row],[% uren 1:]]="","",Tabel1[[#This Row],[% uren 1:]]*Tabel1[[#This Row],[Totale uren:]])</f>
        <v/>
      </c>
      <c r="J324" s="68"/>
      <c r="K324" s="31"/>
      <c r="L324" s="86" t="str">
        <f>IF(Tabel1[[#This Row],[% uren 2:]]="","",Tabel1[[#This Row],[% uren 2:]]*Tabel1[[#This Row],[Totale uren:]])</f>
        <v/>
      </c>
      <c r="M324" s="72"/>
      <c r="N324" s="31"/>
      <c r="O324" s="85" t="str">
        <f>IF(Tabel1[[#This Row],[% uren 3:]]="","",Tabel1[[#This Row],[% uren 3:]]*Tabel1[[#This Row],[Totale uren:]])</f>
        <v/>
      </c>
      <c r="P324" s="138" t="str">
        <f>IF(Tabel1[[#This Row],[Ordernummer:]]="","",SUM(Tabel1[[#This Row],[% uren 1:]],Tabel1[[#This Row],[% uren 2:]],Tabel1[[#This Row],[% uren 3:]]))</f>
        <v/>
      </c>
      <c r="Q324" s="127"/>
      <c r="R324" s="128"/>
      <c r="S324" s="44"/>
      <c r="T324" s="25"/>
    </row>
    <row r="325" spans="2:20" x14ac:dyDescent="0.25">
      <c r="B325" s="7"/>
      <c r="C325" s="10"/>
      <c r="D325" s="10"/>
      <c r="E325" s="72"/>
      <c r="F325" s="73"/>
      <c r="G325" s="72"/>
      <c r="H325" s="31"/>
      <c r="I325" s="85" t="str">
        <f>IF(Tabel1[[#This Row],[% uren 1:]]="","",Tabel1[[#This Row],[% uren 1:]]*Tabel1[[#This Row],[Totale uren:]])</f>
        <v/>
      </c>
      <c r="J325" s="68"/>
      <c r="K325" s="31"/>
      <c r="L325" s="86" t="str">
        <f>IF(Tabel1[[#This Row],[% uren 2:]]="","",Tabel1[[#This Row],[% uren 2:]]*Tabel1[[#This Row],[Totale uren:]])</f>
        <v/>
      </c>
      <c r="M325" s="72"/>
      <c r="N325" s="31"/>
      <c r="O325" s="85" t="str">
        <f>IF(Tabel1[[#This Row],[% uren 3:]]="","",Tabel1[[#This Row],[% uren 3:]]*Tabel1[[#This Row],[Totale uren:]])</f>
        <v/>
      </c>
      <c r="P325" s="138" t="str">
        <f>IF(Tabel1[[#This Row],[Ordernummer:]]="","",SUM(Tabel1[[#This Row],[% uren 1:]],Tabel1[[#This Row],[% uren 2:]],Tabel1[[#This Row],[% uren 3:]]))</f>
        <v/>
      </c>
      <c r="Q325" s="127"/>
      <c r="R325" s="128"/>
      <c r="S325" s="44"/>
      <c r="T325" s="25"/>
    </row>
    <row r="326" spans="2:20" x14ac:dyDescent="0.25">
      <c r="B326" s="7"/>
      <c r="C326" s="10"/>
      <c r="D326" s="10"/>
      <c r="E326" s="72"/>
      <c r="F326" s="73"/>
      <c r="G326" s="72"/>
      <c r="H326" s="31"/>
      <c r="I326" s="85" t="str">
        <f>IF(Tabel1[[#This Row],[% uren 1:]]="","",Tabel1[[#This Row],[% uren 1:]]*Tabel1[[#This Row],[Totale uren:]])</f>
        <v/>
      </c>
      <c r="J326" s="68"/>
      <c r="K326" s="31"/>
      <c r="L326" s="86" t="str">
        <f>IF(Tabel1[[#This Row],[% uren 2:]]="","",Tabel1[[#This Row],[% uren 2:]]*Tabel1[[#This Row],[Totale uren:]])</f>
        <v/>
      </c>
      <c r="M326" s="72"/>
      <c r="N326" s="31"/>
      <c r="O326" s="85" t="str">
        <f>IF(Tabel1[[#This Row],[% uren 3:]]="","",Tabel1[[#This Row],[% uren 3:]]*Tabel1[[#This Row],[Totale uren:]])</f>
        <v/>
      </c>
      <c r="P326" s="138" t="str">
        <f>IF(Tabel1[[#This Row],[Ordernummer:]]="","",SUM(Tabel1[[#This Row],[% uren 1:]],Tabel1[[#This Row],[% uren 2:]],Tabel1[[#This Row],[% uren 3:]]))</f>
        <v/>
      </c>
      <c r="Q326" s="127"/>
      <c r="R326" s="128"/>
      <c r="S326" s="44"/>
      <c r="T326" s="25"/>
    </row>
    <row r="327" spans="2:20" x14ac:dyDescent="0.25">
      <c r="B327" s="7"/>
      <c r="C327" s="10"/>
      <c r="D327" s="10"/>
      <c r="E327" s="72"/>
      <c r="F327" s="73"/>
      <c r="G327" s="72"/>
      <c r="H327" s="31"/>
      <c r="I327" s="85" t="str">
        <f>IF(Tabel1[[#This Row],[% uren 1:]]="","",Tabel1[[#This Row],[% uren 1:]]*Tabel1[[#This Row],[Totale uren:]])</f>
        <v/>
      </c>
      <c r="J327" s="68"/>
      <c r="K327" s="31"/>
      <c r="L327" s="86" t="str">
        <f>IF(Tabel1[[#This Row],[% uren 2:]]="","",Tabel1[[#This Row],[% uren 2:]]*Tabel1[[#This Row],[Totale uren:]])</f>
        <v/>
      </c>
      <c r="M327" s="72"/>
      <c r="N327" s="31"/>
      <c r="O327" s="85" t="str">
        <f>IF(Tabel1[[#This Row],[% uren 3:]]="","",Tabel1[[#This Row],[% uren 3:]]*Tabel1[[#This Row],[Totale uren:]])</f>
        <v/>
      </c>
      <c r="P327" s="138" t="str">
        <f>IF(Tabel1[[#This Row],[Ordernummer:]]="","",SUM(Tabel1[[#This Row],[% uren 1:]],Tabel1[[#This Row],[% uren 2:]],Tabel1[[#This Row],[% uren 3:]]))</f>
        <v/>
      </c>
      <c r="Q327" s="127"/>
      <c r="R327" s="128"/>
      <c r="S327" s="44"/>
      <c r="T327" s="25"/>
    </row>
    <row r="328" spans="2:20" x14ac:dyDescent="0.25">
      <c r="B328" s="7"/>
      <c r="C328" s="10"/>
      <c r="D328" s="10"/>
      <c r="E328" s="72"/>
      <c r="F328" s="73"/>
      <c r="G328" s="72"/>
      <c r="H328" s="31"/>
      <c r="I328" s="85" t="str">
        <f>IF(Tabel1[[#This Row],[% uren 1:]]="","",Tabel1[[#This Row],[% uren 1:]]*Tabel1[[#This Row],[Totale uren:]])</f>
        <v/>
      </c>
      <c r="J328" s="68"/>
      <c r="K328" s="31"/>
      <c r="L328" s="86" t="str">
        <f>IF(Tabel1[[#This Row],[% uren 2:]]="","",Tabel1[[#This Row],[% uren 2:]]*Tabel1[[#This Row],[Totale uren:]])</f>
        <v/>
      </c>
      <c r="M328" s="72"/>
      <c r="N328" s="31"/>
      <c r="O328" s="85" t="str">
        <f>IF(Tabel1[[#This Row],[% uren 3:]]="","",Tabel1[[#This Row],[% uren 3:]]*Tabel1[[#This Row],[Totale uren:]])</f>
        <v/>
      </c>
      <c r="P328" s="138" t="str">
        <f>IF(Tabel1[[#This Row],[Ordernummer:]]="","",SUM(Tabel1[[#This Row],[% uren 1:]],Tabel1[[#This Row],[% uren 2:]],Tabel1[[#This Row],[% uren 3:]]))</f>
        <v/>
      </c>
      <c r="Q328" s="127"/>
      <c r="R328" s="128"/>
      <c r="S328" s="44"/>
      <c r="T328" s="25"/>
    </row>
    <row r="329" spans="2:20" x14ac:dyDescent="0.25">
      <c r="B329" s="7"/>
      <c r="C329" s="10"/>
      <c r="D329" s="10"/>
      <c r="E329" s="72"/>
      <c r="F329" s="73"/>
      <c r="G329" s="72"/>
      <c r="H329" s="31"/>
      <c r="I329" s="85" t="str">
        <f>IF(Tabel1[[#This Row],[% uren 1:]]="","",Tabel1[[#This Row],[% uren 1:]]*Tabel1[[#This Row],[Totale uren:]])</f>
        <v/>
      </c>
      <c r="J329" s="68"/>
      <c r="K329" s="31"/>
      <c r="L329" s="86" t="str">
        <f>IF(Tabel1[[#This Row],[% uren 2:]]="","",Tabel1[[#This Row],[% uren 2:]]*Tabel1[[#This Row],[Totale uren:]])</f>
        <v/>
      </c>
      <c r="M329" s="72"/>
      <c r="N329" s="31"/>
      <c r="O329" s="85" t="str">
        <f>IF(Tabel1[[#This Row],[% uren 3:]]="","",Tabel1[[#This Row],[% uren 3:]]*Tabel1[[#This Row],[Totale uren:]])</f>
        <v/>
      </c>
      <c r="P329" s="138" t="str">
        <f>IF(Tabel1[[#This Row],[Ordernummer:]]="","",SUM(Tabel1[[#This Row],[% uren 1:]],Tabel1[[#This Row],[% uren 2:]],Tabel1[[#This Row],[% uren 3:]]))</f>
        <v/>
      </c>
      <c r="Q329" s="127"/>
      <c r="R329" s="128"/>
      <c r="S329" s="44"/>
      <c r="T329" s="25"/>
    </row>
    <row r="330" spans="2:20" x14ac:dyDescent="0.25">
      <c r="B330" s="7"/>
      <c r="C330" s="10"/>
      <c r="D330" s="10"/>
      <c r="E330" s="72"/>
      <c r="F330" s="73"/>
      <c r="G330" s="72"/>
      <c r="H330" s="31"/>
      <c r="I330" s="85" t="str">
        <f>IF(Tabel1[[#This Row],[% uren 1:]]="","",Tabel1[[#This Row],[% uren 1:]]*Tabel1[[#This Row],[Totale uren:]])</f>
        <v/>
      </c>
      <c r="J330" s="68"/>
      <c r="K330" s="31"/>
      <c r="L330" s="86" t="str">
        <f>IF(Tabel1[[#This Row],[% uren 2:]]="","",Tabel1[[#This Row],[% uren 2:]]*Tabel1[[#This Row],[Totale uren:]])</f>
        <v/>
      </c>
      <c r="M330" s="72"/>
      <c r="N330" s="31"/>
      <c r="O330" s="85" t="str">
        <f>IF(Tabel1[[#This Row],[% uren 3:]]="","",Tabel1[[#This Row],[% uren 3:]]*Tabel1[[#This Row],[Totale uren:]])</f>
        <v/>
      </c>
      <c r="P330" s="138" t="str">
        <f>IF(Tabel1[[#This Row],[Ordernummer:]]="","",SUM(Tabel1[[#This Row],[% uren 1:]],Tabel1[[#This Row],[% uren 2:]],Tabel1[[#This Row],[% uren 3:]]))</f>
        <v/>
      </c>
      <c r="Q330" s="127"/>
      <c r="R330" s="128"/>
      <c r="S330" s="44"/>
      <c r="T330" s="25"/>
    </row>
    <row r="331" spans="2:20" x14ac:dyDescent="0.25">
      <c r="B331" s="7"/>
      <c r="C331" s="10"/>
      <c r="D331" s="10"/>
      <c r="E331" s="72"/>
      <c r="F331" s="73"/>
      <c r="G331" s="72"/>
      <c r="H331" s="31"/>
      <c r="I331" s="85" t="str">
        <f>IF(Tabel1[[#This Row],[% uren 1:]]="","",Tabel1[[#This Row],[% uren 1:]]*Tabel1[[#This Row],[Totale uren:]])</f>
        <v/>
      </c>
      <c r="J331" s="68"/>
      <c r="K331" s="31"/>
      <c r="L331" s="86" t="str">
        <f>IF(Tabel1[[#This Row],[% uren 2:]]="","",Tabel1[[#This Row],[% uren 2:]]*Tabel1[[#This Row],[Totale uren:]])</f>
        <v/>
      </c>
      <c r="M331" s="72"/>
      <c r="N331" s="31"/>
      <c r="O331" s="85" t="str">
        <f>IF(Tabel1[[#This Row],[% uren 3:]]="","",Tabel1[[#This Row],[% uren 3:]]*Tabel1[[#This Row],[Totale uren:]])</f>
        <v/>
      </c>
      <c r="P331" s="138" t="str">
        <f>IF(Tabel1[[#This Row],[Ordernummer:]]="","",SUM(Tabel1[[#This Row],[% uren 1:]],Tabel1[[#This Row],[% uren 2:]],Tabel1[[#This Row],[% uren 3:]]))</f>
        <v/>
      </c>
      <c r="Q331" s="127"/>
      <c r="R331" s="128"/>
      <c r="S331" s="44"/>
      <c r="T331" s="25"/>
    </row>
    <row r="332" spans="2:20" x14ac:dyDescent="0.25">
      <c r="B332" s="7"/>
      <c r="C332" s="10"/>
      <c r="D332" s="10"/>
      <c r="E332" s="72"/>
      <c r="F332" s="73"/>
      <c r="G332" s="72"/>
      <c r="H332" s="31"/>
      <c r="I332" s="85" t="str">
        <f>IF(Tabel1[[#This Row],[% uren 1:]]="","",Tabel1[[#This Row],[% uren 1:]]*Tabel1[[#This Row],[Totale uren:]])</f>
        <v/>
      </c>
      <c r="J332" s="68"/>
      <c r="K332" s="31"/>
      <c r="L332" s="86" t="str">
        <f>IF(Tabel1[[#This Row],[% uren 2:]]="","",Tabel1[[#This Row],[% uren 2:]]*Tabel1[[#This Row],[Totale uren:]])</f>
        <v/>
      </c>
      <c r="M332" s="72"/>
      <c r="N332" s="31"/>
      <c r="O332" s="85" t="str">
        <f>IF(Tabel1[[#This Row],[% uren 3:]]="","",Tabel1[[#This Row],[% uren 3:]]*Tabel1[[#This Row],[Totale uren:]])</f>
        <v/>
      </c>
      <c r="P332" s="138" t="str">
        <f>IF(Tabel1[[#This Row],[Ordernummer:]]="","",SUM(Tabel1[[#This Row],[% uren 1:]],Tabel1[[#This Row],[% uren 2:]],Tabel1[[#This Row],[% uren 3:]]))</f>
        <v/>
      </c>
      <c r="Q332" s="127"/>
      <c r="R332" s="128"/>
      <c r="S332" s="44"/>
      <c r="T332" s="25"/>
    </row>
    <row r="333" spans="2:20" x14ac:dyDescent="0.25">
      <c r="B333" s="7"/>
      <c r="C333" s="10"/>
      <c r="D333" s="10"/>
      <c r="E333" s="72"/>
      <c r="F333" s="73"/>
      <c r="G333" s="72"/>
      <c r="H333" s="31"/>
      <c r="I333" s="85" t="str">
        <f>IF(Tabel1[[#This Row],[% uren 1:]]="","",Tabel1[[#This Row],[% uren 1:]]*Tabel1[[#This Row],[Totale uren:]])</f>
        <v/>
      </c>
      <c r="J333" s="68"/>
      <c r="K333" s="31"/>
      <c r="L333" s="86" t="str">
        <f>IF(Tabel1[[#This Row],[% uren 2:]]="","",Tabel1[[#This Row],[% uren 2:]]*Tabel1[[#This Row],[Totale uren:]])</f>
        <v/>
      </c>
      <c r="M333" s="72"/>
      <c r="N333" s="31"/>
      <c r="O333" s="85" t="str">
        <f>IF(Tabel1[[#This Row],[% uren 3:]]="","",Tabel1[[#This Row],[% uren 3:]]*Tabel1[[#This Row],[Totale uren:]])</f>
        <v/>
      </c>
      <c r="P333" s="138" t="str">
        <f>IF(Tabel1[[#This Row],[Ordernummer:]]="","",SUM(Tabel1[[#This Row],[% uren 1:]],Tabel1[[#This Row],[% uren 2:]],Tabel1[[#This Row],[% uren 3:]]))</f>
        <v/>
      </c>
      <c r="Q333" s="127"/>
      <c r="R333" s="128"/>
      <c r="S333" s="44"/>
      <c r="T333" s="25"/>
    </row>
    <row r="334" spans="2:20" x14ac:dyDescent="0.25">
      <c r="B334" s="7"/>
      <c r="C334" s="10"/>
      <c r="D334" s="10"/>
      <c r="E334" s="72"/>
      <c r="F334" s="73"/>
      <c r="G334" s="72"/>
      <c r="H334" s="31"/>
      <c r="I334" s="85" t="str">
        <f>IF(Tabel1[[#This Row],[% uren 1:]]="","",Tabel1[[#This Row],[% uren 1:]]*Tabel1[[#This Row],[Totale uren:]])</f>
        <v/>
      </c>
      <c r="J334" s="68"/>
      <c r="K334" s="31"/>
      <c r="L334" s="86" t="str">
        <f>IF(Tabel1[[#This Row],[% uren 2:]]="","",Tabel1[[#This Row],[% uren 2:]]*Tabel1[[#This Row],[Totale uren:]])</f>
        <v/>
      </c>
      <c r="M334" s="72"/>
      <c r="N334" s="31"/>
      <c r="O334" s="85" t="str">
        <f>IF(Tabel1[[#This Row],[% uren 3:]]="","",Tabel1[[#This Row],[% uren 3:]]*Tabel1[[#This Row],[Totale uren:]])</f>
        <v/>
      </c>
      <c r="P334" s="138" t="str">
        <f>IF(Tabel1[[#This Row],[Ordernummer:]]="","",SUM(Tabel1[[#This Row],[% uren 1:]],Tabel1[[#This Row],[% uren 2:]],Tabel1[[#This Row],[% uren 3:]]))</f>
        <v/>
      </c>
      <c r="Q334" s="127"/>
      <c r="R334" s="128"/>
      <c r="S334" s="44"/>
      <c r="T334" s="25"/>
    </row>
    <row r="335" spans="2:20" x14ac:dyDescent="0.25">
      <c r="B335" s="7"/>
      <c r="C335" s="10"/>
      <c r="D335" s="10"/>
      <c r="E335" s="72"/>
      <c r="F335" s="73"/>
      <c r="G335" s="72"/>
      <c r="H335" s="31"/>
      <c r="I335" s="85" t="str">
        <f>IF(Tabel1[[#This Row],[% uren 1:]]="","",Tabel1[[#This Row],[% uren 1:]]*Tabel1[[#This Row],[Totale uren:]])</f>
        <v/>
      </c>
      <c r="J335" s="68"/>
      <c r="K335" s="31"/>
      <c r="L335" s="86" t="str">
        <f>IF(Tabel1[[#This Row],[% uren 2:]]="","",Tabel1[[#This Row],[% uren 2:]]*Tabel1[[#This Row],[Totale uren:]])</f>
        <v/>
      </c>
      <c r="M335" s="72"/>
      <c r="N335" s="31"/>
      <c r="O335" s="85" t="str">
        <f>IF(Tabel1[[#This Row],[% uren 3:]]="","",Tabel1[[#This Row],[% uren 3:]]*Tabel1[[#This Row],[Totale uren:]])</f>
        <v/>
      </c>
      <c r="P335" s="138" t="str">
        <f>IF(Tabel1[[#This Row],[Ordernummer:]]="","",SUM(Tabel1[[#This Row],[% uren 1:]],Tabel1[[#This Row],[% uren 2:]],Tabel1[[#This Row],[% uren 3:]]))</f>
        <v/>
      </c>
      <c r="Q335" s="127"/>
      <c r="R335" s="128"/>
      <c r="S335" s="44"/>
      <c r="T335" s="25"/>
    </row>
    <row r="336" spans="2:20" x14ac:dyDescent="0.25">
      <c r="B336" s="7"/>
      <c r="C336" s="10"/>
      <c r="D336" s="10"/>
      <c r="E336" s="72"/>
      <c r="F336" s="73"/>
      <c r="G336" s="72"/>
      <c r="H336" s="31"/>
      <c r="I336" s="85" t="str">
        <f>IF(Tabel1[[#This Row],[% uren 1:]]="","",Tabel1[[#This Row],[% uren 1:]]*Tabel1[[#This Row],[Totale uren:]])</f>
        <v/>
      </c>
      <c r="J336" s="68"/>
      <c r="K336" s="31"/>
      <c r="L336" s="86" t="str">
        <f>IF(Tabel1[[#This Row],[% uren 2:]]="","",Tabel1[[#This Row],[% uren 2:]]*Tabel1[[#This Row],[Totale uren:]])</f>
        <v/>
      </c>
      <c r="M336" s="72"/>
      <c r="N336" s="31"/>
      <c r="O336" s="85" t="str">
        <f>IF(Tabel1[[#This Row],[% uren 3:]]="","",Tabel1[[#This Row],[% uren 3:]]*Tabel1[[#This Row],[Totale uren:]])</f>
        <v/>
      </c>
      <c r="P336" s="138" t="str">
        <f>IF(Tabel1[[#This Row],[Ordernummer:]]="","",SUM(Tabel1[[#This Row],[% uren 1:]],Tabel1[[#This Row],[% uren 2:]],Tabel1[[#This Row],[% uren 3:]]))</f>
        <v/>
      </c>
      <c r="Q336" s="127"/>
      <c r="R336" s="128"/>
      <c r="S336" s="44"/>
      <c r="T336" s="25"/>
    </row>
    <row r="337" spans="2:20" x14ac:dyDescent="0.25">
      <c r="B337" s="7"/>
      <c r="C337" s="10"/>
      <c r="D337" s="10"/>
      <c r="E337" s="72"/>
      <c r="F337" s="73"/>
      <c r="G337" s="72"/>
      <c r="H337" s="31"/>
      <c r="I337" s="85" t="str">
        <f>IF(Tabel1[[#This Row],[% uren 1:]]="","",Tabel1[[#This Row],[% uren 1:]]*Tabel1[[#This Row],[Totale uren:]])</f>
        <v/>
      </c>
      <c r="J337" s="68"/>
      <c r="K337" s="31"/>
      <c r="L337" s="86" t="str">
        <f>IF(Tabel1[[#This Row],[% uren 2:]]="","",Tabel1[[#This Row],[% uren 2:]]*Tabel1[[#This Row],[Totale uren:]])</f>
        <v/>
      </c>
      <c r="M337" s="72"/>
      <c r="N337" s="31"/>
      <c r="O337" s="85" t="str">
        <f>IF(Tabel1[[#This Row],[% uren 3:]]="","",Tabel1[[#This Row],[% uren 3:]]*Tabel1[[#This Row],[Totale uren:]])</f>
        <v/>
      </c>
      <c r="P337" s="138" t="str">
        <f>IF(Tabel1[[#This Row],[Ordernummer:]]="","",SUM(Tabel1[[#This Row],[% uren 1:]],Tabel1[[#This Row],[% uren 2:]],Tabel1[[#This Row],[% uren 3:]]))</f>
        <v/>
      </c>
      <c r="Q337" s="127"/>
      <c r="R337" s="128"/>
      <c r="S337" s="44"/>
      <c r="T337" s="25"/>
    </row>
    <row r="338" spans="2:20" x14ac:dyDescent="0.25">
      <c r="B338" s="7"/>
      <c r="C338" s="10"/>
      <c r="D338" s="10"/>
      <c r="E338" s="72"/>
      <c r="F338" s="73"/>
      <c r="G338" s="72"/>
      <c r="H338" s="31"/>
      <c r="I338" s="85" t="str">
        <f>IF(Tabel1[[#This Row],[% uren 1:]]="","",Tabel1[[#This Row],[% uren 1:]]*Tabel1[[#This Row],[Totale uren:]])</f>
        <v/>
      </c>
      <c r="J338" s="68"/>
      <c r="K338" s="31"/>
      <c r="L338" s="86" t="str">
        <f>IF(Tabel1[[#This Row],[% uren 2:]]="","",Tabel1[[#This Row],[% uren 2:]]*Tabel1[[#This Row],[Totale uren:]])</f>
        <v/>
      </c>
      <c r="M338" s="72"/>
      <c r="N338" s="31"/>
      <c r="O338" s="85" t="str">
        <f>IF(Tabel1[[#This Row],[% uren 3:]]="","",Tabel1[[#This Row],[% uren 3:]]*Tabel1[[#This Row],[Totale uren:]])</f>
        <v/>
      </c>
      <c r="P338" s="138" t="str">
        <f>IF(Tabel1[[#This Row],[Ordernummer:]]="","",SUM(Tabel1[[#This Row],[% uren 1:]],Tabel1[[#This Row],[% uren 2:]],Tabel1[[#This Row],[% uren 3:]]))</f>
        <v/>
      </c>
      <c r="Q338" s="127"/>
      <c r="R338" s="128"/>
      <c r="S338" s="44"/>
      <c r="T338" s="25"/>
    </row>
    <row r="339" spans="2:20" x14ac:dyDescent="0.25">
      <c r="B339" s="7"/>
      <c r="C339" s="10"/>
      <c r="D339" s="10"/>
      <c r="E339" s="72"/>
      <c r="F339" s="73"/>
      <c r="G339" s="72"/>
      <c r="H339" s="31"/>
      <c r="I339" s="85" t="str">
        <f>IF(Tabel1[[#This Row],[% uren 1:]]="","",Tabel1[[#This Row],[% uren 1:]]*Tabel1[[#This Row],[Totale uren:]])</f>
        <v/>
      </c>
      <c r="J339" s="68"/>
      <c r="K339" s="31"/>
      <c r="L339" s="86" t="str">
        <f>IF(Tabel1[[#This Row],[% uren 2:]]="","",Tabel1[[#This Row],[% uren 2:]]*Tabel1[[#This Row],[Totale uren:]])</f>
        <v/>
      </c>
      <c r="M339" s="72"/>
      <c r="N339" s="31"/>
      <c r="O339" s="85" t="str">
        <f>IF(Tabel1[[#This Row],[% uren 3:]]="","",Tabel1[[#This Row],[% uren 3:]]*Tabel1[[#This Row],[Totale uren:]])</f>
        <v/>
      </c>
      <c r="P339" s="138" t="str">
        <f>IF(Tabel1[[#This Row],[Ordernummer:]]="","",SUM(Tabel1[[#This Row],[% uren 1:]],Tabel1[[#This Row],[% uren 2:]],Tabel1[[#This Row],[% uren 3:]]))</f>
        <v/>
      </c>
      <c r="Q339" s="127"/>
      <c r="R339" s="128"/>
      <c r="S339" s="44"/>
      <c r="T339" s="25"/>
    </row>
    <row r="340" spans="2:20" x14ac:dyDescent="0.25">
      <c r="B340" s="7"/>
      <c r="C340" s="10"/>
      <c r="D340" s="10"/>
      <c r="E340" s="72"/>
      <c r="F340" s="73"/>
      <c r="G340" s="72"/>
      <c r="H340" s="31"/>
      <c r="I340" s="85" t="str">
        <f>IF(Tabel1[[#This Row],[% uren 1:]]="","",Tabel1[[#This Row],[% uren 1:]]*Tabel1[[#This Row],[Totale uren:]])</f>
        <v/>
      </c>
      <c r="J340" s="68"/>
      <c r="K340" s="31"/>
      <c r="L340" s="86" t="str">
        <f>IF(Tabel1[[#This Row],[% uren 2:]]="","",Tabel1[[#This Row],[% uren 2:]]*Tabel1[[#This Row],[Totale uren:]])</f>
        <v/>
      </c>
      <c r="M340" s="72"/>
      <c r="N340" s="31"/>
      <c r="O340" s="85" t="str">
        <f>IF(Tabel1[[#This Row],[% uren 3:]]="","",Tabel1[[#This Row],[% uren 3:]]*Tabel1[[#This Row],[Totale uren:]])</f>
        <v/>
      </c>
      <c r="P340" s="138" t="str">
        <f>IF(Tabel1[[#This Row],[Ordernummer:]]="","",SUM(Tabel1[[#This Row],[% uren 1:]],Tabel1[[#This Row],[% uren 2:]],Tabel1[[#This Row],[% uren 3:]]))</f>
        <v/>
      </c>
      <c r="Q340" s="127"/>
      <c r="R340" s="128"/>
      <c r="S340" s="44"/>
      <c r="T340" s="25"/>
    </row>
    <row r="341" spans="2:20" x14ac:dyDescent="0.25">
      <c r="B341" s="7"/>
      <c r="C341" s="10"/>
      <c r="D341" s="10"/>
      <c r="E341" s="72"/>
      <c r="F341" s="73"/>
      <c r="G341" s="72"/>
      <c r="H341" s="31"/>
      <c r="I341" s="85" t="str">
        <f>IF(Tabel1[[#This Row],[% uren 1:]]="","",Tabel1[[#This Row],[% uren 1:]]*Tabel1[[#This Row],[Totale uren:]])</f>
        <v/>
      </c>
      <c r="J341" s="68"/>
      <c r="K341" s="31"/>
      <c r="L341" s="86" t="str">
        <f>IF(Tabel1[[#This Row],[% uren 2:]]="","",Tabel1[[#This Row],[% uren 2:]]*Tabel1[[#This Row],[Totale uren:]])</f>
        <v/>
      </c>
      <c r="M341" s="72"/>
      <c r="N341" s="31"/>
      <c r="O341" s="85" t="str">
        <f>IF(Tabel1[[#This Row],[% uren 3:]]="","",Tabel1[[#This Row],[% uren 3:]]*Tabel1[[#This Row],[Totale uren:]])</f>
        <v/>
      </c>
      <c r="P341" s="138" t="str">
        <f>IF(Tabel1[[#This Row],[Ordernummer:]]="","",SUM(Tabel1[[#This Row],[% uren 1:]],Tabel1[[#This Row],[% uren 2:]],Tabel1[[#This Row],[% uren 3:]]))</f>
        <v/>
      </c>
      <c r="Q341" s="127"/>
      <c r="R341" s="128"/>
      <c r="S341" s="44"/>
      <c r="T341" s="25"/>
    </row>
    <row r="342" spans="2:20" x14ac:dyDescent="0.25">
      <c r="B342" s="7"/>
      <c r="C342" s="10"/>
      <c r="D342" s="10"/>
      <c r="E342" s="72"/>
      <c r="F342" s="73"/>
      <c r="G342" s="72"/>
      <c r="H342" s="31"/>
      <c r="I342" s="85" t="str">
        <f>IF(Tabel1[[#This Row],[% uren 1:]]="","",Tabel1[[#This Row],[% uren 1:]]*Tabel1[[#This Row],[Totale uren:]])</f>
        <v/>
      </c>
      <c r="J342" s="68"/>
      <c r="K342" s="31"/>
      <c r="L342" s="86" t="str">
        <f>IF(Tabel1[[#This Row],[% uren 2:]]="","",Tabel1[[#This Row],[% uren 2:]]*Tabel1[[#This Row],[Totale uren:]])</f>
        <v/>
      </c>
      <c r="M342" s="72"/>
      <c r="N342" s="31"/>
      <c r="O342" s="85" t="str">
        <f>IF(Tabel1[[#This Row],[% uren 3:]]="","",Tabel1[[#This Row],[% uren 3:]]*Tabel1[[#This Row],[Totale uren:]])</f>
        <v/>
      </c>
      <c r="P342" s="138" t="str">
        <f>IF(Tabel1[[#This Row],[Ordernummer:]]="","",SUM(Tabel1[[#This Row],[% uren 1:]],Tabel1[[#This Row],[% uren 2:]],Tabel1[[#This Row],[% uren 3:]]))</f>
        <v/>
      </c>
      <c r="Q342" s="127"/>
      <c r="R342" s="128"/>
      <c r="S342" s="44"/>
      <c r="T342" s="25"/>
    </row>
    <row r="343" spans="2:20" x14ac:dyDescent="0.25">
      <c r="B343" s="7"/>
      <c r="C343" s="10"/>
      <c r="D343" s="10"/>
      <c r="E343" s="72"/>
      <c r="F343" s="73"/>
      <c r="G343" s="72"/>
      <c r="H343" s="31"/>
      <c r="I343" s="85" t="str">
        <f>IF(Tabel1[[#This Row],[% uren 1:]]="","",Tabel1[[#This Row],[% uren 1:]]*Tabel1[[#This Row],[Totale uren:]])</f>
        <v/>
      </c>
      <c r="J343" s="68"/>
      <c r="K343" s="31"/>
      <c r="L343" s="86" t="str">
        <f>IF(Tabel1[[#This Row],[% uren 2:]]="","",Tabel1[[#This Row],[% uren 2:]]*Tabel1[[#This Row],[Totale uren:]])</f>
        <v/>
      </c>
      <c r="M343" s="72"/>
      <c r="N343" s="31"/>
      <c r="O343" s="85" t="str">
        <f>IF(Tabel1[[#This Row],[% uren 3:]]="","",Tabel1[[#This Row],[% uren 3:]]*Tabel1[[#This Row],[Totale uren:]])</f>
        <v/>
      </c>
      <c r="P343" s="138" t="str">
        <f>IF(Tabel1[[#This Row],[Ordernummer:]]="","",SUM(Tabel1[[#This Row],[% uren 1:]],Tabel1[[#This Row],[% uren 2:]],Tabel1[[#This Row],[% uren 3:]]))</f>
        <v/>
      </c>
      <c r="Q343" s="127"/>
      <c r="R343" s="128"/>
      <c r="S343" s="44"/>
      <c r="T343" s="25"/>
    </row>
    <row r="344" spans="2:20" x14ac:dyDescent="0.25">
      <c r="B344" s="7"/>
      <c r="C344" s="10"/>
      <c r="D344" s="10"/>
      <c r="E344" s="72"/>
      <c r="F344" s="73"/>
      <c r="G344" s="72"/>
      <c r="H344" s="31"/>
      <c r="I344" s="85" t="str">
        <f>IF(Tabel1[[#This Row],[% uren 1:]]="","",Tabel1[[#This Row],[% uren 1:]]*Tabel1[[#This Row],[Totale uren:]])</f>
        <v/>
      </c>
      <c r="J344" s="68"/>
      <c r="K344" s="31"/>
      <c r="L344" s="86" t="str">
        <f>IF(Tabel1[[#This Row],[% uren 2:]]="","",Tabel1[[#This Row],[% uren 2:]]*Tabel1[[#This Row],[Totale uren:]])</f>
        <v/>
      </c>
      <c r="M344" s="72"/>
      <c r="N344" s="31"/>
      <c r="O344" s="85" t="str">
        <f>IF(Tabel1[[#This Row],[% uren 3:]]="","",Tabel1[[#This Row],[% uren 3:]]*Tabel1[[#This Row],[Totale uren:]])</f>
        <v/>
      </c>
      <c r="P344" s="138" t="str">
        <f>IF(Tabel1[[#This Row],[Ordernummer:]]="","",SUM(Tabel1[[#This Row],[% uren 1:]],Tabel1[[#This Row],[% uren 2:]],Tabel1[[#This Row],[% uren 3:]]))</f>
        <v/>
      </c>
      <c r="Q344" s="127"/>
      <c r="R344" s="128"/>
      <c r="S344" s="44"/>
      <c r="T344" s="25"/>
    </row>
    <row r="345" spans="2:20" x14ac:dyDescent="0.25">
      <c r="B345" s="7"/>
      <c r="C345" s="10"/>
      <c r="D345" s="10"/>
      <c r="E345" s="72"/>
      <c r="F345" s="73"/>
      <c r="G345" s="72"/>
      <c r="H345" s="31"/>
      <c r="I345" s="85" t="str">
        <f>IF(Tabel1[[#This Row],[% uren 1:]]="","",Tabel1[[#This Row],[% uren 1:]]*Tabel1[[#This Row],[Totale uren:]])</f>
        <v/>
      </c>
      <c r="J345" s="68"/>
      <c r="K345" s="31"/>
      <c r="L345" s="86" t="str">
        <f>IF(Tabel1[[#This Row],[% uren 2:]]="","",Tabel1[[#This Row],[% uren 2:]]*Tabel1[[#This Row],[Totale uren:]])</f>
        <v/>
      </c>
      <c r="M345" s="72"/>
      <c r="N345" s="31"/>
      <c r="O345" s="85" t="str">
        <f>IF(Tabel1[[#This Row],[% uren 3:]]="","",Tabel1[[#This Row],[% uren 3:]]*Tabel1[[#This Row],[Totale uren:]])</f>
        <v/>
      </c>
      <c r="P345" s="138" t="str">
        <f>IF(Tabel1[[#This Row],[Ordernummer:]]="","",SUM(Tabel1[[#This Row],[% uren 1:]],Tabel1[[#This Row],[% uren 2:]],Tabel1[[#This Row],[% uren 3:]]))</f>
        <v/>
      </c>
      <c r="Q345" s="127"/>
      <c r="R345" s="128"/>
      <c r="S345" s="44"/>
      <c r="T345" s="25"/>
    </row>
    <row r="346" spans="2:20" x14ac:dyDescent="0.25">
      <c r="B346" s="7"/>
      <c r="C346" s="10"/>
      <c r="D346" s="10"/>
      <c r="E346" s="72"/>
      <c r="F346" s="73"/>
      <c r="G346" s="72"/>
      <c r="H346" s="31"/>
      <c r="I346" s="85" t="str">
        <f>IF(Tabel1[[#This Row],[% uren 1:]]="","",Tabel1[[#This Row],[% uren 1:]]*Tabel1[[#This Row],[Totale uren:]])</f>
        <v/>
      </c>
      <c r="J346" s="68"/>
      <c r="K346" s="31"/>
      <c r="L346" s="86" t="str">
        <f>IF(Tabel1[[#This Row],[% uren 2:]]="","",Tabel1[[#This Row],[% uren 2:]]*Tabel1[[#This Row],[Totale uren:]])</f>
        <v/>
      </c>
      <c r="M346" s="72"/>
      <c r="N346" s="31"/>
      <c r="O346" s="85" t="str">
        <f>IF(Tabel1[[#This Row],[% uren 3:]]="","",Tabel1[[#This Row],[% uren 3:]]*Tabel1[[#This Row],[Totale uren:]])</f>
        <v/>
      </c>
      <c r="P346" s="138" t="str">
        <f>IF(Tabel1[[#This Row],[Ordernummer:]]="","",SUM(Tabel1[[#This Row],[% uren 1:]],Tabel1[[#This Row],[% uren 2:]],Tabel1[[#This Row],[% uren 3:]]))</f>
        <v/>
      </c>
      <c r="Q346" s="127"/>
      <c r="R346" s="128"/>
      <c r="S346" s="44"/>
      <c r="T346" s="25"/>
    </row>
    <row r="347" spans="2:20" x14ac:dyDescent="0.25">
      <c r="B347" s="7"/>
      <c r="C347" s="10"/>
      <c r="D347" s="10"/>
      <c r="E347" s="72"/>
      <c r="F347" s="73"/>
      <c r="G347" s="72"/>
      <c r="H347" s="31"/>
      <c r="I347" s="85" t="str">
        <f>IF(Tabel1[[#This Row],[% uren 1:]]="","",Tabel1[[#This Row],[% uren 1:]]*Tabel1[[#This Row],[Totale uren:]])</f>
        <v/>
      </c>
      <c r="J347" s="68"/>
      <c r="K347" s="31"/>
      <c r="L347" s="86" t="str">
        <f>IF(Tabel1[[#This Row],[% uren 2:]]="","",Tabel1[[#This Row],[% uren 2:]]*Tabel1[[#This Row],[Totale uren:]])</f>
        <v/>
      </c>
      <c r="M347" s="72"/>
      <c r="N347" s="31"/>
      <c r="O347" s="85" t="str">
        <f>IF(Tabel1[[#This Row],[% uren 3:]]="","",Tabel1[[#This Row],[% uren 3:]]*Tabel1[[#This Row],[Totale uren:]])</f>
        <v/>
      </c>
      <c r="P347" s="138" t="str">
        <f>IF(Tabel1[[#This Row],[Ordernummer:]]="","",SUM(Tabel1[[#This Row],[% uren 1:]],Tabel1[[#This Row],[% uren 2:]],Tabel1[[#This Row],[% uren 3:]]))</f>
        <v/>
      </c>
      <c r="Q347" s="127"/>
      <c r="R347" s="128"/>
      <c r="S347" s="44"/>
      <c r="T347" s="25"/>
    </row>
    <row r="348" spans="2:20" x14ac:dyDescent="0.25">
      <c r="B348" s="7"/>
      <c r="C348" s="10"/>
      <c r="D348" s="10"/>
      <c r="E348" s="72"/>
      <c r="F348" s="73"/>
      <c r="G348" s="72"/>
      <c r="H348" s="31"/>
      <c r="I348" s="85" t="str">
        <f>IF(Tabel1[[#This Row],[% uren 1:]]="","",Tabel1[[#This Row],[% uren 1:]]*Tabel1[[#This Row],[Totale uren:]])</f>
        <v/>
      </c>
      <c r="J348" s="68"/>
      <c r="K348" s="31"/>
      <c r="L348" s="86" t="str">
        <f>IF(Tabel1[[#This Row],[% uren 2:]]="","",Tabel1[[#This Row],[% uren 2:]]*Tabel1[[#This Row],[Totale uren:]])</f>
        <v/>
      </c>
      <c r="M348" s="72"/>
      <c r="N348" s="31"/>
      <c r="O348" s="85" t="str">
        <f>IF(Tabel1[[#This Row],[% uren 3:]]="","",Tabel1[[#This Row],[% uren 3:]]*Tabel1[[#This Row],[Totale uren:]])</f>
        <v/>
      </c>
      <c r="P348" s="138" t="str">
        <f>IF(Tabel1[[#This Row],[Ordernummer:]]="","",SUM(Tabel1[[#This Row],[% uren 1:]],Tabel1[[#This Row],[% uren 2:]],Tabel1[[#This Row],[% uren 3:]]))</f>
        <v/>
      </c>
      <c r="Q348" s="127"/>
      <c r="R348" s="128"/>
      <c r="S348" s="44"/>
      <c r="T348" s="25"/>
    </row>
    <row r="349" spans="2:20" x14ac:dyDescent="0.25">
      <c r="B349" s="7"/>
      <c r="C349" s="10"/>
      <c r="D349" s="10"/>
      <c r="E349" s="72"/>
      <c r="F349" s="73"/>
      <c r="G349" s="72"/>
      <c r="H349" s="31"/>
      <c r="I349" s="85" t="str">
        <f>IF(Tabel1[[#This Row],[% uren 1:]]="","",Tabel1[[#This Row],[% uren 1:]]*Tabel1[[#This Row],[Totale uren:]])</f>
        <v/>
      </c>
      <c r="J349" s="68"/>
      <c r="K349" s="31"/>
      <c r="L349" s="86" t="str">
        <f>IF(Tabel1[[#This Row],[% uren 2:]]="","",Tabel1[[#This Row],[% uren 2:]]*Tabel1[[#This Row],[Totale uren:]])</f>
        <v/>
      </c>
      <c r="M349" s="72"/>
      <c r="N349" s="31"/>
      <c r="O349" s="85" t="str">
        <f>IF(Tabel1[[#This Row],[% uren 3:]]="","",Tabel1[[#This Row],[% uren 3:]]*Tabel1[[#This Row],[Totale uren:]])</f>
        <v/>
      </c>
      <c r="P349" s="138" t="str">
        <f>IF(Tabel1[[#This Row],[Ordernummer:]]="","",SUM(Tabel1[[#This Row],[% uren 1:]],Tabel1[[#This Row],[% uren 2:]],Tabel1[[#This Row],[% uren 3:]]))</f>
        <v/>
      </c>
      <c r="Q349" s="127"/>
      <c r="R349" s="128"/>
      <c r="S349" s="44"/>
      <c r="T349" s="25"/>
    </row>
    <row r="350" spans="2:20" x14ac:dyDescent="0.25">
      <c r="B350" s="7"/>
      <c r="C350" s="10"/>
      <c r="D350" s="10"/>
      <c r="E350" s="72"/>
      <c r="F350" s="73"/>
      <c r="G350" s="72"/>
      <c r="H350" s="31"/>
      <c r="I350" s="85" t="str">
        <f>IF(Tabel1[[#This Row],[% uren 1:]]="","",Tabel1[[#This Row],[% uren 1:]]*Tabel1[[#This Row],[Totale uren:]])</f>
        <v/>
      </c>
      <c r="J350" s="68"/>
      <c r="K350" s="31"/>
      <c r="L350" s="86" t="str">
        <f>IF(Tabel1[[#This Row],[% uren 2:]]="","",Tabel1[[#This Row],[% uren 2:]]*Tabel1[[#This Row],[Totale uren:]])</f>
        <v/>
      </c>
      <c r="M350" s="72"/>
      <c r="N350" s="31"/>
      <c r="O350" s="85" t="str">
        <f>IF(Tabel1[[#This Row],[% uren 3:]]="","",Tabel1[[#This Row],[% uren 3:]]*Tabel1[[#This Row],[Totale uren:]])</f>
        <v/>
      </c>
      <c r="P350" s="138" t="str">
        <f>IF(Tabel1[[#This Row],[Ordernummer:]]="","",SUM(Tabel1[[#This Row],[% uren 1:]],Tabel1[[#This Row],[% uren 2:]],Tabel1[[#This Row],[% uren 3:]]))</f>
        <v/>
      </c>
      <c r="Q350" s="127"/>
      <c r="R350" s="128"/>
      <c r="S350" s="44"/>
      <c r="T350" s="25"/>
    </row>
    <row r="351" spans="2:20" x14ac:dyDescent="0.25">
      <c r="B351" s="7"/>
      <c r="C351" s="10"/>
      <c r="D351" s="10"/>
      <c r="E351" s="72"/>
      <c r="F351" s="73"/>
      <c r="G351" s="72"/>
      <c r="H351" s="31"/>
      <c r="I351" s="85" t="str">
        <f>IF(Tabel1[[#This Row],[% uren 1:]]="","",Tabel1[[#This Row],[% uren 1:]]*Tabel1[[#This Row],[Totale uren:]])</f>
        <v/>
      </c>
      <c r="J351" s="68"/>
      <c r="K351" s="31"/>
      <c r="L351" s="86" t="str">
        <f>IF(Tabel1[[#This Row],[% uren 2:]]="","",Tabel1[[#This Row],[% uren 2:]]*Tabel1[[#This Row],[Totale uren:]])</f>
        <v/>
      </c>
      <c r="M351" s="72"/>
      <c r="N351" s="31"/>
      <c r="O351" s="85" t="str">
        <f>IF(Tabel1[[#This Row],[% uren 3:]]="","",Tabel1[[#This Row],[% uren 3:]]*Tabel1[[#This Row],[Totale uren:]])</f>
        <v/>
      </c>
      <c r="P351" s="138" t="str">
        <f>IF(Tabel1[[#This Row],[Ordernummer:]]="","",SUM(Tabel1[[#This Row],[% uren 1:]],Tabel1[[#This Row],[% uren 2:]],Tabel1[[#This Row],[% uren 3:]]))</f>
        <v/>
      </c>
      <c r="Q351" s="127"/>
      <c r="R351" s="128"/>
      <c r="S351" s="44"/>
      <c r="T351" s="25"/>
    </row>
    <row r="352" spans="2:20" x14ac:dyDescent="0.25">
      <c r="B352" s="7"/>
      <c r="C352" s="10"/>
      <c r="D352" s="10"/>
      <c r="E352" s="72"/>
      <c r="F352" s="73"/>
      <c r="G352" s="72"/>
      <c r="H352" s="31"/>
      <c r="I352" s="85" t="str">
        <f>IF(Tabel1[[#This Row],[% uren 1:]]="","",Tabel1[[#This Row],[% uren 1:]]*Tabel1[[#This Row],[Totale uren:]])</f>
        <v/>
      </c>
      <c r="J352" s="68"/>
      <c r="K352" s="31"/>
      <c r="L352" s="86" t="str">
        <f>IF(Tabel1[[#This Row],[% uren 2:]]="","",Tabel1[[#This Row],[% uren 2:]]*Tabel1[[#This Row],[Totale uren:]])</f>
        <v/>
      </c>
      <c r="M352" s="72"/>
      <c r="N352" s="31"/>
      <c r="O352" s="85" t="str">
        <f>IF(Tabel1[[#This Row],[% uren 3:]]="","",Tabel1[[#This Row],[% uren 3:]]*Tabel1[[#This Row],[Totale uren:]])</f>
        <v/>
      </c>
      <c r="P352" s="138" t="str">
        <f>IF(Tabel1[[#This Row],[Ordernummer:]]="","",SUM(Tabel1[[#This Row],[% uren 1:]],Tabel1[[#This Row],[% uren 2:]],Tabel1[[#This Row],[% uren 3:]]))</f>
        <v/>
      </c>
      <c r="Q352" s="127"/>
      <c r="R352" s="128"/>
      <c r="S352" s="44"/>
      <c r="T352" s="25"/>
    </row>
    <row r="353" spans="2:20" x14ac:dyDescent="0.25">
      <c r="B353" s="7"/>
      <c r="C353" s="10"/>
      <c r="D353" s="10"/>
      <c r="E353" s="72"/>
      <c r="F353" s="73"/>
      <c r="G353" s="72"/>
      <c r="H353" s="31"/>
      <c r="I353" s="85" t="str">
        <f>IF(Tabel1[[#This Row],[% uren 1:]]="","",Tabel1[[#This Row],[% uren 1:]]*Tabel1[[#This Row],[Totale uren:]])</f>
        <v/>
      </c>
      <c r="J353" s="68"/>
      <c r="K353" s="31"/>
      <c r="L353" s="86" t="str">
        <f>IF(Tabel1[[#This Row],[% uren 2:]]="","",Tabel1[[#This Row],[% uren 2:]]*Tabel1[[#This Row],[Totale uren:]])</f>
        <v/>
      </c>
      <c r="M353" s="72"/>
      <c r="N353" s="31"/>
      <c r="O353" s="85" t="str">
        <f>IF(Tabel1[[#This Row],[% uren 3:]]="","",Tabel1[[#This Row],[% uren 3:]]*Tabel1[[#This Row],[Totale uren:]])</f>
        <v/>
      </c>
      <c r="P353" s="138" t="str">
        <f>IF(Tabel1[[#This Row],[Ordernummer:]]="","",SUM(Tabel1[[#This Row],[% uren 1:]],Tabel1[[#This Row],[% uren 2:]],Tabel1[[#This Row],[% uren 3:]]))</f>
        <v/>
      </c>
      <c r="Q353" s="127"/>
      <c r="R353" s="128"/>
      <c r="S353" s="44"/>
      <c r="T353" s="25"/>
    </row>
    <row r="354" spans="2:20" x14ac:dyDescent="0.25">
      <c r="B354" s="7"/>
      <c r="C354" s="10"/>
      <c r="D354" s="10"/>
      <c r="E354" s="72"/>
      <c r="F354" s="73"/>
      <c r="G354" s="72"/>
      <c r="H354" s="31"/>
      <c r="I354" s="85" t="str">
        <f>IF(Tabel1[[#This Row],[% uren 1:]]="","",Tabel1[[#This Row],[% uren 1:]]*Tabel1[[#This Row],[Totale uren:]])</f>
        <v/>
      </c>
      <c r="J354" s="68"/>
      <c r="K354" s="31"/>
      <c r="L354" s="86" t="str">
        <f>IF(Tabel1[[#This Row],[% uren 2:]]="","",Tabel1[[#This Row],[% uren 2:]]*Tabel1[[#This Row],[Totale uren:]])</f>
        <v/>
      </c>
      <c r="M354" s="72"/>
      <c r="N354" s="31"/>
      <c r="O354" s="85" t="str">
        <f>IF(Tabel1[[#This Row],[% uren 3:]]="","",Tabel1[[#This Row],[% uren 3:]]*Tabel1[[#This Row],[Totale uren:]])</f>
        <v/>
      </c>
      <c r="P354" s="138" t="str">
        <f>IF(Tabel1[[#This Row],[Ordernummer:]]="","",SUM(Tabel1[[#This Row],[% uren 1:]],Tabel1[[#This Row],[% uren 2:]],Tabel1[[#This Row],[% uren 3:]]))</f>
        <v/>
      </c>
      <c r="Q354" s="127"/>
      <c r="R354" s="128"/>
      <c r="S354" s="44"/>
      <c r="T354" s="25"/>
    </row>
    <row r="355" spans="2:20" x14ac:dyDescent="0.25">
      <c r="B355" s="7"/>
      <c r="C355" s="10"/>
      <c r="D355" s="10"/>
      <c r="E355" s="72"/>
      <c r="F355" s="73"/>
      <c r="G355" s="72"/>
      <c r="H355" s="31"/>
      <c r="I355" s="85" t="str">
        <f>IF(Tabel1[[#This Row],[% uren 1:]]="","",Tabel1[[#This Row],[% uren 1:]]*Tabel1[[#This Row],[Totale uren:]])</f>
        <v/>
      </c>
      <c r="J355" s="68"/>
      <c r="K355" s="31"/>
      <c r="L355" s="86" t="str">
        <f>IF(Tabel1[[#This Row],[% uren 2:]]="","",Tabel1[[#This Row],[% uren 2:]]*Tabel1[[#This Row],[Totale uren:]])</f>
        <v/>
      </c>
      <c r="M355" s="72"/>
      <c r="N355" s="31"/>
      <c r="O355" s="85" t="str">
        <f>IF(Tabel1[[#This Row],[% uren 3:]]="","",Tabel1[[#This Row],[% uren 3:]]*Tabel1[[#This Row],[Totale uren:]])</f>
        <v/>
      </c>
      <c r="P355" s="138" t="str">
        <f>IF(Tabel1[[#This Row],[Ordernummer:]]="","",SUM(Tabel1[[#This Row],[% uren 1:]],Tabel1[[#This Row],[% uren 2:]],Tabel1[[#This Row],[% uren 3:]]))</f>
        <v/>
      </c>
      <c r="Q355" s="127"/>
      <c r="R355" s="128"/>
      <c r="S355" s="44"/>
      <c r="T355" s="25"/>
    </row>
    <row r="356" spans="2:20" x14ac:dyDescent="0.25">
      <c r="B356" s="7"/>
      <c r="C356" s="10"/>
      <c r="D356" s="10"/>
      <c r="E356" s="72"/>
      <c r="F356" s="73"/>
      <c r="G356" s="72"/>
      <c r="H356" s="31"/>
      <c r="I356" s="85" t="str">
        <f>IF(Tabel1[[#This Row],[% uren 1:]]="","",Tabel1[[#This Row],[% uren 1:]]*Tabel1[[#This Row],[Totale uren:]])</f>
        <v/>
      </c>
      <c r="J356" s="68"/>
      <c r="K356" s="31"/>
      <c r="L356" s="86" t="str">
        <f>IF(Tabel1[[#This Row],[% uren 2:]]="","",Tabel1[[#This Row],[% uren 2:]]*Tabel1[[#This Row],[Totale uren:]])</f>
        <v/>
      </c>
      <c r="M356" s="72"/>
      <c r="N356" s="31"/>
      <c r="O356" s="85" t="str">
        <f>IF(Tabel1[[#This Row],[% uren 3:]]="","",Tabel1[[#This Row],[% uren 3:]]*Tabel1[[#This Row],[Totale uren:]])</f>
        <v/>
      </c>
      <c r="P356" s="138" t="str">
        <f>IF(Tabel1[[#This Row],[Ordernummer:]]="","",SUM(Tabel1[[#This Row],[% uren 1:]],Tabel1[[#This Row],[% uren 2:]],Tabel1[[#This Row],[% uren 3:]]))</f>
        <v/>
      </c>
      <c r="Q356" s="127"/>
      <c r="R356" s="128"/>
      <c r="S356" s="44"/>
      <c r="T356" s="25"/>
    </row>
    <row r="357" spans="2:20" x14ac:dyDescent="0.25">
      <c r="B357" s="7"/>
      <c r="C357" s="10"/>
      <c r="D357" s="10"/>
      <c r="E357" s="72"/>
      <c r="F357" s="73"/>
      <c r="G357" s="72"/>
      <c r="H357" s="31"/>
      <c r="I357" s="85" t="str">
        <f>IF(Tabel1[[#This Row],[% uren 1:]]="","",Tabel1[[#This Row],[% uren 1:]]*Tabel1[[#This Row],[Totale uren:]])</f>
        <v/>
      </c>
      <c r="J357" s="68"/>
      <c r="K357" s="31"/>
      <c r="L357" s="86" t="str">
        <f>IF(Tabel1[[#This Row],[% uren 2:]]="","",Tabel1[[#This Row],[% uren 2:]]*Tabel1[[#This Row],[Totale uren:]])</f>
        <v/>
      </c>
      <c r="M357" s="72"/>
      <c r="N357" s="31"/>
      <c r="O357" s="85" t="str">
        <f>IF(Tabel1[[#This Row],[% uren 3:]]="","",Tabel1[[#This Row],[% uren 3:]]*Tabel1[[#This Row],[Totale uren:]])</f>
        <v/>
      </c>
      <c r="P357" s="138" t="str">
        <f>IF(Tabel1[[#This Row],[Ordernummer:]]="","",SUM(Tabel1[[#This Row],[% uren 1:]],Tabel1[[#This Row],[% uren 2:]],Tabel1[[#This Row],[% uren 3:]]))</f>
        <v/>
      </c>
      <c r="Q357" s="127"/>
      <c r="R357" s="128"/>
      <c r="S357" s="44"/>
      <c r="T357" s="25"/>
    </row>
    <row r="358" spans="2:20" x14ac:dyDescent="0.25">
      <c r="B358" s="7"/>
      <c r="C358" s="10"/>
      <c r="D358" s="10"/>
      <c r="E358" s="72"/>
      <c r="F358" s="73"/>
      <c r="G358" s="72"/>
      <c r="H358" s="31"/>
      <c r="I358" s="85" t="str">
        <f>IF(Tabel1[[#This Row],[% uren 1:]]="","",Tabel1[[#This Row],[% uren 1:]]*Tabel1[[#This Row],[Totale uren:]])</f>
        <v/>
      </c>
      <c r="J358" s="68"/>
      <c r="K358" s="31"/>
      <c r="L358" s="86" t="str">
        <f>IF(Tabel1[[#This Row],[% uren 2:]]="","",Tabel1[[#This Row],[% uren 2:]]*Tabel1[[#This Row],[Totale uren:]])</f>
        <v/>
      </c>
      <c r="M358" s="72"/>
      <c r="N358" s="31"/>
      <c r="O358" s="85" t="str">
        <f>IF(Tabel1[[#This Row],[% uren 3:]]="","",Tabel1[[#This Row],[% uren 3:]]*Tabel1[[#This Row],[Totale uren:]])</f>
        <v/>
      </c>
      <c r="P358" s="138" t="str">
        <f>IF(Tabel1[[#This Row],[Ordernummer:]]="","",SUM(Tabel1[[#This Row],[% uren 1:]],Tabel1[[#This Row],[% uren 2:]],Tabel1[[#This Row],[% uren 3:]]))</f>
        <v/>
      </c>
      <c r="Q358" s="127"/>
      <c r="R358" s="128"/>
      <c r="S358" s="44"/>
      <c r="T358" s="25"/>
    </row>
    <row r="359" spans="2:20" x14ac:dyDescent="0.25">
      <c r="B359" s="7"/>
      <c r="C359" s="10"/>
      <c r="D359" s="10"/>
      <c r="E359" s="72"/>
      <c r="F359" s="73"/>
      <c r="G359" s="72"/>
      <c r="H359" s="31"/>
      <c r="I359" s="85" t="str">
        <f>IF(Tabel1[[#This Row],[% uren 1:]]="","",Tabel1[[#This Row],[% uren 1:]]*Tabel1[[#This Row],[Totale uren:]])</f>
        <v/>
      </c>
      <c r="J359" s="68"/>
      <c r="K359" s="31"/>
      <c r="L359" s="86" t="str">
        <f>IF(Tabel1[[#This Row],[% uren 2:]]="","",Tabel1[[#This Row],[% uren 2:]]*Tabel1[[#This Row],[Totale uren:]])</f>
        <v/>
      </c>
      <c r="M359" s="72"/>
      <c r="N359" s="31"/>
      <c r="O359" s="85" t="str">
        <f>IF(Tabel1[[#This Row],[% uren 3:]]="","",Tabel1[[#This Row],[% uren 3:]]*Tabel1[[#This Row],[Totale uren:]])</f>
        <v/>
      </c>
      <c r="P359" s="138" t="str">
        <f>IF(Tabel1[[#This Row],[Ordernummer:]]="","",SUM(Tabel1[[#This Row],[% uren 1:]],Tabel1[[#This Row],[% uren 2:]],Tabel1[[#This Row],[% uren 3:]]))</f>
        <v/>
      </c>
      <c r="Q359" s="127"/>
      <c r="R359" s="128"/>
      <c r="S359" s="44"/>
      <c r="T359" s="25"/>
    </row>
    <row r="360" spans="2:20" x14ac:dyDescent="0.25">
      <c r="B360" s="7"/>
      <c r="C360" s="10"/>
      <c r="D360" s="10"/>
      <c r="E360" s="72"/>
      <c r="F360" s="73"/>
      <c r="G360" s="72"/>
      <c r="H360" s="31"/>
      <c r="I360" s="85" t="str">
        <f>IF(Tabel1[[#This Row],[% uren 1:]]="","",Tabel1[[#This Row],[% uren 1:]]*Tabel1[[#This Row],[Totale uren:]])</f>
        <v/>
      </c>
      <c r="J360" s="68"/>
      <c r="K360" s="31"/>
      <c r="L360" s="86" t="str">
        <f>IF(Tabel1[[#This Row],[% uren 2:]]="","",Tabel1[[#This Row],[% uren 2:]]*Tabel1[[#This Row],[Totale uren:]])</f>
        <v/>
      </c>
      <c r="M360" s="72"/>
      <c r="N360" s="31"/>
      <c r="O360" s="85" t="str">
        <f>IF(Tabel1[[#This Row],[% uren 3:]]="","",Tabel1[[#This Row],[% uren 3:]]*Tabel1[[#This Row],[Totale uren:]])</f>
        <v/>
      </c>
      <c r="P360" s="138" t="str">
        <f>IF(Tabel1[[#This Row],[Ordernummer:]]="","",SUM(Tabel1[[#This Row],[% uren 1:]],Tabel1[[#This Row],[% uren 2:]],Tabel1[[#This Row],[% uren 3:]]))</f>
        <v/>
      </c>
      <c r="Q360" s="127"/>
      <c r="R360" s="128"/>
      <c r="S360" s="44"/>
      <c r="T360" s="25"/>
    </row>
    <row r="361" spans="2:20" x14ac:dyDescent="0.25">
      <c r="B361" s="7"/>
      <c r="C361" s="10"/>
      <c r="D361" s="10"/>
      <c r="E361" s="72"/>
      <c r="F361" s="73"/>
      <c r="G361" s="72"/>
      <c r="H361" s="31"/>
      <c r="I361" s="85" t="str">
        <f>IF(Tabel1[[#This Row],[% uren 1:]]="","",Tabel1[[#This Row],[% uren 1:]]*Tabel1[[#This Row],[Totale uren:]])</f>
        <v/>
      </c>
      <c r="J361" s="68"/>
      <c r="K361" s="31"/>
      <c r="L361" s="86" t="str">
        <f>IF(Tabel1[[#This Row],[% uren 2:]]="","",Tabel1[[#This Row],[% uren 2:]]*Tabel1[[#This Row],[Totale uren:]])</f>
        <v/>
      </c>
      <c r="M361" s="72"/>
      <c r="N361" s="31"/>
      <c r="O361" s="85" t="str">
        <f>IF(Tabel1[[#This Row],[% uren 3:]]="","",Tabel1[[#This Row],[% uren 3:]]*Tabel1[[#This Row],[Totale uren:]])</f>
        <v/>
      </c>
      <c r="P361" s="138" t="str">
        <f>IF(Tabel1[[#This Row],[Ordernummer:]]="","",SUM(Tabel1[[#This Row],[% uren 1:]],Tabel1[[#This Row],[% uren 2:]],Tabel1[[#This Row],[% uren 3:]]))</f>
        <v/>
      </c>
      <c r="Q361" s="127"/>
      <c r="R361" s="128"/>
      <c r="S361" s="44"/>
      <c r="T361" s="25"/>
    </row>
    <row r="362" spans="2:20" x14ac:dyDescent="0.25">
      <c r="B362" s="7"/>
      <c r="C362" s="10"/>
      <c r="D362" s="10"/>
      <c r="E362" s="72"/>
      <c r="F362" s="73"/>
      <c r="G362" s="72"/>
      <c r="H362" s="31"/>
      <c r="I362" s="85" t="str">
        <f>IF(Tabel1[[#This Row],[% uren 1:]]="","",Tabel1[[#This Row],[% uren 1:]]*Tabel1[[#This Row],[Totale uren:]])</f>
        <v/>
      </c>
      <c r="J362" s="68"/>
      <c r="K362" s="31"/>
      <c r="L362" s="86" t="str">
        <f>IF(Tabel1[[#This Row],[% uren 2:]]="","",Tabel1[[#This Row],[% uren 2:]]*Tabel1[[#This Row],[Totale uren:]])</f>
        <v/>
      </c>
      <c r="M362" s="72"/>
      <c r="N362" s="31"/>
      <c r="O362" s="85" t="str">
        <f>IF(Tabel1[[#This Row],[% uren 3:]]="","",Tabel1[[#This Row],[% uren 3:]]*Tabel1[[#This Row],[Totale uren:]])</f>
        <v/>
      </c>
      <c r="P362" s="138" t="str">
        <f>IF(Tabel1[[#This Row],[Ordernummer:]]="","",SUM(Tabel1[[#This Row],[% uren 1:]],Tabel1[[#This Row],[% uren 2:]],Tabel1[[#This Row],[% uren 3:]]))</f>
        <v/>
      </c>
      <c r="Q362" s="127"/>
      <c r="R362" s="128"/>
      <c r="S362" s="44"/>
      <c r="T362" s="25"/>
    </row>
    <row r="363" spans="2:20" x14ac:dyDescent="0.25">
      <c r="B363" s="7"/>
      <c r="C363" s="10"/>
      <c r="D363" s="10"/>
      <c r="E363" s="72"/>
      <c r="F363" s="73"/>
      <c r="G363" s="72"/>
      <c r="H363" s="31"/>
      <c r="I363" s="85" t="str">
        <f>IF(Tabel1[[#This Row],[% uren 1:]]="","",Tabel1[[#This Row],[% uren 1:]]*Tabel1[[#This Row],[Totale uren:]])</f>
        <v/>
      </c>
      <c r="J363" s="68"/>
      <c r="K363" s="31"/>
      <c r="L363" s="86" t="str">
        <f>IF(Tabel1[[#This Row],[% uren 2:]]="","",Tabel1[[#This Row],[% uren 2:]]*Tabel1[[#This Row],[Totale uren:]])</f>
        <v/>
      </c>
      <c r="M363" s="72"/>
      <c r="N363" s="31"/>
      <c r="O363" s="85" t="str">
        <f>IF(Tabel1[[#This Row],[% uren 3:]]="","",Tabel1[[#This Row],[% uren 3:]]*Tabel1[[#This Row],[Totale uren:]])</f>
        <v/>
      </c>
      <c r="P363" s="138" t="str">
        <f>IF(Tabel1[[#This Row],[Ordernummer:]]="","",SUM(Tabel1[[#This Row],[% uren 1:]],Tabel1[[#This Row],[% uren 2:]],Tabel1[[#This Row],[% uren 3:]]))</f>
        <v/>
      </c>
      <c r="Q363" s="127"/>
      <c r="R363" s="128"/>
      <c r="S363" s="44"/>
      <c r="T363" s="25"/>
    </row>
    <row r="364" spans="2:20" x14ac:dyDescent="0.25">
      <c r="B364" s="7"/>
      <c r="C364" s="10"/>
      <c r="D364" s="10"/>
      <c r="E364" s="72"/>
      <c r="F364" s="73"/>
      <c r="G364" s="72"/>
      <c r="H364" s="31"/>
      <c r="I364" s="85" t="str">
        <f>IF(Tabel1[[#This Row],[% uren 1:]]="","",Tabel1[[#This Row],[% uren 1:]]*Tabel1[[#This Row],[Totale uren:]])</f>
        <v/>
      </c>
      <c r="J364" s="68"/>
      <c r="K364" s="31"/>
      <c r="L364" s="86" t="str">
        <f>IF(Tabel1[[#This Row],[% uren 2:]]="","",Tabel1[[#This Row],[% uren 2:]]*Tabel1[[#This Row],[Totale uren:]])</f>
        <v/>
      </c>
      <c r="M364" s="72"/>
      <c r="N364" s="31"/>
      <c r="O364" s="85" t="str">
        <f>IF(Tabel1[[#This Row],[% uren 3:]]="","",Tabel1[[#This Row],[% uren 3:]]*Tabel1[[#This Row],[Totale uren:]])</f>
        <v/>
      </c>
      <c r="P364" s="138" t="str">
        <f>IF(Tabel1[[#This Row],[Ordernummer:]]="","",SUM(Tabel1[[#This Row],[% uren 1:]],Tabel1[[#This Row],[% uren 2:]],Tabel1[[#This Row],[% uren 3:]]))</f>
        <v/>
      </c>
      <c r="Q364" s="127"/>
      <c r="R364" s="128"/>
      <c r="S364" s="44"/>
      <c r="T364" s="25"/>
    </row>
    <row r="365" spans="2:20" x14ac:dyDescent="0.25">
      <c r="B365" s="7"/>
      <c r="C365" s="10"/>
      <c r="D365" s="10"/>
      <c r="E365" s="72"/>
      <c r="F365" s="73"/>
      <c r="G365" s="72"/>
      <c r="H365" s="31"/>
      <c r="I365" s="85" t="str">
        <f>IF(Tabel1[[#This Row],[% uren 1:]]="","",Tabel1[[#This Row],[% uren 1:]]*Tabel1[[#This Row],[Totale uren:]])</f>
        <v/>
      </c>
      <c r="J365" s="68"/>
      <c r="K365" s="31"/>
      <c r="L365" s="86" t="str">
        <f>IF(Tabel1[[#This Row],[% uren 2:]]="","",Tabel1[[#This Row],[% uren 2:]]*Tabel1[[#This Row],[Totale uren:]])</f>
        <v/>
      </c>
      <c r="M365" s="72"/>
      <c r="N365" s="31"/>
      <c r="O365" s="85" t="str">
        <f>IF(Tabel1[[#This Row],[% uren 3:]]="","",Tabel1[[#This Row],[% uren 3:]]*Tabel1[[#This Row],[Totale uren:]])</f>
        <v/>
      </c>
      <c r="P365" s="138" t="str">
        <f>IF(Tabel1[[#This Row],[Ordernummer:]]="","",SUM(Tabel1[[#This Row],[% uren 1:]],Tabel1[[#This Row],[% uren 2:]],Tabel1[[#This Row],[% uren 3:]]))</f>
        <v/>
      </c>
      <c r="Q365" s="127"/>
      <c r="R365" s="128"/>
      <c r="S365" s="44"/>
      <c r="T365" s="25"/>
    </row>
    <row r="366" spans="2:20" x14ac:dyDescent="0.25">
      <c r="B366" s="7"/>
      <c r="C366" s="10"/>
      <c r="D366" s="10"/>
      <c r="E366" s="72"/>
      <c r="F366" s="73"/>
      <c r="G366" s="72"/>
      <c r="H366" s="31"/>
      <c r="I366" s="85" t="str">
        <f>IF(Tabel1[[#This Row],[% uren 1:]]="","",Tabel1[[#This Row],[% uren 1:]]*Tabel1[[#This Row],[Totale uren:]])</f>
        <v/>
      </c>
      <c r="J366" s="68"/>
      <c r="K366" s="31"/>
      <c r="L366" s="86" t="str">
        <f>IF(Tabel1[[#This Row],[% uren 2:]]="","",Tabel1[[#This Row],[% uren 2:]]*Tabel1[[#This Row],[Totale uren:]])</f>
        <v/>
      </c>
      <c r="M366" s="72"/>
      <c r="N366" s="31"/>
      <c r="O366" s="85" t="str">
        <f>IF(Tabel1[[#This Row],[% uren 3:]]="","",Tabel1[[#This Row],[% uren 3:]]*Tabel1[[#This Row],[Totale uren:]])</f>
        <v/>
      </c>
      <c r="P366" s="138" t="str">
        <f>IF(Tabel1[[#This Row],[Ordernummer:]]="","",SUM(Tabel1[[#This Row],[% uren 1:]],Tabel1[[#This Row],[% uren 2:]],Tabel1[[#This Row],[% uren 3:]]))</f>
        <v/>
      </c>
      <c r="Q366" s="127"/>
      <c r="R366" s="128"/>
      <c r="S366" s="44"/>
      <c r="T366" s="25"/>
    </row>
    <row r="367" spans="2:20" x14ac:dyDescent="0.25">
      <c r="B367" s="7"/>
      <c r="C367" s="10"/>
      <c r="D367" s="10"/>
      <c r="E367" s="72"/>
      <c r="F367" s="73"/>
      <c r="G367" s="72"/>
      <c r="H367" s="31"/>
      <c r="I367" s="85" t="str">
        <f>IF(Tabel1[[#This Row],[% uren 1:]]="","",Tabel1[[#This Row],[% uren 1:]]*Tabel1[[#This Row],[Totale uren:]])</f>
        <v/>
      </c>
      <c r="J367" s="68"/>
      <c r="K367" s="31"/>
      <c r="L367" s="86" t="str">
        <f>IF(Tabel1[[#This Row],[% uren 2:]]="","",Tabel1[[#This Row],[% uren 2:]]*Tabel1[[#This Row],[Totale uren:]])</f>
        <v/>
      </c>
      <c r="M367" s="72"/>
      <c r="N367" s="31"/>
      <c r="O367" s="85" t="str">
        <f>IF(Tabel1[[#This Row],[% uren 3:]]="","",Tabel1[[#This Row],[% uren 3:]]*Tabel1[[#This Row],[Totale uren:]])</f>
        <v/>
      </c>
      <c r="P367" s="138" t="str">
        <f>IF(Tabel1[[#This Row],[Ordernummer:]]="","",SUM(Tabel1[[#This Row],[% uren 1:]],Tabel1[[#This Row],[% uren 2:]],Tabel1[[#This Row],[% uren 3:]]))</f>
        <v/>
      </c>
      <c r="Q367" s="127"/>
      <c r="R367" s="128"/>
      <c r="S367" s="44"/>
      <c r="T367" s="25"/>
    </row>
    <row r="368" spans="2:20" x14ac:dyDescent="0.25">
      <c r="B368" s="7"/>
      <c r="C368" s="10"/>
      <c r="D368" s="10"/>
      <c r="E368" s="72"/>
      <c r="F368" s="73"/>
      <c r="G368" s="72"/>
      <c r="H368" s="31"/>
      <c r="I368" s="85" t="str">
        <f>IF(Tabel1[[#This Row],[% uren 1:]]="","",Tabel1[[#This Row],[% uren 1:]]*Tabel1[[#This Row],[Totale uren:]])</f>
        <v/>
      </c>
      <c r="J368" s="68"/>
      <c r="K368" s="31"/>
      <c r="L368" s="86" t="str">
        <f>IF(Tabel1[[#This Row],[% uren 2:]]="","",Tabel1[[#This Row],[% uren 2:]]*Tabel1[[#This Row],[Totale uren:]])</f>
        <v/>
      </c>
      <c r="M368" s="72"/>
      <c r="N368" s="31"/>
      <c r="O368" s="85" t="str">
        <f>IF(Tabel1[[#This Row],[% uren 3:]]="","",Tabel1[[#This Row],[% uren 3:]]*Tabel1[[#This Row],[Totale uren:]])</f>
        <v/>
      </c>
      <c r="P368" s="138" t="str">
        <f>IF(Tabel1[[#This Row],[Ordernummer:]]="","",SUM(Tabel1[[#This Row],[% uren 1:]],Tabel1[[#This Row],[% uren 2:]],Tabel1[[#This Row],[% uren 3:]]))</f>
        <v/>
      </c>
      <c r="Q368" s="127"/>
      <c r="R368" s="128"/>
      <c r="S368" s="44"/>
      <c r="T368" s="25"/>
    </row>
    <row r="369" spans="2:20" x14ac:dyDescent="0.25">
      <c r="B369" s="7"/>
      <c r="C369" s="10"/>
      <c r="D369" s="10"/>
      <c r="E369" s="72"/>
      <c r="F369" s="73"/>
      <c r="G369" s="72"/>
      <c r="H369" s="31"/>
      <c r="I369" s="85" t="str">
        <f>IF(Tabel1[[#This Row],[% uren 1:]]="","",Tabel1[[#This Row],[% uren 1:]]*Tabel1[[#This Row],[Totale uren:]])</f>
        <v/>
      </c>
      <c r="J369" s="68"/>
      <c r="K369" s="31"/>
      <c r="L369" s="86" t="str">
        <f>IF(Tabel1[[#This Row],[% uren 2:]]="","",Tabel1[[#This Row],[% uren 2:]]*Tabel1[[#This Row],[Totale uren:]])</f>
        <v/>
      </c>
      <c r="M369" s="72"/>
      <c r="N369" s="31"/>
      <c r="O369" s="85" t="str">
        <f>IF(Tabel1[[#This Row],[% uren 3:]]="","",Tabel1[[#This Row],[% uren 3:]]*Tabel1[[#This Row],[Totale uren:]])</f>
        <v/>
      </c>
      <c r="P369" s="138" t="str">
        <f>IF(Tabel1[[#This Row],[Ordernummer:]]="","",SUM(Tabel1[[#This Row],[% uren 1:]],Tabel1[[#This Row],[% uren 2:]],Tabel1[[#This Row],[% uren 3:]]))</f>
        <v/>
      </c>
      <c r="Q369" s="127"/>
      <c r="R369" s="128"/>
      <c r="S369" s="44"/>
      <c r="T369" s="25"/>
    </row>
    <row r="370" spans="2:20" x14ac:dyDescent="0.25">
      <c r="B370" s="7"/>
      <c r="C370" s="10"/>
      <c r="D370" s="10"/>
      <c r="E370" s="72"/>
      <c r="F370" s="73"/>
      <c r="G370" s="72"/>
      <c r="H370" s="31"/>
      <c r="I370" s="85" t="str">
        <f>IF(Tabel1[[#This Row],[% uren 1:]]="","",Tabel1[[#This Row],[% uren 1:]]*Tabel1[[#This Row],[Totale uren:]])</f>
        <v/>
      </c>
      <c r="J370" s="68"/>
      <c r="K370" s="31"/>
      <c r="L370" s="86" t="str">
        <f>IF(Tabel1[[#This Row],[% uren 2:]]="","",Tabel1[[#This Row],[% uren 2:]]*Tabel1[[#This Row],[Totale uren:]])</f>
        <v/>
      </c>
      <c r="M370" s="72"/>
      <c r="N370" s="31"/>
      <c r="O370" s="85" t="str">
        <f>IF(Tabel1[[#This Row],[% uren 3:]]="","",Tabel1[[#This Row],[% uren 3:]]*Tabel1[[#This Row],[Totale uren:]])</f>
        <v/>
      </c>
      <c r="P370" s="138" t="str">
        <f>IF(Tabel1[[#This Row],[Ordernummer:]]="","",SUM(Tabel1[[#This Row],[% uren 1:]],Tabel1[[#This Row],[% uren 2:]],Tabel1[[#This Row],[% uren 3:]]))</f>
        <v/>
      </c>
      <c r="Q370" s="127"/>
      <c r="R370" s="128"/>
      <c r="S370" s="44"/>
      <c r="T370" s="25"/>
    </row>
    <row r="371" spans="2:20" x14ac:dyDescent="0.25">
      <c r="B371" s="7"/>
      <c r="C371" s="10"/>
      <c r="D371" s="10"/>
      <c r="E371" s="72"/>
      <c r="F371" s="73"/>
      <c r="G371" s="72"/>
      <c r="H371" s="31"/>
      <c r="I371" s="85" t="str">
        <f>IF(Tabel1[[#This Row],[% uren 1:]]="","",Tabel1[[#This Row],[% uren 1:]]*Tabel1[[#This Row],[Totale uren:]])</f>
        <v/>
      </c>
      <c r="J371" s="68"/>
      <c r="K371" s="31"/>
      <c r="L371" s="86" t="str">
        <f>IF(Tabel1[[#This Row],[% uren 2:]]="","",Tabel1[[#This Row],[% uren 2:]]*Tabel1[[#This Row],[Totale uren:]])</f>
        <v/>
      </c>
      <c r="M371" s="72"/>
      <c r="N371" s="31"/>
      <c r="O371" s="85" t="str">
        <f>IF(Tabel1[[#This Row],[% uren 3:]]="","",Tabel1[[#This Row],[% uren 3:]]*Tabel1[[#This Row],[Totale uren:]])</f>
        <v/>
      </c>
      <c r="P371" s="138" t="str">
        <f>IF(Tabel1[[#This Row],[Ordernummer:]]="","",SUM(Tabel1[[#This Row],[% uren 1:]],Tabel1[[#This Row],[% uren 2:]],Tabel1[[#This Row],[% uren 3:]]))</f>
        <v/>
      </c>
      <c r="Q371" s="127"/>
      <c r="R371" s="128"/>
      <c r="S371" s="44"/>
      <c r="T371" s="25"/>
    </row>
    <row r="372" spans="2:20" x14ac:dyDescent="0.25">
      <c r="B372" s="7"/>
      <c r="C372" s="10"/>
      <c r="D372" s="10"/>
      <c r="E372" s="72"/>
      <c r="F372" s="73"/>
      <c r="G372" s="72"/>
      <c r="H372" s="31"/>
      <c r="I372" s="85" t="str">
        <f>IF(Tabel1[[#This Row],[% uren 1:]]="","",Tabel1[[#This Row],[% uren 1:]]*Tabel1[[#This Row],[Totale uren:]])</f>
        <v/>
      </c>
      <c r="J372" s="68"/>
      <c r="K372" s="31"/>
      <c r="L372" s="86" t="str">
        <f>IF(Tabel1[[#This Row],[% uren 2:]]="","",Tabel1[[#This Row],[% uren 2:]]*Tabel1[[#This Row],[Totale uren:]])</f>
        <v/>
      </c>
      <c r="M372" s="72"/>
      <c r="N372" s="31"/>
      <c r="O372" s="85" t="str">
        <f>IF(Tabel1[[#This Row],[% uren 3:]]="","",Tabel1[[#This Row],[% uren 3:]]*Tabel1[[#This Row],[Totale uren:]])</f>
        <v/>
      </c>
      <c r="P372" s="138" t="str">
        <f>IF(Tabel1[[#This Row],[Ordernummer:]]="","",SUM(Tabel1[[#This Row],[% uren 1:]],Tabel1[[#This Row],[% uren 2:]],Tabel1[[#This Row],[% uren 3:]]))</f>
        <v/>
      </c>
      <c r="Q372" s="127"/>
      <c r="R372" s="128"/>
      <c r="S372" s="44"/>
      <c r="T372" s="25"/>
    </row>
    <row r="373" spans="2:20" x14ac:dyDescent="0.25">
      <c r="B373" s="7"/>
      <c r="C373" s="10"/>
      <c r="D373" s="10"/>
      <c r="E373" s="72"/>
      <c r="F373" s="73"/>
      <c r="G373" s="72"/>
      <c r="H373" s="31"/>
      <c r="I373" s="85" t="str">
        <f>IF(Tabel1[[#This Row],[% uren 1:]]="","",Tabel1[[#This Row],[% uren 1:]]*Tabel1[[#This Row],[Totale uren:]])</f>
        <v/>
      </c>
      <c r="J373" s="68"/>
      <c r="K373" s="31"/>
      <c r="L373" s="86" t="str">
        <f>IF(Tabel1[[#This Row],[% uren 2:]]="","",Tabel1[[#This Row],[% uren 2:]]*Tabel1[[#This Row],[Totale uren:]])</f>
        <v/>
      </c>
      <c r="M373" s="72"/>
      <c r="N373" s="31"/>
      <c r="O373" s="85" t="str">
        <f>IF(Tabel1[[#This Row],[% uren 3:]]="","",Tabel1[[#This Row],[% uren 3:]]*Tabel1[[#This Row],[Totale uren:]])</f>
        <v/>
      </c>
      <c r="P373" s="138" t="str">
        <f>IF(Tabel1[[#This Row],[Ordernummer:]]="","",SUM(Tabel1[[#This Row],[% uren 1:]],Tabel1[[#This Row],[% uren 2:]],Tabel1[[#This Row],[% uren 3:]]))</f>
        <v/>
      </c>
      <c r="Q373" s="127"/>
      <c r="R373" s="128"/>
      <c r="S373" s="44"/>
      <c r="T373" s="25"/>
    </row>
    <row r="374" spans="2:20" x14ac:dyDescent="0.25">
      <c r="B374" s="7"/>
      <c r="C374" s="10"/>
      <c r="D374" s="10"/>
      <c r="E374" s="72"/>
      <c r="F374" s="73"/>
      <c r="G374" s="72"/>
      <c r="H374" s="31"/>
      <c r="I374" s="85" t="str">
        <f>IF(Tabel1[[#This Row],[% uren 1:]]="","",Tabel1[[#This Row],[% uren 1:]]*Tabel1[[#This Row],[Totale uren:]])</f>
        <v/>
      </c>
      <c r="J374" s="68"/>
      <c r="K374" s="31"/>
      <c r="L374" s="86" t="str">
        <f>IF(Tabel1[[#This Row],[% uren 2:]]="","",Tabel1[[#This Row],[% uren 2:]]*Tabel1[[#This Row],[Totale uren:]])</f>
        <v/>
      </c>
      <c r="M374" s="72"/>
      <c r="N374" s="31"/>
      <c r="O374" s="85" t="str">
        <f>IF(Tabel1[[#This Row],[% uren 3:]]="","",Tabel1[[#This Row],[% uren 3:]]*Tabel1[[#This Row],[Totale uren:]])</f>
        <v/>
      </c>
      <c r="P374" s="138" t="str">
        <f>IF(Tabel1[[#This Row],[Ordernummer:]]="","",SUM(Tabel1[[#This Row],[% uren 1:]],Tabel1[[#This Row],[% uren 2:]],Tabel1[[#This Row],[% uren 3:]]))</f>
        <v/>
      </c>
      <c r="Q374" s="127"/>
      <c r="R374" s="128"/>
      <c r="S374" s="44"/>
      <c r="T374" s="25"/>
    </row>
    <row r="375" spans="2:20" x14ac:dyDescent="0.25">
      <c r="B375" s="7"/>
      <c r="C375" s="10"/>
      <c r="D375" s="10"/>
      <c r="E375" s="72"/>
      <c r="F375" s="73"/>
      <c r="G375" s="72"/>
      <c r="H375" s="31"/>
      <c r="I375" s="85" t="str">
        <f>IF(Tabel1[[#This Row],[% uren 1:]]="","",Tabel1[[#This Row],[% uren 1:]]*Tabel1[[#This Row],[Totale uren:]])</f>
        <v/>
      </c>
      <c r="J375" s="68"/>
      <c r="K375" s="31"/>
      <c r="L375" s="86" t="str">
        <f>IF(Tabel1[[#This Row],[% uren 2:]]="","",Tabel1[[#This Row],[% uren 2:]]*Tabel1[[#This Row],[Totale uren:]])</f>
        <v/>
      </c>
      <c r="M375" s="72"/>
      <c r="N375" s="31"/>
      <c r="O375" s="85" t="str">
        <f>IF(Tabel1[[#This Row],[% uren 3:]]="","",Tabel1[[#This Row],[% uren 3:]]*Tabel1[[#This Row],[Totale uren:]])</f>
        <v/>
      </c>
      <c r="P375" s="138" t="str">
        <f>IF(Tabel1[[#This Row],[Ordernummer:]]="","",SUM(Tabel1[[#This Row],[% uren 1:]],Tabel1[[#This Row],[% uren 2:]],Tabel1[[#This Row],[% uren 3:]]))</f>
        <v/>
      </c>
      <c r="Q375" s="127"/>
      <c r="R375" s="128"/>
      <c r="S375" s="44"/>
      <c r="T375" s="25"/>
    </row>
    <row r="376" spans="2:20" x14ac:dyDescent="0.25">
      <c r="B376" s="7"/>
      <c r="C376" s="10"/>
      <c r="D376" s="10"/>
      <c r="E376" s="72"/>
      <c r="F376" s="73"/>
      <c r="G376" s="72"/>
      <c r="H376" s="31"/>
      <c r="I376" s="85" t="str">
        <f>IF(Tabel1[[#This Row],[% uren 1:]]="","",Tabel1[[#This Row],[% uren 1:]]*Tabel1[[#This Row],[Totale uren:]])</f>
        <v/>
      </c>
      <c r="J376" s="68"/>
      <c r="K376" s="31"/>
      <c r="L376" s="86" t="str">
        <f>IF(Tabel1[[#This Row],[% uren 2:]]="","",Tabel1[[#This Row],[% uren 2:]]*Tabel1[[#This Row],[Totale uren:]])</f>
        <v/>
      </c>
      <c r="M376" s="72"/>
      <c r="N376" s="31"/>
      <c r="O376" s="85" t="str">
        <f>IF(Tabel1[[#This Row],[% uren 3:]]="","",Tabel1[[#This Row],[% uren 3:]]*Tabel1[[#This Row],[Totale uren:]])</f>
        <v/>
      </c>
      <c r="P376" s="138" t="str">
        <f>IF(Tabel1[[#This Row],[Ordernummer:]]="","",SUM(Tabel1[[#This Row],[% uren 1:]],Tabel1[[#This Row],[% uren 2:]],Tabel1[[#This Row],[% uren 3:]]))</f>
        <v/>
      </c>
      <c r="Q376" s="127"/>
      <c r="R376" s="128"/>
      <c r="S376" s="44"/>
      <c r="T376" s="25"/>
    </row>
    <row r="377" spans="2:20" x14ac:dyDescent="0.25">
      <c r="B377" s="7"/>
      <c r="C377" s="10"/>
      <c r="D377" s="10"/>
      <c r="E377" s="72"/>
      <c r="F377" s="73"/>
      <c r="G377" s="72"/>
      <c r="H377" s="31"/>
      <c r="I377" s="85" t="str">
        <f>IF(Tabel1[[#This Row],[% uren 1:]]="","",Tabel1[[#This Row],[% uren 1:]]*Tabel1[[#This Row],[Totale uren:]])</f>
        <v/>
      </c>
      <c r="J377" s="68"/>
      <c r="K377" s="31"/>
      <c r="L377" s="86" t="str">
        <f>IF(Tabel1[[#This Row],[% uren 2:]]="","",Tabel1[[#This Row],[% uren 2:]]*Tabel1[[#This Row],[Totale uren:]])</f>
        <v/>
      </c>
      <c r="M377" s="72"/>
      <c r="N377" s="31"/>
      <c r="O377" s="85" t="str">
        <f>IF(Tabel1[[#This Row],[% uren 3:]]="","",Tabel1[[#This Row],[% uren 3:]]*Tabel1[[#This Row],[Totale uren:]])</f>
        <v/>
      </c>
      <c r="P377" s="138" t="str">
        <f>IF(Tabel1[[#This Row],[Ordernummer:]]="","",SUM(Tabel1[[#This Row],[% uren 1:]],Tabel1[[#This Row],[% uren 2:]],Tabel1[[#This Row],[% uren 3:]]))</f>
        <v/>
      </c>
      <c r="Q377" s="127"/>
      <c r="R377" s="128"/>
      <c r="S377" s="44"/>
      <c r="T377" s="25"/>
    </row>
    <row r="378" spans="2:20" x14ac:dyDescent="0.25">
      <c r="B378" s="7"/>
      <c r="C378" s="10"/>
      <c r="D378" s="10"/>
      <c r="E378" s="72"/>
      <c r="F378" s="73"/>
      <c r="G378" s="72"/>
      <c r="H378" s="31"/>
      <c r="I378" s="85" t="str">
        <f>IF(Tabel1[[#This Row],[% uren 1:]]="","",Tabel1[[#This Row],[% uren 1:]]*Tabel1[[#This Row],[Totale uren:]])</f>
        <v/>
      </c>
      <c r="J378" s="68"/>
      <c r="K378" s="31"/>
      <c r="L378" s="86" t="str">
        <f>IF(Tabel1[[#This Row],[% uren 2:]]="","",Tabel1[[#This Row],[% uren 2:]]*Tabel1[[#This Row],[Totale uren:]])</f>
        <v/>
      </c>
      <c r="M378" s="72"/>
      <c r="N378" s="31"/>
      <c r="O378" s="85" t="str">
        <f>IF(Tabel1[[#This Row],[% uren 3:]]="","",Tabel1[[#This Row],[% uren 3:]]*Tabel1[[#This Row],[Totale uren:]])</f>
        <v/>
      </c>
      <c r="P378" s="138" t="str">
        <f>IF(Tabel1[[#This Row],[Ordernummer:]]="","",SUM(Tabel1[[#This Row],[% uren 1:]],Tabel1[[#This Row],[% uren 2:]],Tabel1[[#This Row],[% uren 3:]]))</f>
        <v/>
      </c>
      <c r="Q378" s="127"/>
      <c r="R378" s="128"/>
      <c r="S378" s="44"/>
      <c r="T378" s="25"/>
    </row>
    <row r="379" spans="2:20" x14ac:dyDescent="0.25">
      <c r="B379" s="7"/>
      <c r="C379" s="10"/>
      <c r="D379" s="10"/>
      <c r="E379" s="72"/>
      <c r="F379" s="73"/>
      <c r="G379" s="72"/>
      <c r="H379" s="31"/>
      <c r="I379" s="85" t="str">
        <f>IF(Tabel1[[#This Row],[% uren 1:]]="","",Tabel1[[#This Row],[% uren 1:]]*Tabel1[[#This Row],[Totale uren:]])</f>
        <v/>
      </c>
      <c r="J379" s="68"/>
      <c r="K379" s="31"/>
      <c r="L379" s="86" t="str">
        <f>IF(Tabel1[[#This Row],[% uren 2:]]="","",Tabel1[[#This Row],[% uren 2:]]*Tabel1[[#This Row],[Totale uren:]])</f>
        <v/>
      </c>
      <c r="M379" s="72"/>
      <c r="N379" s="31"/>
      <c r="O379" s="85" t="str">
        <f>IF(Tabel1[[#This Row],[% uren 3:]]="","",Tabel1[[#This Row],[% uren 3:]]*Tabel1[[#This Row],[Totale uren:]])</f>
        <v/>
      </c>
      <c r="P379" s="138" t="str">
        <f>IF(Tabel1[[#This Row],[Ordernummer:]]="","",SUM(Tabel1[[#This Row],[% uren 1:]],Tabel1[[#This Row],[% uren 2:]],Tabel1[[#This Row],[% uren 3:]]))</f>
        <v/>
      </c>
      <c r="Q379" s="127"/>
      <c r="R379" s="128"/>
      <c r="S379" s="44"/>
      <c r="T379" s="25"/>
    </row>
    <row r="380" spans="2:20" x14ac:dyDescent="0.25">
      <c r="B380" s="7"/>
      <c r="C380" s="10"/>
      <c r="D380" s="10"/>
      <c r="E380" s="72"/>
      <c r="F380" s="73"/>
      <c r="G380" s="72"/>
      <c r="H380" s="31"/>
      <c r="I380" s="85" t="str">
        <f>IF(Tabel1[[#This Row],[% uren 1:]]="","",Tabel1[[#This Row],[% uren 1:]]*Tabel1[[#This Row],[Totale uren:]])</f>
        <v/>
      </c>
      <c r="J380" s="68"/>
      <c r="K380" s="31"/>
      <c r="L380" s="86" t="str">
        <f>IF(Tabel1[[#This Row],[% uren 2:]]="","",Tabel1[[#This Row],[% uren 2:]]*Tabel1[[#This Row],[Totale uren:]])</f>
        <v/>
      </c>
      <c r="M380" s="72"/>
      <c r="N380" s="31"/>
      <c r="O380" s="85" t="str">
        <f>IF(Tabel1[[#This Row],[% uren 3:]]="","",Tabel1[[#This Row],[% uren 3:]]*Tabel1[[#This Row],[Totale uren:]])</f>
        <v/>
      </c>
      <c r="P380" s="138" t="str">
        <f>IF(Tabel1[[#This Row],[Ordernummer:]]="","",SUM(Tabel1[[#This Row],[% uren 1:]],Tabel1[[#This Row],[% uren 2:]],Tabel1[[#This Row],[% uren 3:]]))</f>
        <v/>
      </c>
      <c r="Q380" s="127"/>
      <c r="R380" s="128"/>
      <c r="S380" s="44"/>
      <c r="T380" s="25"/>
    </row>
    <row r="381" spans="2:20" x14ac:dyDescent="0.25">
      <c r="B381" s="7"/>
      <c r="C381" s="10"/>
      <c r="D381" s="10"/>
      <c r="E381" s="72"/>
      <c r="F381" s="73"/>
      <c r="G381" s="72"/>
      <c r="H381" s="31"/>
      <c r="I381" s="85" t="str">
        <f>IF(Tabel1[[#This Row],[% uren 1:]]="","",Tabel1[[#This Row],[% uren 1:]]*Tabel1[[#This Row],[Totale uren:]])</f>
        <v/>
      </c>
      <c r="J381" s="68"/>
      <c r="K381" s="31"/>
      <c r="L381" s="86" t="str">
        <f>IF(Tabel1[[#This Row],[% uren 2:]]="","",Tabel1[[#This Row],[% uren 2:]]*Tabel1[[#This Row],[Totale uren:]])</f>
        <v/>
      </c>
      <c r="M381" s="72"/>
      <c r="N381" s="31"/>
      <c r="O381" s="85" t="str">
        <f>IF(Tabel1[[#This Row],[% uren 3:]]="","",Tabel1[[#This Row],[% uren 3:]]*Tabel1[[#This Row],[Totale uren:]])</f>
        <v/>
      </c>
      <c r="P381" s="138" t="str">
        <f>IF(Tabel1[[#This Row],[Ordernummer:]]="","",SUM(Tabel1[[#This Row],[% uren 1:]],Tabel1[[#This Row],[% uren 2:]],Tabel1[[#This Row],[% uren 3:]]))</f>
        <v/>
      </c>
      <c r="Q381" s="127"/>
      <c r="R381" s="128"/>
      <c r="S381" s="44"/>
      <c r="T381" s="25"/>
    </row>
    <row r="382" spans="2:20" x14ac:dyDescent="0.25">
      <c r="B382" s="7"/>
      <c r="C382" s="10"/>
      <c r="D382" s="10"/>
      <c r="E382" s="72"/>
      <c r="F382" s="73"/>
      <c r="G382" s="72"/>
      <c r="H382" s="31"/>
      <c r="I382" s="85" t="str">
        <f>IF(Tabel1[[#This Row],[% uren 1:]]="","",Tabel1[[#This Row],[% uren 1:]]*Tabel1[[#This Row],[Totale uren:]])</f>
        <v/>
      </c>
      <c r="J382" s="68"/>
      <c r="K382" s="31"/>
      <c r="L382" s="86" t="str">
        <f>IF(Tabel1[[#This Row],[% uren 2:]]="","",Tabel1[[#This Row],[% uren 2:]]*Tabel1[[#This Row],[Totale uren:]])</f>
        <v/>
      </c>
      <c r="M382" s="72"/>
      <c r="N382" s="31"/>
      <c r="O382" s="85" t="str">
        <f>IF(Tabel1[[#This Row],[% uren 3:]]="","",Tabel1[[#This Row],[% uren 3:]]*Tabel1[[#This Row],[Totale uren:]])</f>
        <v/>
      </c>
      <c r="P382" s="138" t="str">
        <f>IF(Tabel1[[#This Row],[Ordernummer:]]="","",SUM(Tabel1[[#This Row],[% uren 1:]],Tabel1[[#This Row],[% uren 2:]],Tabel1[[#This Row],[% uren 3:]]))</f>
        <v/>
      </c>
      <c r="Q382" s="127"/>
      <c r="R382" s="128"/>
      <c r="S382" s="44"/>
      <c r="T382" s="25"/>
    </row>
    <row r="383" spans="2:20" x14ac:dyDescent="0.25">
      <c r="B383" s="7"/>
      <c r="C383" s="10"/>
      <c r="D383" s="10"/>
      <c r="E383" s="72"/>
      <c r="F383" s="73"/>
      <c r="G383" s="72"/>
      <c r="H383" s="31"/>
      <c r="I383" s="85" t="str">
        <f>IF(Tabel1[[#This Row],[% uren 1:]]="","",Tabel1[[#This Row],[% uren 1:]]*Tabel1[[#This Row],[Totale uren:]])</f>
        <v/>
      </c>
      <c r="J383" s="68"/>
      <c r="K383" s="31"/>
      <c r="L383" s="86" t="str">
        <f>IF(Tabel1[[#This Row],[% uren 2:]]="","",Tabel1[[#This Row],[% uren 2:]]*Tabel1[[#This Row],[Totale uren:]])</f>
        <v/>
      </c>
      <c r="M383" s="72"/>
      <c r="N383" s="31"/>
      <c r="O383" s="85" t="str">
        <f>IF(Tabel1[[#This Row],[% uren 3:]]="","",Tabel1[[#This Row],[% uren 3:]]*Tabel1[[#This Row],[Totale uren:]])</f>
        <v/>
      </c>
      <c r="P383" s="138" t="str">
        <f>IF(Tabel1[[#This Row],[Ordernummer:]]="","",SUM(Tabel1[[#This Row],[% uren 1:]],Tabel1[[#This Row],[% uren 2:]],Tabel1[[#This Row],[% uren 3:]]))</f>
        <v/>
      </c>
      <c r="Q383" s="127"/>
      <c r="R383" s="128"/>
      <c r="S383" s="44"/>
      <c r="T383" s="25"/>
    </row>
    <row r="384" spans="2:20" x14ac:dyDescent="0.25">
      <c r="B384" s="7"/>
      <c r="C384" s="10"/>
      <c r="D384" s="10"/>
      <c r="E384" s="72"/>
      <c r="F384" s="73"/>
      <c r="G384" s="72"/>
      <c r="H384" s="31"/>
      <c r="I384" s="85" t="str">
        <f>IF(Tabel1[[#This Row],[% uren 1:]]="","",Tabel1[[#This Row],[% uren 1:]]*Tabel1[[#This Row],[Totale uren:]])</f>
        <v/>
      </c>
      <c r="J384" s="68"/>
      <c r="K384" s="31"/>
      <c r="L384" s="86" t="str">
        <f>IF(Tabel1[[#This Row],[% uren 2:]]="","",Tabel1[[#This Row],[% uren 2:]]*Tabel1[[#This Row],[Totale uren:]])</f>
        <v/>
      </c>
      <c r="M384" s="72"/>
      <c r="N384" s="31"/>
      <c r="O384" s="85" t="str">
        <f>IF(Tabel1[[#This Row],[% uren 3:]]="","",Tabel1[[#This Row],[% uren 3:]]*Tabel1[[#This Row],[Totale uren:]])</f>
        <v/>
      </c>
      <c r="P384" s="138" t="str">
        <f>IF(Tabel1[[#This Row],[Ordernummer:]]="","",SUM(Tabel1[[#This Row],[% uren 1:]],Tabel1[[#This Row],[% uren 2:]],Tabel1[[#This Row],[% uren 3:]]))</f>
        <v/>
      </c>
      <c r="Q384" s="127"/>
      <c r="R384" s="128"/>
      <c r="S384" s="44"/>
      <c r="T384" s="25"/>
    </row>
    <row r="385" spans="2:20" x14ac:dyDescent="0.25">
      <c r="B385" s="7"/>
      <c r="C385" s="10"/>
      <c r="D385" s="10"/>
      <c r="E385" s="72"/>
      <c r="F385" s="73"/>
      <c r="G385" s="72"/>
      <c r="H385" s="31"/>
      <c r="I385" s="85" t="str">
        <f>IF(Tabel1[[#This Row],[% uren 1:]]="","",Tabel1[[#This Row],[% uren 1:]]*Tabel1[[#This Row],[Totale uren:]])</f>
        <v/>
      </c>
      <c r="J385" s="68"/>
      <c r="K385" s="31"/>
      <c r="L385" s="86" t="str">
        <f>IF(Tabel1[[#This Row],[% uren 2:]]="","",Tabel1[[#This Row],[% uren 2:]]*Tabel1[[#This Row],[Totale uren:]])</f>
        <v/>
      </c>
      <c r="M385" s="72"/>
      <c r="N385" s="31"/>
      <c r="O385" s="85" t="str">
        <f>IF(Tabel1[[#This Row],[% uren 3:]]="","",Tabel1[[#This Row],[% uren 3:]]*Tabel1[[#This Row],[Totale uren:]])</f>
        <v/>
      </c>
      <c r="P385" s="138" t="str">
        <f>IF(Tabel1[[#This Row],[Ordernummer:]]="","",SUM(Tabel1[[#This Row],[% uren 1:]],Tabel1[[#This Row],[% uren 2:]],Tabel1[[#This Row],[% uren 3:]]))</f>
        <v/>
      </c>
      <c r="Q385" s="127"/>
      <c r="R385" s="128"/>
      <c r="S385" s="44"/>
      <c r="T385" s="25"/>
    </row>
    <row r="386" spans="2:20" x14ac:dyDescent="0.25">
      <c r="B386" s="7"/>
      <c r="C386" s="10"/>
      <c r="D386" s="10"/>
      <c r="E386" s="72"/>
      <c r="F386" s="73"/>
      <c r="G386" s="72"/>
      <c r="H386" s="31"/>
      <c r="I386" s="85" t="str">
        <f>IF(Tabel1[[#This Row],[% uren 1:]]="","",Tabel1[[#This Row],[% uren 1:]]*Tabel1[[#This Row],[Totale uren:]])</f>
        <v/>
      </c>
      <c r="J386" s="68"/>
      <c r="K386" s="31"/>
      <c r="L386" s="86" t="str">
        <f>IF(Tabel1[[#This Row],[% uren 2:]]="","",Tabel1[[#This Row],[% uren 2:]]*Tabel1[[#This Row],[Totale uren:]])</f>
        <v/>
      </c>
      <c r="M386" s="72"/>
      <c r="N386" s="31"/>
      <c r="O386" s="85" t="str">
        <f>IF(Tabel1[[#This Row],[% uren 3:]]="","",Tabel1[[#This Row],[% uren 3:]]*Tabel1[[#This Row],[Totale uren:]])</f>
        <v/>
      </c>
      <c r="P386" s="138" t="str">
        <f>IF(Tabel1[[#This Row],[Ordernummer:]]="","",SUM(Tabel1[[#This Row],[% uren 1:]],Tabel1[[#This Row],[% uren 2:]],Tabel1[[#This Row],[% uren 3:]]))</f>
        <v/>
      </c>
      <c r="Q386" s="127"/>
      <c r="R386" s="128"/>
      <c r="S386" s="44"/>
      <c r="T386" s="25"/>
    </row>
    <row r="387" spans="2:20" x14ac:dyDescent="0.25">
      <c r="B387" s="7"/>
      <c r="C387" s="10"/>
      <c r="D387" s="10"/>
      <c r="E387" s="72"/>
      <c r="F387" s="73"/>
      <c r="G387" s="72"/>
      <c r="H387" s="31"/>
      <c r="I387" s="85" t="str">
        <f>IF(Tabel1[[#This Row],[% uren 1:]]="","",Tabel1[[#This Row],[% uren 1:]]*Tabel1[[#This Row],[Totale uren:]])</f>
        <v/>
      </c>
      <c r="J387" s="68"/>
      <c r="K387" s="31"/>
      <c r="L387" s="86" t="str">
        <f>IF(Tabel1[[#This Row],[% uren 2:]]="","",Tabel1[[#This Row],[% uren 2:]]*Tabel1[[#This Row],[Totale uren:]])</f>
        <v/>
      </c>
      <c r="M387" s="72"/>
      <c r="N387" s="31"/>
      <c r="O387" s="85" t="str">
        <f>IF(Tabel1[[#This Row],[% uren 3:]]="","",Tabel1[[#This Row],[% uren 3:]]*Tabel1[[#This Row],[Totale uren:]])</f>
        <v/>
      </c>
      <c r="P387" s="138" t="str">
        <f>IF(Tabel1[[#This Row],[Ordernummer:]]="","",SUM(Tabel1[[#This Row],[% uren 1:]],Tabel1[[#This Row],[% uren 2:]],Tabel1[[#This Row],[% uren 3:]]))</f>
        <v/>
      </c>
      <c r="Q387" s="127"/>
      <c r="R387" s="128"/>
      <c r="S387" s="44"/>
      <c r="T387" s="25"/>
    </row>
    <row r="388" spans="2:20" x14ac:dyDescent="0.25">
      <c r="B388" s="7"/>
      <c r="C388" s="10"/>
      <c r="D388" s="10"/>
      <c r="E388" s="72"/>
      <c r="F388" s="73"/>
      <c r="G388" s="72"/>
      <c r="H388" s="31"/>
      <c r="I388" s="85" t="str">
        <f>IF(Tabel1[[#This Row],[% uren 1:]]="","",Tabel1[[#This Row],[% uren 1:]]*Tabel1[[#This Row],[Totale uren:]])</f>
        <v/>
      </c>
      <c r="J388" s="68"/>
      <c r="K388" s="31"/>
      <c r="L388" s="86" t="str">
        <f>IF(Tabel1[[#This Row],[% uren 2:]]="","",Tabel1[[#This Row],[% uren 2:]]*Tabel1[[#This Row],[Totale uren:]])</f>
        <v/>
      </c>
      <c r="M388" s="72"/>
      <c r="N388" s="31"/>
      <c r="O388" s="85" t="str">
        <f>IF(Tabel1[[#This Row],[% uren 3:]]="","",Tabel1[[#This Row],[% uren 3:]]*Tabel1[[#This Row],[Totale uren:]])</f>
        <v/>
      </c>
      <c r="P388" s="138" t="str">
        <f>IF(Tabel1[[#This Row],[Ordernummer:]]="","",SUM(Tabel1[[#This Row],[% uren 1:]],Tabel1[[#This Row],[% uren 2:]],Tabel1[[#This Row],[% uren 3:]]))</f>
        <v/>
      </c>
      <c r="Q388" s="127"/>
      <c r="R388" s="128"/>
      <c r="S388" s="44"/>
      <c r="T388" s="25"/>
    </row>
    <row r="389" spans="2:20" x14ac:dyDescent="0.25">
      <c r="B389" s="7"/>
      <c r="C389" s="10"/>
      <c r="D389" s="10"/>
      <c r="E389" s="72"/>
      <c r="F389" s="73"/>
      <c r="G389" s="72"/>
      <c r="H389" s="31"/>
      <c r="I389" s="85" t="str">
        <f>IF(Tabel1[[#This Row],[% uren 1:]]="","",Tabel1[[#This Row],[% uren 1:]]*Tabel1[[#This Row],[Totale uren:]])</f>
        <v/>
      </c>
      <c r="J389" s="68"/>
      <c r="K389" s="31"/>
      <c r="L389" s="86" t="str">
        <f>IF(Tabel1[[#This Row],[% uren 2:]]="","",Tabel1[[#This Row],[% uren 2:]]*Tabel1[[#This Row],[Totale uren:]])</f>
        <v/>
      </c>
      <c r="M389" s="72"/>
      <c r="N389" s="31"/>
      <c r="O389" s="85" t="str">
        <f>IF(Tabel1[[#This Row],[% uren 3:]]="","",Tabel1[[#This Row],[% uren 3:]]*Tabel1[[#This Row],[Totale uren:]])</f>
        <v/>
      </c>
      <c r="P389" s="138" t="str">
        <f>IF(Tabel1[[#This Row],[Ordernummer:]]="","",SUM(Tabel1[[#This Row],[% uren 1:]],Tabel1[[#This Row],[% uren 2:]],Tabel1[[#This Row],[% uren 3:]]))</f>
        <v/>
      </c>
      <c r="Q389" s="127"/>
      <c r="R389" s="128"/>
      <c r="S389" s="44"/>
      <c r="T389" s="25"/>
    </row>
    <row r="390" spans="2:20" x14ac:dyDescent="0.25">
      <c r="B390" s="7"/>
      <c r="C390" s="10"/>
      <c r="D390" s="10"/>
      <c r="E390" s="72"/>
      <c r="F390" s="73"/>
      <c r="G390" s="72"/>
      <c r="H390" s="31"/>
      <c r="I390" s="85" t="str">
        <f>IF(Tabel1[[#This Row],[% uren 1:]]="","",Tabel1[[#This Row],[% uren 1:]]*Tabel1[[#This Row],[Totale uren:]])</f>
        <v/>
      </c>
      <c r="J390" s="68"/>
      <c r="K390" s="31"/>
      <c r="L390" s="86" t="str">
        <f>IF(Tabel1[[#This Row],[% uren 2:]]="","",Tabel1[[#This Row],[% uren 2:]]*Tabel1[[#This Row],[Totale uren:]])</f>
        <v/>
      </c>
      <c r="M390" s="72"/>
      <c r="N390" s="31"/>
      <c r="O390" s="85" t="str">
        <f>IF(Tabel1[[#This Row],[% uren 3:]]="","",Tabel1[[#This Row],[% uren 3:]]*Tabel1[[#This Row],[Totale uren:]])</f>
        <v/>
      </c>
      <c r="P390" s="138" t="str">
        <f>IF(Tabel1[[#This Row],[Ordernummer:]]="","",SUM(Tabel1[[#This Row],[% uren 1:]],Tabel1[[#This Row],[% uren 2:]],Tabel1[[#This Row],[% uren 3:]]))</f>
        <v/>
      </c>
      <c r="Q390" s="127"/>
      <c r="R390" s="128"/>
      <c r="S390" s="44"/>
      <c r="T390" s="25"/>
    </row>
    <row r="391" spans="2:20" x14ac:dyDescent="0.25">
      <c r="B391" s="7"/>
      <c r="C391" s="10"/>
      <c r="D391" s="10"/>
      <c r="E391" s="72"/>
      <c r="F391" s="73"/>
      <c r="G391" s="72"/>
      <c r="H391" s="31"/>
      <c r="I391" s="85" t="str">
        <f>IF(Tabel1[[#This Row],[% uren 1:]]="","",Tabel1[[#This Row],[% uren 1:]]*Tabel1[[#This Row],[Totale uren:]])</f>
        <v/>
      </c>
      <c r="J391" s="68"/>
      <c r="K391" s="31"/>
      <c r="L391" s="86" t="str">
        <f>IF(Tabel1[[#This Row],[% uren 2:]]="","",Tabel1[[#This Row],[% uren 2:]]*Tabel1[[#This Row],[Totale uren:]])</f>
        <v/>
      </c>
      <c r="M391" s="72"/>
      <c r="N391" s="31"/>
      <c r="O391" s="85" t="str">
        <f>IF(Tabel1[[#This Row],[% uren 3:]]="","",Tabel1[[#This Row],[% uren 3:]]*Tabel1[[#This Row],[Totale uren:]])</f>
        <v/>
      </c>
      <c r="P391" s="138" t="str">
        <f>IF(Tabel1[[#This Row],[Ordernummer:]]="","",SUM(Tabel1[[#This Row],[% uren 1:]],Tabel1[[#This Row],[% uren 2:]],Tabel1[[#This Row],[% uren 3:]]))</f>
        <v/>
      </c>
      <c r="Q391" s="127"/>
      <c r="R391" s="128"/>
      <c r="S391" s="44"/>
      <c r="T391" s="25"/>
    </row>
    <row r="392" spans="2:20" x14ac:dyDescent="0.25">
      <c r="B392" s="7"/>
      <c r="C392" s="10"/>
      <c r="D392" s="10"/>
      <c r="E392" s="72"/>
      <c r="F392" s="73"/>
      <c r="G392" s="72"/>
      <c r="H392" s="31"/>
      <c r="I392" s="85" t="str">
        <f>IF(Tabel1[[#This Row],[% uren 1:]]="","",Tabel1[[#This Row],[% uren 1:]]*Tabel1[[#This Row],[Totale uren:]])</f>
        <v/>
      </c>
      <c r="J392" s="68"/>
      <c r="K392" s="31"/>
      <c r="L392" s="86" t="str">
        <f>IF(Tabel1[[#This Row],[% uren 2:]]="","",Tabel1[[#This Row],[% uren 2:]]*Tabel1[[#This Row],[Totale uren:]])</f>
        <v/>
      </c>
      <c r="M392" s="72"/>
      <c r="N392" s="31"/>
      <c r="O392" s="85" t="str">
        <f>IF(Tabel1[[#This Row],[% uren 3:]]="","",Tabel1[[#This Row],[% uren 3:]]*Tabel1[[#This Row],[Totale uren:]])</f>
        <v/>
      </c>
      <c r="P392" s="138" t="str">
        <f>IF(Tabel1[[#This Row],[Ordernummer:]]="","",SUM(Tabel1[[#This Row],[% uren 1:]],Tabel1[[#This Row],[% uren 2:]],Tabel1[[#This Row],[% uren 3:]]))</f>
        <v/>
      </c>
      <c r="Q392" s="127"/>
      <c r="R392" s="128"/>
      <c r="S392" s="44"/>
      <c r="T392" s="25"/>
    </row>
    <row r="393" spans="2:20" x14ac:dyDescent="0.25">
      <c r="B393" s="7"/>
      <c r="C393" s="10"/>
      <c r="D393" s="10"/>
      <c r="E393" s="72"/>
      <c r="F393" s="73"/>
      <c r="G393" s="72"/>
      <c r="H393" s="31"/>
      <c r="I393" s="85" t="str">
        <f>IF(Tabel1[[#This Row],[% uren 1:]]="","",Tabel1[[#This Row],[% uren 1:]]*Tabel1[[#This Row],[Totale uren:]])</f>
        <v/>
      </c>
      <c r="J393" s="68"/>
      <c r="K393" s="31"/>
      <c r="L393" s="86" t="str">
        <f>IF(Tabel1[[#This Row],[% uren 2:]]="","",Tabel1[[#This Row],[% uren 2:]]*Tabel1[[#This Row],[Totale uren:]])</f>
        <v/>
      </c>
      <c r="M393" s="72"/>
      <c r="N393" s="31"/>
      <c r="O393" s="85" t="str">
        <f>IF(Tabel1[[#This Row],[% uren 3:]]="","",Tabel1[[#This Row],[% uren 3:]]*Tabel1[[#This Row],[Totale uren:]])</f>
        <v/>
      </c>
      <c r="P393" s="138" t="str">
        <f>IF(Tabel1[[#This Row],[Ordernummer:]]="","",SUM(Tabel1[[#This Row],[% uren 1:]],Tabel1[[#This Row],[% uren 2:]],Tabel1[[#This Row],[% uren 3:]]))</f>
        <v/>
      </c>
      <c r="Q393" s="127"/>
      <c r="R393" s="128"/>
      <c r="S393" s="44"/>
      <c r="T393" s="25"/>
    </row>
    <row r="394" spans="2:20" x14ac:dyDescent="0.25">
      <c r="B394" s="7"/>
      <c r="C394" s="10"/>
      <c r="D394" s="10"/>
      <c r="E394" s="72"/>
      <c r="F394" s="73"/>
      <c r="G394" s="72"/>
      <c r="H394" s="31"/>
      <c r="I394" s="85" t="str">
        <f>IF(Tabel1[[#This Row],[% uren 1:]]="","",Tabel1[[#This Row],[% uren 1:]]*Tabel1[[#This Row],[Totale uren:]])</f>
        <v/>
      </c>
      <c r="J394" s="68"/>
      <c r="K394" s="31"/>
      <c r="L394" s="86" t="str">
        <f>IF(Tabel1[[#This Row],[% uren 2:]]="","",Tabel1[[#This Row],[% uren 2:]]*Tabel1[[#This Row],[Totale uren:]])</f>
        <v/>
      </c>
      <c r="M394" s="72"/>
      <c r="N394" s="31"/>
      <c r="O394" s="85" t="str">
        <f>IF(Tabel1[[#This Row],[% uren 3:]]="","",Tabel1[[#This Row],[% uren 3:]]*Tabel1[[#This Row],[Totale uren:]])</f>
        <v/>
      </c>
      <c r="P394" s="138" t="str">
        <f>IF(Tabel1[[#This Row],[Ordernummer:]]="","",SUM(Tabel1[[#This Row],[% uren 1:]],Tabel1[[#This Row],[% uren 2:]],Tabel1[[#This Row],[% uren 3:]]))</f>
        <v/>
      </c>
      <c r="Q394" s="127"/>
      <c r="R394" s="128"/>
      <c r="S394" s="44"/>
      <c r="T394" s="25"/>
    </row>
    <row r="395" spans="2:20" x14ac:dyDescent="0.25">
      <c r="B395" s="7"/>
      <c r="C395" s="10"/>
      <c r="D395" s="10"/>
      <c r="E395" s="72"/>
      <c r="F395" s="73"/>
      <c r="G395" s="72"/>
      <c r="H395" s="31"/>
      <c r="I395" s="85" t="str">
        <f>IF(Tabel1[[#This Row],[% uren 1:]]="","",Tabel1[[#This Row],[% uren 1:]]*Tabel1[[#This Row],[Totale uren:]])</f>
        <v/>
      </c>
      <c r="J395" s="68"/>
      <c r="K395" s="31"/>
      <c r="L395" s="86" t="str">
        <f>IF(Tabel1[[#This Row],[% uren 2:]]="","",Tabel1[[#This Row],[% uren 2:]]*Tabel1[[#This Row],[Totale uren:]])</f>
        <v/>
      </c>
      <c r="M395" s="72"/>
      <c r="N395" s="31"/>
      <c r="O395" s="85" t="str">
        <f>IF(Tabel1[[#This Row],[% uren 3:]]="","",Tabel1[[#This Row],[% uren 3:]]*Tabel1[[#This Row],[Totale uren:]])</f>
        <v/>
      </c>
      <c r="P395" s="138" t="str">
        <f>IF(Tabel1[[#This Row],[Ordernummer:]]="","",SUM(Tabel1[[#This Row],[% uren 1:]],Tabel1[[#This Row],[% uren 2:]],Tabel1[[#This Row],[% uren 3:]]))</f>
        <v/>
      </c>
      <c r="Q395" s="127"/>
      <c r="R395" s="128"/>
      <c r="S395" s="44"/>
      <c r="T395" s="25"/>
    </row>
    <row r="396" spans="2:20" x14ac:dyDescent="0.25">
      <c r="B396" s="7"/>
      <c r="C396" s="10"/>
      <c r="D396" s="10"/>
      <c r="E396" s="72"/>
      <c r="F396" s="73"/>
      <c r="G396" s="72"/>
      <c r="H396" s="31"/>
      <c r="I396" s="85" t="str">
        <f>IF(Tabel1[[#This Row],[% uren 1:]]="","",Tabel1[[#This Row],[% uren 1:]]*Tabel1[[#This Row],[Totale uren:]])</f>
        <v/>
      </c>
      <c r="J396" s="68"/>
      <c r="K396" s="31"/>
      <c r="L396" s="86" t="str">
        <f>IF(Tabel1[[#This Row],[% uren 2:]]="","",Tabel1[[#This Row],[% uren 2:]]*Tabel1[[#This Row],[Totale uren:]])</f>
        <v/>
      </c>
      <c r="M396" s="72"/>
      <c r="N396" s="31"/>
      <c r="O396" s="85" t="str">
        <f>IF(Tabel1[[#This Row],[% uren 3:]]="","",Tabel1[[#This Row],[% uren 3:]]*Tabel1[[#This Row],[Totale uren:]])</f>
        <v/>
      </c>
      <c r="P396" s="138" t="str">
        <f>IF(Tabel1[[#This Row],[Ordernummer:]]="","",SUM(Tabel1[[#This Row],[% uren 1:]],Tabel1[[#This Row],[% uren 2:]],Tabel1[[#This Row],[% uren 3:]]))</f>
        <v/>
      </c>
      <c r="Q396" s="127"/>
      <c r="R396" s="128"/>
      <c r="S396" s="44"/>
      <c r="T396" s="25"/>
    </row>
    <row r="397" spans="2:20" x14ac:dyDescent="0.25">
      <c r="B397" s="7"/>
      <c r="C397" s="10"/>
      <c r="D397" s="10"/>
      <c r="E397" s="72"/>
      <c r="F397" s="73"/>
      <c r="G397" s="72"/>
      <c r="H397" s="31"/>
      <c r="I397" s="85" t="str">
        <f>IF(Tabel1[[#This Row],[% uren 1:]]="","",Tabel1[[#This Row],[% uren 1:]]*Tabel1[[#This Row],[Totale uren:]])</f>
        <v/>
      </c>
      <c r="J397" s="68"/>
      <c r="K397" s="31"/>
      <c r="L397" s="86" t="str">
        <f>IF(Tabel1[[#This Row],[% uren 2:]]="","",Tabel1[[#This Row],[% uren 2:]]*Tabel1[[#This Row],[Totale uren:]])</f>
        <v/>
      </c>
      <c r="M397" s="72"/>
      <c r="N397" s="31"/>
      <c r="O397" s="85" t="str">
        <f>IF(Tabel1[[#This Row],[% uren 3:]]="","",Tabel1[[#This Row],[% uren 3:]]*Tabel1[[#This Row],[Totale uren:]])</f>
        <v/>
      </c>
      <c r="P397" s="138" t="str">
        <f>IF(Tabel1[[#This Row],[Ordernummer:]]="","",SUM(Tabel1[[#This Row],[% uren 1:]],Tabel1[[#This Row],[% uren 2:]],Tabel1[[#This Row],[% uren 3:]]))</f>
        <v/>
      </c>
      <c r="Q397" s="127"/>
      <c r="R397" s="128"/>
      <c r="S397" s="44"/>
      <c r="T397" s="25"/>
    </row>
    <row r="398" spans="2:20" x14ac:dyDescent="0.25">
      <c r="B398" s="7"/>
      <c r="C398" s="10"/>
      <c r="D398" s="10"/>
      <c r="E398" s="72"/>
      <c r="F398" s="73"/>
      <c r="G398" s="72"/>
      <c r="H398" s="31"/>
      <c r="I398" s="85" t="str">
        <f>IF(Tabel1[[#This Row],[% uren 1:]]="","",Tabel1[[#This Row],[% uren 1:]]*Tabel1[[#This Row],[Totale uren:]])</f>
        <v/>
      </c>
      <c r="J398" s="68"/>
      <c r="K398" s="31"/>
      <c r="L398" s="86" t="str">
        <f>IF(Tabel1[[#This Row],[% uren 2:]]="","",Tabel1[[#This Row],[% uren 2:]]*Tabel1[[#This Row],[Totale uren:]])</f>
        <v/>
      </c>
      <c r="M398" s="72"/>
      <c r="N398" s="31"/>
      <c r="O398" s="85" t="str">
        <f>IF(Tabel1[[#This Row],[% uren 3:]]="","",Tabel1[[#This Row],[% uren 3:]]*Tabel1[[#This Row],[Totale uren:]])</f>
        <v/>
      </c>
      <c r="P398" s="138" t="str">
        <f>IF(Tabel1[[#This Row],[Ordernummer:]]="","",SUM(Tabel1[[#This Row],[% uren 1:]],Tabel1[[#This Row],[% uren 2:]],Tabel1[[#This Row],[% uren 3:]]))</f>
        <v/>
      </c>
      <c r="Q398" s="127"/>
      <c r="R398" s="128"/>
      <c r="S398" s="44"/>
      <c r="T398" s="25"/>
    </row>
    <row r="399" spans="2:20" x14ac:dyDescent="0.25">
      <c r="B399" s="7"/>
      <c r="C399" s="10"/>
      <c r="D399" s="10"/>
      <c r="E399" s="72"/>
      <c r="F399" s="73"/>
      <c r="G399" s="72"/>
      <c r="H399" s="31"/>
      <c r="I399" s="85" t="str">
        <f>IF(Tabel1[[#This Row],[% uren 1:]]="","",Tabel1[[#This Row],[% uren 1:]]*Tabel1[[#This Row],[Totale uren:]])</f>
        <v/>
      </c>
      <c r="J399" s="68"/>
      <c r="K399" s="31"/>
      <c r="L399" s="86" t="str">
        <f>IF(Tabel1[[#This Row],[% uren 2:]]="","",Tabel1[[#This Row],[% uren 2:]]*Tabel1[[#This Row],[Totale uren:]])</f>
        <v/>
      </c>
      <c r="M399" s="72"/>
      <c r="N399" s="31"/>
      <c r="O399" s="85" t="str">
        <f>IF(Tabel1[[#This Row],[% uren 3:]]="","",Tabel1[[#This Row],[% uren 3:]]*Tabel1[[#This Row],[Totale uren:]])</f>
        <v/>
      </c>
      <c r="P399" s="138" t="str">
        <f>IF(Tabel1[[#This Row],[Ordernummer:]]="","",SUM(Tabel1[[#This Row],[% uren 1:]],Tabel1[[#This Row],[% uren 2:]],Tabel1[[#This Row],[% uren 3:]]))</f>
        <v/>
      </c>
      <c r="Q399" s="127"/>
      <c r="R399" s="128"/>
      <c r="S399" s="44"/>
      <c r="T399" s="25"/>
    </row>
    <row r="400" spans="2:20" x14ac:dyDescent="0.25">
      <c r="B400" s="7"/>
      <c r="C400" s="10"/>
      <c r="D400" s="10"/>
      <c r="E400" s="72"/>
      <c r="F400" s="73"/>
      <c r="G400" s="72"/>
      <c r="H400" s="31"/>
      <c r="I400" s="85" t="str">
        <f>IF(Tabel1[[#This Row],[% uren 1:]]="","",Tabel1[[#This Row],[% uren 1:]]*Tabel1[[#This Row],[Totale uren:]])</f>
        <v/>
      </c>
      <c r="J400" s="68"/>
      <c r="K400" s="31"/>
      <c r="L400" s="86" t="str">
        <f>IF(Tabel1[[#This Row],[% uren 2:]]="","",Tabel1[[#This Row],[% uren 2:]]*Tabel1[[#This Row],[Totale uren:]])</f>
        <v/>
      </c>
      <c r="M400" s="72"/>
      <c r="N400" s="31"/>
      <c r="O400" s="85" t="str">
        <f>IF(Tabel1[[#This Row],[% uren 3:]]="","",Tabel1[[#This Row],[% uren 3:]]*Tabel1[[#This Row],[Totale uren:]])</f>
        <v/>
      </c>
      <c r="P400" s="138" t="str">
        <f>IF(Tabel1[[#This Row],[Ordernummer:]]="","",SUM(Tabel1[[#This Row],[% uren 1:]],Tabel1[[#This Row],[% uren 2:]],Tabel1[[#This Row],[% uren 3:]]))</f>
        <v/>
      </c>
      <c r="Q400" s="127"/>
      <c r="R400" s="128"/>
      <c r="S400" s="44"/>
      <c r="T400" s="25"/>
    </row>
    <row r="401" spans="2:20" x14ac:dyDescent="0.25">
      <c r="B401" s="7"/>
      <c r="C401" s="10"/>
      <c r="D401" s="10"/>
      <c r="E401" s="72"/>
      <c r="F401" s="73"/>
      <c r="G401" s="72"/>
      <c r="H401" s="31"/>
      <c r="I401" s="85" t="str">
        <f>IF(Tabel1[[#This Row],[% uren 1:]]="","",Tabel1[[#This Row],[% uren 1:]]*Tabel1[[#This Row],[Totale uren:]])</f>
        <v/>
      </c>
      <c r="J401" s="68"/>
      <c r="K401" s="31"/>
      <c r="L401" s="86" t="str">
        <f>IF(Tabel1[[#This Row],[% uren 2:]]="","",Tabel1[[#This Row],[% uren 2:]]*Tabel1[[#This Row],[Totale uren:]])</f>
        <v/>
      </c>
      <c r="M401" s="72"/>
      <c r="N401" s="31"/>
      <c r="O401" s="85" t="str">
        <f>IF(Tabel1[[#This Row],[% uren 3:]]="","",Tabel1[[#This Row],[% uren 3:]]*Tabel1[[#This Row],[Totale uren:]])</f>
        <v/>
      </c>
      <c r="P401" s="138" t="str">
        <f>IF(Tabel1[[#This Row],[Ordernummer:]]="","",SUM(Tabel1[[#This Row],[% uren 1:]],Tabel1[[#This Row],[% uren 2:]],Tabel1[[#This Row],[% uren 3:]]))</f>
        <v/>
      </c>
      <c r="Q401" s="127"/>
      <c r="R401" s="128"/>
      <c r="S401" s="44"/>
      <c r="T401" s="25"/>
    </row>
    <row r="402" spans="2:20" x14ac:dyDescent="0.25">
      <c r="B402" s="7"/>
      <c r="C402" s="10"/>
      <c r="D402" s="10"/>
      <c r="E402" s="72"/>
      <c r="F402" s="73"/>
      <c r="G402" s="72"/>
      <c r="H402" s="31"/>
      <c r="I402" s="85" t="str">
        <f>IF(Tabel1[[#This Row],[% uren 1:]]="","",Tabel1[[#This Row],[% uren 1:]]*Tabel1[[#This Row],[Totale uren:]])</f>
        <v/>
      </c>
      <c r="J402" s="68"/>
      <c r="K402" s="31"/>
      <c r="L402" s="86" t="str">
        <f>IF(Tabel1[[#This Row],[% uren 2:]]="","",Tabel1[[#This Row],[% uren 2:]]*Tabel1[[#This Row],[Totale uren:]])</f>
        <v/>
      </c>
      <c r="M402" s="72"/>
      <c r="N402" s="31"/>
      <c r="O402" s="85" t="str">
        <f>IF(Tabel1[[#This Row],[% uren 3:]]="","",Tabel1[[#This Row],[% uren 3:]]*Tabel1[[#This Row],[Totale uren:]])</f>
        <v/>
      </c>
      <c r="P402" s="138" t="str">
        <f>IF(Tabel1[[#This Row],[Ordernummer:]]="","",SUM(Tabel1[[#This Row],[% uren 1:]],Tabel1[[#This Row],[% uren 2:]],Tabel1[[#This Row],[% uren 3:]]))</f>
        <v/>
      </c>
      <c r="Q402" s="127"/>
      <c r="R402" s="128"/>
      <c r="S402" s="44"/>
      <c r="T402" s="25"/>
    </row>
    <row r="403" spans="2:20" x14ac:dyDescent="0.25">
      <c r="B403" s="7"/>
      <c r="C403" s="10"/>
      <c r="D403" s="10"/>
      <c r="E403" s="72"/>
      <c r="F403" s="73"/>
      <c r="G403" s="72"/>
      <c r="H403" s="31"/>
      <c r="I403" s="85" t="str">
        <f>IF(Tabel1[[#This Row],[% uren 1:]]="","",Tabel1[[#This Row],[% uren 1:]]*Tabel1[[#This Row],[Totale uren:]])</f>
        <v/>
      </c>
      <c r="J403" s="68"/>
      <c r="K403" s="31"/>
      <c r="L403" s="86" t="str">
        <f>IF(Tabel1[[#This Row],[% uren 2:]]="","",Tabel1[[#This Row],[% uren 2:]]*Tabel1[[#This Row],[Totale uren:]])</f>
        <v/>
      </c>
      <c r="M403" s="72"/>
      <c r="N403" s="31"/>
      <c r="O403" s="85" t="str">
        <f>IF(Tabel1[[#This Row],[% uren 3:]]="","",Tabel1[[#This Row],[% uren 3:]]*Tabel1[[#This Row],[Totale uren:]])</f>
        <v/>
      </c>
      <c r="P403" s="138" t="str">
        <f>IF(Tabel1[[#This Row],[Ordernummer:]]="","",SUM(Tabel1[[#This Row],[% uren 1:]],Tabel1[[#This Row],[% uren 2:]],Tabel1[[#This Row],[% uren 3:]]))</f>
        <v/>
      </c>
      <c r="Q403" s="127"/>
      <c r="R403" s="128"/>
      <c r="S403" s="44"/>
      <c r="T403" s="25"/>
    </row>
    <row r="404" spans="2:20" x14ac:dyDescent="0.25">
      <c r="B404" s="7"/>
      <c r="C404" s="10"/>
      <c r="D404" s="10"/>
      <c r="E404" s="72"/>
      <c r="F404" s="73"/>
      <c r="G404" s="72"/>
      <c r="H404" s="31"/>
      <c r="I404" s="85" t="str">
        <f>IF(Tabel1[[#This Row],[% uren 1:]]="","",Tabel1[[#This Row],[% uren 1:]]*Tabel1[[#This Row],[Totale uren:]])</f>
        <v/>
      </c>
      <c r="J404" s="68"/>
      <c r="K404" s="31"/>
      <c r="L404" s="86" t="str">
        <f>IF(Tabel1[[#This Row],[% uren 2:]]="","",Tabel1[[#This Row],[% uren 2:]]*Tabel1[[#This Row],[Totale uren:]])</f>
        <v/>
      </c>
      <c r="M404" s="72"/>
      <c r="N404" s="31"/>
      <c r="O404" s="85" t="str">
        <f>IF(Tabel1[[#This Row],[% uren 3:]]="","",Tabel1[[#This Row],[% uren 3:]]*Tabel1[[#This Row],[Totale uren:]])</f>
        <v/>
      </c>
      <c r="P404" s="138" t="str">
        <f>IF(Tabel1[[#This Row],[Ordernummer:]]="","",SUM(Tabel1[[#This Row],[% uren 1:]],Tabel1[[#This Row],[% uren 2:]],Tabel1[[#This Row],[% uren 3:]]))</f>
        <v/>
      </c>
      <c r="Q404" s="127"/>
      <c r="R404" s="128"/>
      <c r="S404" s="44"/>
      <c r="T404" s="25"/>
    </row>
    <row r="405" spans="2:20" x14ac:dyDescent="0.25">
      <c r="B405" s="7"/>
      <c r="C405" s="10"/>
      <c r="D405" s="10"/>
      <c r="E405" s="72"/>
      <c r="F405" s="73"/>
      <c r="G405" s="72"/>
      <c r="H405" s="31"/>
      <c r="I405" s="85" t="str">
        <f>IF(Tabel1[[#This Row],[% uren 1:]]="","",Tabel1[[#This Row],[% uren 1:]]*Tabel1[[#This Row],[Totale uren:]])</f>
        <v/>
      </c>
      <c r="J405" s="68"/>
      <c r="K405" s="31"/>
      <c r="L405" s="86" t="str">
        <f>IF(Tabel1[[#This Row],[% uren 2:]]="","",Tabel1[[#This Row],[% uren 2:]]*Tabel1[[#This Row],[Totale uren:]])</f>
        <v/>
      </c>
      <c r="M405" s="72"/>
      <c r="N405" s="31"/>
      <c r="O405" s="85" t="str">
        <f>IF(Tabel1[[#This Row],[% uren 3:]]="","",Tabel1[[#This Row],[% uren 3:]]*Tabel1[[#This Row],[Totale uren:]])</f>
        <v/>
      </c>
      <c r="P405" s="138" t="str">
        <f>IF(Tabel1[[#This Row],[Ordernummer:]]="","",SUM(Tabel1[[#This Row],[% uren 1:]],Tabel1[[#This Row],[% uren 2:]],Tabel1[[#This Row],[% uren 3:]]))</f>
        <v/>
      </c>
      <c r="Q405" s="127"/>
      <c r="R405" s="128"/>
      <c r="S405" s="44"/>
      <c r="T405" s="25"/>
    </row>
    <row r="406" spans="2:20" x14ac:dyDescent="0.25">
      <c r="B406" s="7"/>
      <c r="C406" s="10"/>
      <c r="D406" s="10"/>
      <c r="E406" s="72"/>
      <c r="F406" s="73"/>
      <c r="G406" s="72"/>
      <c r="H406" s="31"/>
      <c r="I406" s="85" t="str">
        <f>IF(Tabel1[[#This Row],[% uren 1:]]="","",Tabel1[[#This Row],[% uren 1:]]*Tabel1[[#This Row],[Totale uren:]])</f>
        <v/>
      </c>
      <c r="J406" s="68"/>
      <c r="K406" s="31"/>
      <c r="L406" s="86" t="str">
        <f>IF(Tabel1[[#This Row],[% uren 2:]]="","",Tabel1[[#This Row],[% uren 2:]]*Tabel1[[#This Row],[Totale uren:]])</f>
        <v/>
      </c>
      <c r="M406" s="72"/>
      <c r="N406" s="31"/>
      <c r="O406" s="85" t="str">
        <f>IF(Tabel1[[#This Row],[% uren 3:]]="","",Tabel1[[#This Row],[% uren 3:]]*Tabel1[[#This Row],[Totale uren:]])</f>
        <v/>
      </c>
      <c r="P406" s="138" t="str">
        <f>IF(Tabel1[[#This Row],[Ordernummer:]]="","",SUM(Tabel1[[#This Row],[% uren 1:]],Tabel1[[#This Row],[% uren 2:]],Tabel1[[#This Row],[% uren 3:]]))</f>
        <v/>
      </c>
      <c r="Q406" s="127"/>
      <c r="R406" s="128"/>
      <c r="S406" s="44"/>
      <c r="T406" s="25"/>
    </row>
    <row r="407" spans="2:20" x14ac:dyDescent="0.25">
      <c r="B407" s="7"/>
      <c r="C407" s="10"/>
      <c r="D407" s="10"/>
      <c r="E407" s="72"/>
      <c r="F407" s="73"/>
      <c r="G407" s="72"/>
      <c r="H407" s="31"/>
      <c r="I407" s="85" t="str">
        <f>IF(Tabel1[[#This Row],[% uren 1:]]="","",Tabel1[[#This Row],[% uren 1:]]*Tabel1[[#This Row],[Totale uren:]])</f>
        <v/>
      </c>
      <c r="J407" s="68"/>
      <c r="K407" s="31"/>
      <c r="L407" s="86" t="str">
        <f>IF(Tabel1[[#This Row],[% uren 2:]]="","",Tabel1[[#This Row],[% uren 2:]]*Tabel1[[#This Row],[Totale uren:]])</f>
        <v/>
      </c>
      <c r="M407" s="72"/>
      <c r="N407" s="31"/>
      <c r="O407" s="85" t="str">
        <f>IF(Tabel1[[#This Row],[% uren 3:]]="","",Tabel1[[#This Row],[% uren 3:]]*Tabel1[[#This Row],[Totale uren:]])</f>
        <v/>
      </c>
      <c r="P407" s="138" t="str">
        <f>IF(Tabel1[[#This Row],[Ordernummer:]]="","",SUM(Tabel1[[#This Row],[% uren 1:]],Tabel1[[#This Row],[% uren 2:]],Tabel1[[#This Row],[% uren 3:]]))</f>
        <v/>
      </c>
      <c r="Q407" s="127"/>
      <c r="R407" s="128"/>
      <c r="S407" s="44"/>
      <c r="T407" s="25"/>
    </row>
    <row r="408" spans="2:20" x14ac:dyDescent="0.25">
      <c r="B408" s="7"/>
      <c r="C408" s="10"/>
      <c r="D408" s="10"/>
      <c r="E408" s="72"/>
      <c r="F408" s="73"/>
      <c r="G408" s="72"/>
      <c r="H408" s="31"/>
      <c r="I408" s="85" t="str">
        <f>IF(Tabel1[[#This Row],[% uren 1:]]="","",Tabel1[[#This Row],[% uren 1:]]*Tabel1[[#This Row],[Totale uren:]])</f>
        <v/>
      </c>
      <c r="J408" s="68"/>
      <c r="K408" s="31"/>
      <c r="L408" s="86" t="str">
        <f>IF(Tabel1[[#This Row],[% uren 2:]]="","",Tabel1[[#This Row],[% uren 2:]]*Tabel1[[#This Row],[Totale uren:]])</f>
        <v/>
      </c>
      <c r="M408" s="72"/>
      <c r="N408" s="31"/>
      <c r="O408" s="85" t="str">
        <f>IF(Tabel1[[#This Row],[% uren 3:]]="","",Tabel1[[#This Row],[% uren 3:]]*Tabel1[[#This Row],[Totale uren:]])</f>
        <v/>
      </c>
      <c r="P408" s="138" t="str">
        <f>IF(Tabel1[[#This Row],[Ordernummer:]]="","",SUM(Tabel1[[#This Row],[% uren 1:]],Tabel1[[#This Row],[% uren 2:]],Tabel1[[#This Row],[% uren 3:]]))</f>
        <v/>
      </c>
      <c r="Q408" s="127"/>
      <c r="R408" s="128"/>
      <c r="S408" s="44"/>
      <c r="T408" s="25"/>
    </row>
    <row r="409" spans="2:20" x14ac:dyDescent="0.25">
      <c r="B409" s="7"/>
      <c r="C409" s="10"/>
      <c r="D409" s="10"/>
      <c r="E409" s="72"/>
      <c r="F409" s="73"/>
      <c r="G409" s="72"/>
      <c r="H409" s="31"/>
      <c r="I409" s="85" t="str">
        <f>IF(Tabel1[[#This Row],[% uren 1:]]="","",Tabel1[[#This Row],[% uren 1:]]*Tabel1[[#This Row],[Totale uren:]])</f>
        <v/>
      </c>
      <c r="J409" s="68"/>
      <c r="K409" s="31"/>
      <c r="L409" s="86" t="str">
        <f>IF(Tabel1[[#This Row],[% uren 2:]]="","",Tabel1[[#This Row],[% uren 2:]]*Tabel1[[#This Row],[Totale uren:]])</f>
        <v/>
      </c>
      <c r="M409" s="72"/>
      <c r="N409" s="31"/>
      <c r="O409" s="85" t="str">
        <f>IF(Tabel1[[#This Row],[% uren 3:]]="","",Tabel1[[#This Row],[% uren 3:]]*Tabel1[[#This Row],[Totale uren:]])</f>
        <v/>
      </c>
      <c r="P409" s="138" t="str">
        <f>IF(Tabel1[[#This Row],[Ordernummer:]]="","",SUM(Tabel1[[#This Row],[% uren 1:]],Tabel1[[#This Row],[% uren 2:]],Tabel1[[#This Row],[% uren 3:]]))</f>
        <v/>
      </c>
      <c r="Q409" s="127"/>
      <c r="R409" s="128"/>
      <c r="S409" s="44"/>
      <c r="T409" s="25"/>
    </row>
    <row r="410" spans="2:20" x14ac:dyDescent="0.25">
      <c r="B410" s="7"/>
      <c r="C410" s="10"/>
      <c r="D410" s="10"/>
      <c r="E410" s="72"/>
      <c r="F410" s="73"/>
      <c r="G410" s="72"/>
      <c r="H410" s="31"/>
      <c r="I410" s="85" t="str">
        <f>IF(Tabel1[[#This Row],[% uren 1:]]="","",Tabel1[[#This Row],[% uren 1:]]*Tabel1[[#This Row],[Totale uren:]])</f>
        <v/>
      </c>
      <c r="J410" s="68"/>
      <c r="K410" s="31"/>
      <c r="L410" s="86" t="str">
        <f>IF(Tabel1[[#This Row],[% uren 2:]]="","",Tabel1[[#This Row],[% uren 2:]]*Tabel1[[#This Row],[Totale uren:]])</f>
        <v/>
      </c>
      <c r="M410" s="72"/>
      <c r="N410" s="31"/>
      <c r="O410" s="85" t="str">
        <f>IF(Tabel1[[#This Row],[% uren 3:]]="","",Tabel1[[#This Row],[% uren 3:]]*Tabel1[[#This Row],[Totale uren:]])</f>
        <v/>
      </c>
      <c r="P410" s="138" t="str">
        <f>IF(Tabel1[[#This Row],[Ordernummer:]]="","",SUM(Tabel1[[#This Row],[% uren 1:]],Tabel1[[#This Row],[% uren 2:]],Tabel1[[#This Row],[% uren 3:]]))</f>
        <v/>
      </c>
      <c r="Q410" s="127"/>
      <c r="R410" s="128"/>
      <c r="S410" s="44"/>
      <c r="T410" s="25"/>
    </row>
    <row r="411" spans="2:20" x14ac:dyDescent="0.25">
      <c r="B411" s="7"/>
      <c r="C411" s="10"/>
      <c r="D411" s="10"/>
      <c r="E411" s="72"/>
      <c r="F411" s="73"/>
      <c r="G411" s="72"/>
      <c r="H411" s="31"/>
      <c r="I411" s="85" t="str">
        <f>IF(Tabel1[[#This Row],[% uren 1:]]="","",Tabel1[[#This Row],[% uren 1:]]*Tabel1[[#This Row],[Totale uren:]])</f>
        <v/>
      </c>
      <c r="J411" s="68"/>
      <c r="K411" s="31"/>
      <c r="L411" s="86" t="str">
        <f>IF(Tabel1[[#This Row],[% uren 2:]]="","",Tabel1[[#This Row],[% uren 2:]]*Tabel1[[#This Row],[Totale uren:]])</f>
        <v/>
      </c>
      <c r="M411" s="72"/>
      <c r="N411" s="31"/>
      <c r="O411" s="85" t="str">
        <f>IF(Tabel1[[#This Row],[% uren 3:]]="","",Tabel1[[#This Row],[% uren 3:]]*Tabel1[[#This Row],[Totale uren:]])</f>
        <v/>
      </c>
      <c r="P411" s="138" t="str">
        <f>IF(Tabel1[[#This Row],[Ordernummer:]]="","",SUM(Tabel1[[#This Row],[% uren 1:]],Tabel1[[#This Row],[% uren 2:]],Tabel1[[#This Row],[% uren 3:]]))</f>
        <v/>
      </c>
      <c r="Q411" s="127"/>
      <c r="R411" s="128"/>
      <c r="S411" s="44"/>
      <c r="T411" s="25"/>
    </row>
    <row r="412" spans="2:20" x14ac:dyDescent="0.25">
      <c r="B412" s="7"/>
      <c r="C412" s="10"/>
      <c r="D412" s="10"/>
      <c r="E412" s="72"/>
      <c r="F412" s="73"/>
      <c r="G412" s="72"/>
      <c r="H412" s="31"/>
      <c r="I412" s="85" t="str">
        <f>IF(Tabel1[[#This Row],[% uren 1:]]="","",Tabel1[[#This Row],[% uren 1:]]*Tabel1[[#This Row],[Totale uren:]])</f>
        <v/>
      </c>
      <c r="J412" s="68"/>
      <c r="K412" s="31"/>
      <c r="L412" s="86" t="str">
        <f>IF(Tabel1[[#This Row],[% uren 2:]]="","",Tabel1[[#This Row],[% uren 2:]]*Tabel1[[#This Row],[Totale uren:]])</f>
        <v/>
      </c>
      <c r="M412" s="72"/>
      <c r="N412" s="31"/>
      <c r="O412" s="85" t="str">
        <f>IF(Tabel1[[#This Row],[% uren 3:]]="","",Tabel1[[#This Row],[% uren 3:]]*Tabel1[[#This Row],[Totale uren:]])</f>
        <v/>
      </c>
      <c r="P412" s="138" t="str">
        <f>IF(Tabel1[[#This Row],[Ordernummer:]]="","",SUM(Tabel1[[#This Row],[% uren 1:]],Tabel1[[#This Row],[% uren 2:]],Tabel1[[#This Row],[% uren 3:]]))</f>
        <v/>
      </c>
      <c r="Q412" s="127"/>
      <c r="R412" s="128"/>
      <c r="S412" s="44"/>
      <c r="T412" s="25"/>
    </row>
    <row r="413" spans="2:20" x14ac:dyDescent="0.25">
      <c r="B413" s="7"/>
      <c r="C413" s="10"/>
      <c r="D413" s="10"/>
      <c r="E413" s="72"/>
      <c r="F413" s="73"/>
      <c r="G413" s="72"/>
      <c r="H413" s="31"/>
      <c r="I413" s="85" t="str">
        <f>IF(Tabel1[[#This Row],[% uren 1:]]="","",Tabel1[[#This Row],[% uren 1:]]*Tabel1[[#This Row],[Totale uren:]])</f>
        <v/>
      </c>
      <c r="J413" s="68"/>
      <c r="K413" s="31"/>
      <c r="L413" s="86" t="str">
        <f>IF(Tabel1[[#This Row],[% uren 2:]]="","",Tabel1[[#This Row],[% uren 2:]]*Tabel1[[#This Row],[Totale uren:]])</f>
        <v/>
      </c>
      <c r="M413" s="72"/>
      <c r="N413" s="31"/>
      <c r="O413" s="85" t="str">
        <f>IF(Tabel1[[#This Row],[% uren 3:]]="","",Tabel1[[#This Row],[% uren 3:]]*Tabel1[[#This Row],[Totale uren:]])</f>
        <v/>
      </c>
      <c r="P413" s="138" t="str">
        <f>IF(Tabel1[[#This Row],[Ordernummer:]]="","",SUM(Tabel1[[#This Row],[% uren 1:]],Tabel1[[#This Row],[% uren 2:]],Tabel1[[#This Row],[% uren 3:]]))</f>
        <v/>
      </c>
      <c r="Q413" s="127"/>
      <c r="R413" s="128"/>
      <c r="S413" s="44"/>
      <c r="T413" s="25"/>
    </row>
    <row r="414" spans="2:20" x14ac:dyDescent="0.25">
      <c r="B414" s="7"/>
      <c r="C414" s="10"/>
      <c r="D414" s="10"/>
      <c r="E414" s="72"/>
      <c r="F414" s="73"/>
      <c r="G414" s="72"/>
      <c r="H414" s="31"/>
      <c r="I414" s="85" t="str">
        <f>IF(Tabel1[[#This Row],[% uren 1:]]="","",Tabel1[[#This Row],[% uren 1:]]*Tabel1[[#This Row],[Totale uren:]])</f>
        <v/>
      </c>
      <c r="J414" s="68"/>
      <c r="K414" s="31"/>
      <c r="L414" s="86" t="str">
        <f>IF(Tabel1[[#This Row],[% uren 2:]]="","",Tabel1[[#This Row],[% uren 2:]]*Tabel1[[#This Row],[Totale uren:]])</f>
        <v/>
      </c>
      <c r="M414" s="72"/>
      <c r="N414" s="31"/>
      <c r="O414" s="85" t="str">
        <f>IF(Tabel1[[#This Row],[% uren 3:]]="","",Tabel1[[#This Row],[% uren 3:]]*Tabel1[[#This Row],[Totale uren:]])</f>
        <v/>
      </c>
      <c r="P414" s="138" t="str">
        <f>IF(Tabel1[[#This Row],[Ordernummer:]]="","",SUM(Tabel1[[#This Row],[% uren 1:]],Tabel1[[#This Row],[% uren 2:]],Tabel1[[#This Row],[% uren 3:]]))</f>
        <v/>
      </c>
      <c r="Q414" s="127"/>
      <c r="R414" s="128"/>
      <c r="S414" s="44"/>
      <c r="T414" s="25"/>
    </row>
    <row r="415" spans="2:20" x14ac:dyDescent="0.25">
      <c r="B415" s="7"/>
      <c r="C415" s="10"/>
      <c r="D415" s="10"/>
      <c r="E415" s="72"/>
      <c r="F415" s="73"/>
      <c r="G415" s="72"/>
      <c r="H415" s="31"/>
      <c r="I415" s="85" t="str">
        <f>IF(Tabel1[[#This Row],[% uren 1:]]="","",Tabel1[[#This Row],[% uren 1:]]*Tabel1[[#This Row],[Totale uren:]])</f>
        <v/>
      </c>
      <c r="J415" s="68"/>
      <c r="K415" s="31"/>
      <c r="L415" s="86" t="str">
        <f>IF(Tabel1[[#This Row],[% uren 2:]]="","",Tabel1[[#This Row],[% uren 2:]]*Tabel1[[#This Row],[Totale uren:]])</f>
        <v/>
      </c>
      <c r="M415" s="72"/>
      <c r="N415" s="31"/>
      <c r="O415" s="85" t="str">
        <f>IF(Tabel1[[#This Row],[% uren 3:]]="","",Tabel1[[#This Row],[% uren 3:]]*Tabel1[[#This Row],[Totale uren:]])</f>
        <v/>
      </c>
      <c r="P415" s="138" t="str">
        <f>IF(Tabel1[[#This Row],[Ordernummer:]]="","",SUM(Tabel1[[#This Row],[% uren 1:]],Tabel1[[#This Row],[% uren 2:]],Tabel1[[#This Row],[% uren 3:]]))</f>
        <v/>
      </c>
      <c r="Q415" s="127"/>
      <c r="R415" s="128"/>
      <c r="S415" s="44"/>
      <c r="T415" s="25"/>
    </row>
    <row r="416" spans="2:20" x14ac:dyDescent="0.25">
      <c r="B416" s="7"/>
      <c r="C416" s="10"/>
      <c r="D416" s="10"/>
      <c r="E416" s="72"/>
      <c r="F416" s="73"/>
      <c r="G416" s="72"/>
      <c r="H416" s="31"/>
      <c r="I416" s="85" t="str">
        <f>IF(Tabel1[[#This Row],[% uren 1:]]="","",Tabel1[[#This Row],[% uren 1:]]*Tabel1[[#This Row],[Totale uren:]])</f>
        <v/>
      </c>
      <c r="J416" s="68"/>
      <c r="K416" s="31"/>
      <c r="L416" s="86" t="str">
        <f>IF(Tabel1[[#This Row],[% uren 2:]]="","",Tabel1[[#This Row],[% uren 2:]]*Tabel1[[#This Row],[Totale uren:]])</f>
        <v/>
      </c>
      <c r="M416" s="72"/>
      <c r="N416" s="31"/>
      <c r="O416" s="85" t="str">
        <f>IF(Tabel1[[#This Row],[% uren 3:]]="","",Tabel1[[#This Row],[% uren 3:]]*Tabel1[[#This Row],[Totale uren:]])</f>
        <v/>
      </c>
      <c r="P416" s="138" t="str">
        <f>IF(Tabel1[[#This Row],[Ordernummer:]]="","",SUM(Tabel1[[#This Row],[% uren 1:]],Tabel1[[#This Row],[% uren 2:]],Tabel1[[#This Row],[% uren 3:]]))</f>
        <v/>
      </c>
      <c r="Q416" s="127"/>
      <c r="R416" s="128"/>
      <c r="S416" s="44"/>
      <c r="T416" s="25"/>
    </row>
    <row r="417" spans="2:20" x14ac:dyDescent="0.25">
      <c r="B417" s="7"/>
      <c r="C417" s="10"/>
      <c r="D417" s="10"/>
      <c r="E417" s="72"/>
      <c r="F417" s="73"/>
      <c r="G417" s="72"/>
      <c r="H417" s="31"/>
      <c r="I417" s="85" t="str">
        <f>IF(Tabel1[[#This Row],[% uren 1:]]="","",Tabel1[[#This Row],[% uren 1:]]*Tabel1[[#This Row],[Totale uren:]])</f>
        <v/>
      </c>
      <c r="J417" s="68"/>
      <c r="K417" s="31"/>
      <c r="L417" s="86" t="str">
        <f>IF(Tabel1[[#This Row],[% uren 2:]]="","",Tabel1[[#This Row],[% uren 2:]]*Tabel1[[#This Row],[Totale uren:]])</f>
        <v/>
      </c>
      <c r="M417" s="72"/>
      <c r="N417" s="31"/>
      <c r="O417" s="85" t="str">
        <f>IF(Tabel1[[#This Row],[% uren 3:]]="","",Tabel1[[#This Row],[% uren 3:]]*Tabel1[[#This Row],[Totale uren:]])</f>
        <v/>
      </c>
      <c r="P417" s="138" t="str">
        <f>IF(Tabel1[[#This Row],[Ordernummer:]]="","",SUM(Tabel1[[#This Row],[% uren 1:]],Tabel1[[#This Row],[% uren 2:]],Tabel1[[#This Row],[% uren 3:]]))</f>
        <v/>
      </c>
      <c r="Q417" s="127"/>
      <c r="R417" s="128"/>
      <c r="S417" s="44"/>
      <c r="T417" s="25"/>
    </row>
    <row r="418" spans="2:20" x14ac:dyDescent="0.25">
      <c r="B418" s="7"/>
      <c r="C418" s="10"/>
      <c r="D418" s="10"/>
      <c r="E418" s="72"/>
      <c r="F418" s="73"/>
      <c r="G418" s="72"/>
      <c r="H418" s="31"/>
      <c r="I418" s="85" t="str">
        <f>IF(Tabel1[[#This Row],[% uren 1:]]="","",Tabel1[[#This Row],[% uren 1:]]*Tabel1[[#This Row],[Totale uren:]])</f>
        <v/>
      </c>
      <c r="J418" s="68"/>
      <c r="K418" s="31"/>
      <c r="L418" s="86" t="str">
        <f>IF(Tabel1[[#This Row],[% uren 2:]]="","",Tabel1[[#This Row],[% uren 2:]]*Tabel1[[#This Row],[Totale uren:]])</f>
        <v/>
      </c>
      <c r="M418" s="72"/>
      <c r="N418" s="31"/>
      <c r="O418" s="85" t="str">
        <f>IF(Tabel1[[#This Row],[% uren 3:]]="","",Tabel1[[#This Row],[% uren 3:]]*Tabel1[[#This Row],[Totale uren:]])</f>
        <v/>
      </c>
      <c r="P418" s="138" t="str">
        <f>IF(Tabel1[[#This Row],[Ordernummer:]]="","",SUM(Tabel1[[#This Row],[% uren 1:]],Tabel1[[#This Row],[% uren 2:]],Tabel1[[#This Row],[% uren 3:]]))</f>
        <v/>
      </c>
      <c r="Q418" s="127"/>
      <c r="R418" s="128"/>
      <c r="S418" s="44"/>
      <c r="T418" s="25"/>
    </row>
    <row r="419" spans="2:20" x14ac:dyDescent="0.25">
      <c r="B419" s="7"/>
      <c r="C419" s="10"/>
      <c r="D419" s="10"/>
      <c r="E419" s="72"/>
      <c r="F419" s="73"/>
      <c r="G419" s="72"/>
      <c r="H419" s="31"/>
      <c r="I419" s="85" t="str">
        <f>IF(Tabel1[[#This Row],[% uren 1:]]="","",Tabel1[[#This Row],[% uren 1:]]*Tabel1[[#This Row],[Totale uren:]])</f>
        <v/>
      </c>
      <c r="J419" s="68"/>
      <c r="K419" s="31"/>
      <c r="L419" s="86" t="str">
        <f>IF(Tabel1[[#This Row],[% uren 2:]]="","",Tabel1[[#This Row],[% uren 2:]]*Tabel1[[#This Row],[Totale uren:]])</f>
        <v/>
      </c>
      <c r="M419" s="72"/>
      <c r="N419" s="31"/>
      <c r="O419" s="85" t="str">
        <f>IF(Tabel1[[#This Row],[% uren 3:]]="","",Tabel1[[#This Row],[% uren 3:]]*Tabel1[[#This Row],[Totale uren:]])</f>
        <v/>
      </c>
      <c r="P419" s="138" t="str">
        <f>IF(Tabel1[[#This Row],[Ordernummer:]]="","",SUM(Tabel1[[#This Row],[% uren 1:]],Tabel1[[#This Row],[% uren 2:]],Tabel1[[#This Row],[% uren 3:]]))</f>
        <v/>
      </c>
      <c r="Q419" s="127"/>
      <c r="R419" s="128"/>
      <c r="S419" s="44"/>
      <c r="T419" s="25"/>
    </row>
    <row r="420" spans="2:20" x14ac:dyDescent="0.25">
      <c r="B420" s="7"/>
      <c r="C420" s="10"/>
      <c r="D420" s="10"/>
      <c r="E420" s="72"/>
      <c r="F420" s="73"/>
      <c r="G420" s="72"/>
      <c r="H420" s="31"/>
      <c r="I420" s="85" t="str">
        <f>IF(Tabel1[[#This Row],[% uren 1:]]="","",Tabel1[[#This Row],[% uren 1:]]*Tabel1[[#This Row],[Totale uren:]])</f>
        <v/>
      </c>
      <c r="J420" s="68"/>
      <c r="K420" s="31"/>
      <c r="L420" s="86" t="str">
        <f>IF(Tabel1[[#This Row],[% uren 2:]]="","",Tabel1[[#This Row],[% uren 2:]]*Tabel1[[#This Row],[Totale uren:]])</f>
        <v/>
      </c>
      <c r="M420" s="72"/>
      <c r="N420" s="31"/>
      <c r="O420" s="85" t="str">
        <f>IF(Tabel1[[#This Row],[% uren 3:]]="","",Tabel1[[#This Row],[% uren 3:]]*Tabel1[[#This Row],[Totale uren:]])</f>
        <v/>
      </c>
      <c r="P420" s="138" t="str">
        <f>IF(Tabel1[[#This Row],[Ordernummer:]]="","",SUM(Tabel1[[#This Row],[% uren 1:]],Tabel1[[#This Row],[% uren 2:]],Tabel1[[#This Row],[% uren 3:]]))</f>
        <v/>
      </c>
      <c r="Q420" s="127"/>
      <c r="R420" s="128"/>
      <c r="S420" s="44"/>
      <c r="T420" s="25"/>
    </row>
    <row r="421" spans="2:20" x14ac:dyDescent="0.25">
      <c r="B421" s="7"/>
      <c r="C421" s="10"/>
      <c r="D421" s="10"/>
      <c r="E421" s="72"/>
      <c r="F421" s="73"/>
      <c r="G421" s="72"/>
      <c r="H421" s="31"/>
      <c r="I421" s="85" t="str">
        <f>IF(Tabel1[[#This Row],[% uren 1:]]="","",Tabel1[[#This Row],[% uren 1:]]*Tabel1[[#This Row],[Totale uren:]])</f>
        <v/>
      </c>
      <c r="J421" s="68"/>
      <c r="K421" s="31"/>
      <c r="L421" s="86" t="str">
        <f>IF(Tabel1[[#This Row],[% uren 2:]]="","",Tabel1[[#This Row],[% uren 2:]]*Tabel1[[#This Row],[Totale uren:]])</f>
        <v/>
      </c>
      <c r="M421" s="72"/>
      <c r="N421" s="31"/>
      <c r="O421" s="85" t="str">
        <f>IF(Tabel1[[#This Row],[% uren 3:]]="","",Tabel1[[#This Row],[% uren 3:]]*Tabel1[[#This Row],[Totale uren:]])</f>
        <v/>
      </c>
      <c r="P421" s="138" t="str">
        <f>IF(Tabel1[[#This Row],[Ordernummer:]]="","",SUM(Tabel1[[#This Row],[% uren 1:]],Tabel1[[#This Row],[% uren 2:]],Tabel1[[#This Row],[% uren 3:]]))</f>
        <v/>
      </c>
      <c r="Q421" s="127"/>
      <c r="R421" s="128"/>
      <c r="S421" s="44"/>
      <c r="T421" s="25"/>
    </row>
    <row r="422" spans="2:20" x14ac:dyDescent="0.25">
      <c r="B422" s="7"/>
      <c r="C422" s="10"/>
      <c r="D422" s="10"/>
      <c r="E422" s="72"/>
      <c r="F422" s="73"/>
      <c r="G422" s="72"/>
      <c r="H422" s="31"/>
      <c r="I422" s="85" t="str">
        <f>IF(Tabel1[[#This Row],[% uren 1:]]="","",Tabel1[[#This Row],[% uren 1:]]*Tabel1[[#This Row],[Totale uren:]])</f>
        <v/>
      </c>
      <c r="J422" s="68"/>
      <c r="K422" s="31"/>
      <c r="L422" s="86" t="str">
        <f>IF(Tabel1[[#This Row],[% uren 2:]]="","",Tabel1[[#This Row],[% uren 2:]]*Tabel1[[#This Row],[Totale uren:]])</f>
        <v/>
      </c>
      <c r="M422" s="72"/>
      <c r="N422" s="31"/>
      <c r="O422" s="85" t="str">
        <f>IF(Tabel1[[#This Row],[% uren 3:]]="","",Tabel1[[#This Row],[% uren 3:]]*Tabel1[[#This Row],[Totale uren:]])</f>
        <v/>
      </c>
      <c r="P422" s="138" t="str">
        <f>IF(Tabel1[[#This Row],[Ordernummer:]]="","",SUM(Tabel1[[#This Row],[% uren 1:]],Tabel1[[#This Row],[% uren 2:]],Tabel1[[#This Row],[% uren 3:]]))</f>
        <v/>
      </c>
      <c r="Q422" s="127"/>
      <c r="R422" s="128"/>
      <c r="S422" s="44"/>
      <c r="T422" s="25"/>
    </row>
    <row r="423" spans="2:20" x14ac:dyDescent="0.25">
      <c r="B423" s="7"/>
      <c r="C423" s="10"/>
      <c r="D423" s="10"/>
      <c r="E423" s="72"/>
      <c r="F423" s="73"/>
      <c r="G423" s="72"/>
      <c r="H423" s="31"/>
      <c r="I423" s="85" t="str">
        <f>IF(Tabel1[[#This Row],[% uren 1:]]="","",Tabel1[[#This Row],[% uren 1:]]*Tabel1[[#This Row],[Totale uren:]])</f>
        <v/>
      </c>
      <c r="J423" s="68"/>
      <c r="K423" s="31"/>
      <c r="L423" s="86" t="str">
        <f>IF(Tabel1[[#This Row],[% uren 2:]]="","",Tabel1[[#This Row],[% uren 2:]]*Tabel1[[#This Row],[Totale uren:]])</f>
        <v/>
      </c>
      <c r="M423" s="72"/>
      <c r="N423" s="31"/>
      <c r="O423" s="85" t="str">
        <f>IF(Tabel1[[#This Row],[% uren 3:]]="","",Tabel1[[#This Row],[% uren 3:]]*Tabel1[[#This Row],[Totale uren:]])</f>
        <v/>
      </c>
      <c r="P423" s="138" t="str">
        <f>IF(Tabel1[[#This Row],[Ordernummer:]]="","",SUM(Tabel1[[#This Row],[% uren 1:]],Tabel1[[#This Row],[% uren 2:]],Tabel1[[#This Row],[% uren 3:]]))</f>
        <v/>
      </c>
      <c r="Q423" s="127"/>
      <c r="R423" s="128"/>
      <c r="S423" s="44"/>
      <c r="T423" s="25"/>
    </row>
    <row r="424" spans="2:20" x14ac:dyDescent="0.25">
      <c r="B424" s="7"/>
      <c r="C424" s="10"/>
      <c r="D424" s="10"/>
      <c r="E424" s="72"/>
      <c r="F424" s="73"/>
      <c r="G424" s="72"/>
      <c r="H424" s="31"/>
      <c r="I424" s="85" t="str">
        <f>IF(Tabel1[[#This Row],[% uren 1:]]="","",Tabel1[[#This Row],[% uren 1:]]*Tabel1[[#This Row],[Totale uren:]])</f>
        <v/>
      </c>
      <c r="J424" s="68"/>
      <c r="K424" s="31"/>
      <c r="L424" s="86" t="str">
        <f>IF(Tabel1[[#This Row],[% uren 2:]]="","",Tabel1[[#This Row],[% uren 2:]]*Tabel1[[#This Row],[Totale uren:]])</f>
        <v/>
      </c>
      <c r="M424" s="72"/>
      <c r="N424" s="31"/>
      <c r="O424" s="85" t="str">
        <f>IF(Tabel1[[#This Row],[% uren 3:]]="","",Tabel1[[#This Row],[% uren 3:]]*Tabel1[[#This Row],[Totale uren:]])</f>
        <v/>
      </c>
      <c r="P424" s="138" t="str">
        <f>IF(Tabel1[[#This Row],[Ordernummer:]]="","",SUM(Tabel1[[#This Row],[% uren 1:]],Tabel1[[#This Row],[% uren 2:]],Tabel1[[#This Row],[% uren 3:]]))</f>
        <v/>
      </c>
      <c r="Q424" s="127"/>
      <c r="R424" s="128"/>
      <c r="S424" s="44"/>
      <c r="T424" s="25"/>
    </row>
    <row r="425" spans="2:20" x14ac:dyDescent="0.25">
      <c r="B425" s="7"/>
      <c r="C425" s="10"/>
      <c r="D425" s="10"/>
      <c r="E425" s="72"/>
      <c r="F425" s="73"/>
      <c r="G425" s="72"/>
      <c r="H425" s="31"/>
      <c r="I425" s="85" t="str">
        <f>IF(Tabel1[[#This Row],[% uren 1:]]="","",Tabel1[[#This Row],[% uren 1:]]*Tabel1[[#This Row],[Totale uren:]])</f>
        <v/>
      </c>
      <c r="J425" s="68"/>
      <c r="K425" s="31"/>
      <c r="L425" s="86" t="str">
        <f>IF(Tabel1[[#This Row],[% uren 2:]]="","",Tabel1[[#This Row],[% uren 2:]]*Tabel1[[#This Row],[Totale uren:]])</f>
        <v/>
      </c>
      <c r="M425" s="72"/>
      <c r="N425" s="31"/>
      <c r="O425" s="85" t="str">
        <f>IF(Tabel1[[#This Row],[% uren 3:]]="","",Tabel1[[#This Row],[% uren 3:]]*Tabel1[[#This Row],[Totale uren:]])</f>
        <v/>
      </c>
      <c r="P425" s="138" t="str">
        <f>IF(Tabel1[[#This Row],[Ordernummer:]]="","",SUM(Tabel1[[#This Row],[% uren 1:]],Tabel1[[#This Row],[% uren 2:]],Tabel1[[#This Row],[% uren 3:]]))</f>
        <v/>
      </c>
      <c r="Q425" s="127"/>
      <c r="R425" s="128"/>
      <c r="S425" s="44"/>
      <c r="T425" s="25"/>
    </row>
    <row r="426" spans="2:20" x14ac:dyDescent="0.25">
      <c r="B426" s="7"/>
      <c r="C426" s="10"/>
      <c r="D426" s="10"/>
      <c r="E426" s="72"/>
      <c r="F426" s="73"/>
      <c r="G426" s="72"/>
      <c r="H426" s="31"/>
      <c r="I426" s="85" t="str">
        <f>IF(Tabel1[[#This Row],[% uren 1:]]="","",Tabel1[[#This Row],[% uren 1:]]*Tabel1[[#This Row],[Totale uren:]])</f>
        <v/>
      </c>
      <c r="J426" s="68"/>
      <c r="K426" s="31"/>
      <c r="L426" s="86" t="str">
        <f>IF(Tabel1[[#This Row],[% uren 2:]]="","",Tabel1[[#This Row],[% uren 2:]]*Tabel1[[#This Row],[Totale uren:]])</f>
        <v/>
      </c>
      <c r="M426" s="72"/>
      <c r="N426" s="31"/>
      <c r="O426" s="85" t="str">
        <f>IF(Tabel1[[#This Row],[% uren 3:]]="","",Tabel1[[#This Row],[% uren 3:]]*Tabel1[[#This Row],[Totale uren:]])</f>
        <v/>
      </c>
      <c r="P426" s="138" t="str">
        <f>IF(Tabel1[[#This Row],[Ordernummer:]]="","",SUM(Tabel1[[#This Row],[% uren 1:]],Tabel1[[#This Row],[% uren 2:]],Tabel1[[#This Row],[% uren 3:]]))</f>
        <v/>
      </c>
      <c r="Q426" s="127"/>
      <c r="R426" s="128"/>
      <c r="S426" s="44"/>
      <c r="T426" s="25"/>
    </row>
    <row r="427" spans="2:20" x14ac:dyDescent="0.25">
      <c r="B427" s="7"/>
      <c r="C427" s="10"/>
      <c r="D427" s="10"/>
      <c r="E427" s="72"/>
      <c r="F427" s="73"/>
      <c r="G427" s="72"/>
      <c r="H427" s="31"/>
      <c r="I427" s="85" t="str">
        <f>IF(Tabel1[[#This Row],[% uren 1:]]="","",Tabel1[[#This Row],[% uren 1:]]*Tabel1[[#This Row],[Totale uren:]])</f>
        <v/>
      </c>
      <c r="J427" s="68"/>
      <c r="K427" s="31"/>
      <c r="L427" s="86" t="str">
        <f>IF(Tabel1[[#This Row],[% uren 2:]]="","",Tabel1[[#This Row],[% uren 2:]]*Tabel1[[#This Row],[Totale uren:]])</f>
        <v/>
      </c>
      <c r="M427" s="72"/>
      <c r="N427" s="31"/>
      <c r="O427" s="85" t="str">
        <f>IF(Tabel1[[#This Row],[% uren 3:]]="","",Tabel1[[#This Row],[% uren 3:]]*Tabel1[[#This Row],[Totale uren:]])</f>
        <v/>
      </c>
      <c r="P427" s="138" t="str">
        <f>IF(Tabel1[[#This Row],[Ordernummer:]]="","",SUM(Tabel1[[#This Row],[% uren 1:]],Tabel1[[#This Row],[% uren 2:]],Tabel1[[#This Row],[% uren 3:]]))</f>
        <v/>
      </c>
      <c r="Q427" s="127"/>
      <c r="R427" s="128"/>
      <c r="S427" s="44"/>
      <c r="T427" s="25"/>
    </row>
    <row r="428" spans="2:20" x14ac:dyDescent="0.25">
      <c r="B428" s="7"/>
      <c r="C428" s="10"/>
      <c r="D428" s="10"/>
      <c r="E428" s="72"/>
      <c r="F428" s="73"/>
      <c r="G428" s="72"/>
      <c r="H428" s="31"/>
      <c r="I428" s="85" t="str">
        <f>IF(Tabel1[[#This Row],[% uren 1:]]="","",Tabel1[[#This Row],[% uren 1:]]*Tabel1[[#This Row],[Totale uren:]])</f>
        <v/>
      </c>
      <c r="J428" s="68"/>
      <c r="K428" s="31"/>
      <c r="L428" s="86" t="str">
        <f>IF(Tabel1[[#This Row],[% uren 2:]]="","",Tabel1[[#This Row],[% uren 2:]]*Tabel1[[#This Row],[Totale uren:]])</f>
        <v/>
      </c>
      <c r="M428" s="72"/>
      <c r="N428" s="31"/>
      <c r="O428" s="85" t="str">
        <f>IF(Tabel1[[#This Row],[% uren 3:]]="","",Tabel1[[#This Row],[% uren 3:]]*Tabel1[[#This Row],[Totale uren:]])</f>
        <v/>
      </c>
      <c r="P428" s="138" t="str">
        <f>IF(Tabel1[[#This Row],[Ordernummer:]]="","",SUM(Tabel1[[#This Row],[% uren 1:]],Tabel1[[#This Row],[% uren 2:]],Tabel1[[#This Row],[% uren 3:]]))</f>
        <v/>
      </c>
      <c r="Q428" s="127"/>
      <c r="R428" s="128"/>
      <c r="S428" s="44"/>
      <c r="T428" s="25"/>
    </row>
    <row r="429" spans="2:20" x14ac:dyDescent="0.25">
      <c r="B429" s="7"/>
      <c r="C429" s="10"/>
      <c r="D429" s="10"/>
      <c r="E429" s="72"/>
      <c r="F429" s="73"/>
      <c r="G429" s="72"/>
      <c r="H429" s="31"/>
      <c r="I429" s="85" t="str">
        <f>IF(Tabel1[[#This Row],[% uren 1:]]="","",Tabel1[[#This Row],[% uren 1:]]*Tabel1[[#This Row],[Totale uren:]])</f>
        <v/>
      </c>
      <c r="J429" s="68"/>
      <c r="K429" s="31"/>
      <c r="L429" s="86" t="str">
        <f>IF(Tabel1[[#This Row],[% uren 2:]]="","",Tabel1[[#This Row],[% uren 2:]]*Tabel1[[#This Row],[Totale uren:]])</f>
        <v/>
      </c>
      <c r="M429" s="72"/>
      <c r="N429" s="31"/>
      <c r="O429" s="85" t="str">
        <f>IF(Tabel1[[#This Row],[% uren 3:]]="","",Tabel1[[#This Row],[% uren 3:]]*Tabel1[[#This Row],[Totale uren:]])</f>
        <v/>
      </c>
      <c r="P429" s="138" t="str">
        <f>IF(Tabel1[[#This Row],[Ordernummer:]]="","",SUM(Tabel1[[#This Row],[% uren 1:]],Tabel1[[#This Row],[% uren 2:]],Tabel1[[#This Row],[% uren 3:]]))</f>
        <v/>
      </c>
      <c r="Q429" s="127"/>
      <c r="R429" s="128"/>
      <c r="S429" s="44"/>
      <c r="T429" s="25"/>
    </row>
    <row r="430" spans="2:20" x14ac:dyDescent="0.25">
      <c r="B430" s="7"/>
      <c r="C430" s="10"/>
      <c r="D430" s="10"/>
      <c r="E430" s="72"/>
      <c r="F430" s="73"/>
      <c r="G430" s="72"/>
      <c r="H430" s="31"/>
      <c r="I430" s="85" t="str">
        <f>IF(Tabel1[[#This Row],[% uren 1:]]="","",Tabel1[[#This Row],[% uren 1:]]*Tabel1[[#This Row],[Totale uren:]])</f>
        <v/>
      </c>
      <c r="J430" s="68"/>
      <c r="K430" s="31"/>
      <c r="L430" s="86" t="str">
        <f>IF(Tabel1[[#This Row],[% uren 2:]]="","",Tabel1[[#This Row],[% uren 2:]]*Tabel1[[#This Row],[Totale uren:]])</f>
        <v/>
      </c>
      <c r="M430" s="72"/>
      <c r="N430" s="31"/>
      <c r="O430" s="85" t="str">
        <f>IF(Tabel1[[#This Row],[% uren 3:]]="","",Tabel1[[#This Row],[% uren 3:]]*Tabel1[[#This Row],[Totale uren:]])</f>
        <v/>
      </c>
      <c r="P430" s="138" t="str">
        <f>IF(Tabel1[[#This Row],[Ordernummer:]]="","",SUM(Tabel1[[#This Row],[% uren 1:]],Tabel1[[#This Row],[% uren 2:]],Tabel1[[#This Row],[% uren 3:]]))</f>
        <v/>
      </c>
      <c r="Q430" s="127"/>
      <c r="R430" s="128"/>
      <c r="S430" s="44"/>
      <c r="T430" s="25"/>
    </row>
    <row r="431" spans="2:20" x14ac:dyDescent="0.25">
      <c r="B431" s="7"/>
      <c r="C431" s="10"/>
      <c r="D431" s="10"/>
      <c r="E431" s="72"/>
      <c r="F431" s="73"/>
      <c r="G431" s="72"/>
      <c r="H431" s="31"/>
      <c r="I431" s="85" t="str">
        <f>IF(Tabel1[[#This Row],[% uren 1:]]="","",Tabel1[[#This Row],[% uren 1:]]*Tabel1[[#This Row],[Totale uren:]])</f>
        <v/>
      </c>
      <c r="J431" s="68"/>
      <c r="K431" s="31"/>
      <c r="L431" s="86" t="str">
        <f>IF(Tabel1[[#This Row],[% uren 2:]]="","",Tabel1[[#This Row],[% uren 2:]]*Tabel1[[#This Row],[Totale uren:]])</f>
        <v/>
      </c>
      <c r="M431" s="72"/>
      <c r="N431" s="31"/>
      <c r="O431" s="85" t="str">
        <f>IF(Tabel1[[#This Row],[% uren 3:]]="","",Tabel1[[#This Row],[% uren 3:]]*Tabel1[[#This Row],[Totale uren:]])</f>
        <v/>
      </c>
      <c r="P431" s="138" t="str">
        <f>IF(Tabel1[[#This Row],[Ordernummer:]]="","",SUM(Tabel1[[#This Row],[% uren 1:]],Tabel1[[#This Row],[% uren 2:]],Tabel1[[#This Row],[% uren 3:]]))</f>
        <v/>
      </c>
      <c r="Q431" s="127"/>
      <c r="R431" s="128"/>
      <c r="S431" s="44"/>
      <c r="T431" s="25"/>
    </row>
    <row r="432" spans="2:20" x14ac:dyDescent="0.25">
      <c r="B432" s="7"/>
      <c r="C432" s="10"/>
      <c r="D432" s="10"/>
      <c r="E432" s="72"/>
      <c r="F432" s="73"/>
      <c r="G432" s="72"/>
      <c r="H432" s="31"/>
      <c r="I432" s="85" t="str">
        <f>IF(Tabel1[[#This Row],[% uren 1:]]="","",Tabel1[[#This Row],[% uren 1:]]*Tabel1[[#This Row],[Totale uren:]])</f>
        <v/>
      </c>
      <c r="J432" s="68"/>
      <c r="K432" s="31"/>
      <c r="L432" s="86" t="str">
        <f>IF(Tabel1[[#This Row],[% uren 2:]]="","",Tabel1[[#This Row],[% uren 2:]]*Tabel1[[#This Row],[Totale uren:]])</f>
        <v/>
      </c>
      <c r="M432" s="72"/>
      <c r="N432" s="31"/>
      <c r="O432" s="85" t="str">
        <f>IF(Tabel1[[#This Row],[% uren 3:]]="","",Tabel1[[#This Row],[% uren 3:]]*Tabel1[[#This Row],[Totale uren:]])</f>
        <v/>
      </c>
      <c r="P432" s="138" t="str">
        <f>IF(Tabel1[[#This Row],[Ordernummer:]]="","",SUM(Tabel1[[#This Row],[% uren 1:]],Tabel1[[#This Row],[% uren 2:]],Tabel1[[#This Row],[% uren 3:]]))</f>
        <v/>
      </c>
      <c r="Q432" s="127"/>
      <c r="R432" s="128"/>
      <c r="S432" s="44"/>
      <c r="T432" s="25"/>
    </row>
    <row r="433" spans="2:20" x14ac:dyDescent="0.25">
      <c r="B433" s="7"/>
      <c r="C433" s="10"/>
      <c r="D433" s="10"/>
      <c r="E433" s="72"/>
      <c r="F433" s="73"/>
      <c r="G433" s="72"/>
      <c r="H433" s="31"/>
      <c r="I433" s="85" t="str">
        <f>IF(Tabel1[[#This Row],[% uren 1:]]="","",Tabel1[[#This Row],[% uren 1:]]*Tabel1[[#This Row],[Totale uren:]])</f>
        <v/>
      </c>
      <c r="J433" s="68"/>
      <c r="K433" s="31"/>
      <c r="L433" s="86" t="str">
        <f>IF(Tabel1[[#This Row],[% uren 2:]]="","",Tabel1[[#This Row],[% uren 2:]]*Tabel1[[#This Row],[Totale uren:]])</f>
        <v/>
      </c>
      <c r="M433" s="72"/>
      <c r="N433" s="31"/>
      <c r="O433" s="85" t="str">
        <f>IF(Tabel1[[#This Row],[% uren 3:]]="","",Tabel1[[#This Row],[% uren 3:]]*Tabel1[[#This Row],[Totale uren:]])</f>
        <v/>
      </c>
      <c r="P433" s="138" t="str">
        <f>IF(Tabel1[[#This Row],[Ordernummer:]]="","",SUM(Tabel1[[#This Row],[% uren 1:]],Tabel1[[#This Row],[% uren 2:]],Tabel1[[#This Row],[% uren 3:]]))</f>
        <v/>
      </c>
      <c r="Q433" s="127"/>
      <c r="R433" s="128"/>
      <c r="S433" s="44"/>
      <c r="T433" s="25"/>
    </row>
    <row r="434" spans="2:20" x14ac:dyDescent="0.25">
      <c r="B434" s="7"/>
      <c r="C434" s="10"/>
      <c r="D434" s="10"/>
      <c r="E434" s="72"/>
      <c r="F434" s="73"/>
      <c r="G434" s="72"/>
      <c r="H434" s="31"/>
      <c r="I434" s="85" t="str">
        <f>IF(Tabel1[[#This Row],[% uren 1:]]="","",Tabel1[[#This Row],[% uren 1:]]*Tabel1[[#This Row],[Totale uren:]])</f>
        <v/>
      </c>
      <c r="J434" s="68"/>
      <c r="K434" s="31"/>
      <c r="L434" s="86" t="str">
        <f>IF(Tabel1[[#This Row],[% uren 2:]]="","",Tabel1[[#This Row],[% uren 2:]]*Tabel1[[#This Row],[Totale uren:]])</f>
        <v/>
      </c>
      <c r="M434" s="72"/>
      <c r="N434" s="31"/>
      <c r="O434" s="85" t="str">
        <f>IF(Tabel1[[#This Row],[% uren 3:]]="","",Tabel1[[#This Row],[% uren 3:]]*Tabel1[[#This Row],[Totale uren:]])</f>
        <v/>
      </c>
      <c r="P434" s="138" t="str">
        <f>IF(Tabel1[[#This Row],[Ordernummer:]]="","",SUM(Tabel1[[#This Row],[% uren 1:]],Tabel1[[#This Row],[% uren 2:]],Tabel1[[#This Row],[% uren 3:]]))</f>
        <v/>
      </c>
      <c r="Q434" s="127"/>
      <c r="R434" s="128"/>
      <c r="S434" s="44"/>
      <c r="T434" s="25"/>
    </row>
    <row r="435" spans="2:20" x14ac:dyDescent="0.25">
      <c r="B435" s="7"/>
      <c r="C435" s="10"/>
      <c r="D435" s="10"/>
      <c r="E435" s="72"/>
      <c r="F435" s="73"/>
      <c r="G435" s="72"/>
      <c r="H435" s="31"/>
      <c r="I435" s="85" t="str">
        <f>IF(Tabel1[[#This Row],[% uren 1:]]="","",Tabel1[[#This Row],[% uren 1:]]*Tabel1[[#This Row],[Totale uren:]])</f>
        <v/>
      </c>
      <c r="J435" s="68"/>
      <c r="K435" s="31"/>
      <c r="L435" s="86" t="str">
        <f>IF(Tabel1[[#This Row],[% uren 2:]]="","",Tabel1[[#This Row],[% uren 2:]]*Tabel1[[#This Row],[Totale uren:]])</f>
        <v/>
      </c>
      <c r="M435" s="72"/>
      <c r="N435" s="31"/>
      <c r="O435" s="85" t="str">
        <f>IF(Tabel1[[#This Row],[% uren 3:]]="","",Tabel1[[#This Row],[% uren 3:]]*Tabel1[[#This Row],[Totale uren:]])</f>
        <v/>
      </c>
      <c r="P435" s="138" t="str">
        <f>IF(Tabel1[[#This Row],[Ordernummer:]]="","",SUM(Tabel1[[#This Row],[% uren 1:]],Tabel1[[#This Row],[% uren 2:]],Tabel1[[#This Row],[% uren 3:]]))</f>
        <v/>
      </c>
      <c r="Q435" s="127"/>
      <c r="R435" s="128"/>
      <c r="S435" s="44"/>
      <c r="T435" s="25"/>
    </row>
    <row r="436" spans="2:20" x14ac:dyDescent="0.25">
      <c r="B436" s="7"/>
      <c r="C436" s="10"/>
      <c r="D436" s="10"/>
      <c r="E436" s="72"/>
      <c r="F436" s="73"/>
      <c r="G436" s="72"/>
      <c r="H436" s="31"/>
      <c r="I436" s="85" t="str">
        <f>IF(Tabel1[[#This Row],[% uren 1:]]="","",Tabel1[[#This Row],[% uren 1:]]*Tabel1[[#This Row],[Totale uren:]])</f>
        <v/>
      </c>
      <c r="J436" s="68"/>
      <c r="K436" s="31"/>
      <c r="L436" s="86" t="str">
        <f>IF(Tabel1[[#This Row],[% uren 2:]]="","",Tabel1[[#This Row],[% uren 2:]]*Tabel1[[#This Row],[Totale uren:]])</f>
        <v/>
      </c>
      <c r="M436" s="72"/>
      <c r="N436" s="31"/>
      <c r="O436" s="85" t="str">
        <f>IF(Tabel1[[#This Row],[% uren 3:]]="","",Tabel1[[#This Row],[% uren 3:]]*Tabel1[[#This Row],[Totale uren:]])</f>
        <v/>
      </c>
      <c r="P436" s="138" t="str">
        <f>IF(Tabel1[[#This Row],[Ordernummer:]]="","",SUM(Tabel1[[#This Row],[% uren 1:]],Tabel1[[#This Row],[% uren 2:]],Tabel1[[#This Row],[% uren 3:]]))</f>
        <v/>
      </c>
      <c r="Q436" s="127"/>
      <c r="R436" s="128"/>
      <c r="S436" s="44"/>
      <c r="T436" s="25"/>
    </row>
    <row r="437" spans="2:20" x14ac:dyDescent="0.25">
      <c r="B437" s="7"/>
      <c r="C437" s="10"/>
      <c r="D437" s="10"/>
      <c r="E437" s="72"/>
      <c r="F437" s="73"/>
      <c r="G437" s="72"/>
      <c r="H437" s="31"/>
      <c r="I437" s="85" t="str">
        <f>IF(Tabel1[[#This Row],[% uren 1:]]="","",Tabel1[[#This Row],[% uren 1:]]*Tabel1[[#This Row],[Totale uren:]])</f>
        <v/>
      </c>
      <c r="J437" s="68"/>
      <c r="K437" s="31"/>
      <c r="L437" s="86" t="str">
        <f>IF(Tabel1[[#This Row],[% uren 2:]]="","",Tabel1[[#This Row],[% uren 2:]]*Tabel1[[#This Row],[Totale uren:]])</f>
        <v/>
      </c>
      <c r="M437" s="72"/>
      <c r="N437" s="31"/>
      <c r="O437" s="85" t="str">
        <f>IF(Tabel1[[#This Row],[% uren 3:]]="","",Tabel1[[#This Row],[% uren 3:]]*Tabel1[[#This Row],[Totale uren:]])</f>
        <v/>
      </c>
      <c r="P437" s="138" t="str">
        <f>IF(Tabel1[[#This Row],[Ordernummer:]]="","",SUM(Tabel1[[#This Row],[% uren 1:]],Tabel1[[#This Row],[% uren 2:]],Tabel1[[#This Row],[% uren 3:]]))</f>
        <v/>
      </c>
      <c r="Q437" s="127"/>
      <c r="R437" s="128"/>
      <c r="S437" s="44"/>
      <c r="T437" s="25"/>
    </row>
    <row r="438" spans="2:20" x14ac:dyDescent="0.25">
      <c r="B438" s="7"/>
      <c r="C438" s="10"/>
      <c r="D438" s="10"/>
      <c r="E438" s="72"/>
      <c r="F438" s="73"/>
      <c r="G438" s="72"/>
      <c r="H438" s="31"/>
      <c r="I438" s="85" t="str">
        <f>IF(Tabel1[[#This Row],[% uren 1:]]="","",Tabel1[[#This Row],[% uren 1:]]*Tabel1[[#This Row],[Totale uren:]])</f>
        <v/>
      </c>
      <c r="J438" s="68"/>
      <c r="K438" s="31"/>
      <c r="L438" s="86" t="str">
        <f>IF(Tabel1[[#This Row],[% uren 2:]]="","",Tabel1[[#This Row],[% uren 2:]]*Tabel1[[#This Row],[Totale uren:]])</f>
        <v/>
      </c>
      <c r="M438" s="72"/>
      <c r="N438" s="31"/>
      <c r="O438" s="85" t="str">
        <f>IF(Tabel1[[#This Row],[% uren 3:]]="","",Tabel1[[#This Row],[% uren 3:]]*Tabel1[[#This Row],[Totale uren:]])</f>
        <v/>
      </c>
      <c r="P438" s="138" t="str">
        <f>IF(Tabel1[[#This Row],[Ordernummer:]]="","",SUM(Tabel1[[#This Row],[% uren 1:]],Tabel1[[#This Row],[% uren 2:]],Tabel1[[#This Row],[% uren 3:]]))</f>
        <v/>
      </c>
      <c r="Q438" s="127"/>
      <c r="R438" s="128"/>
      <c r="S438" s="44"/>
      <c r="T438" s="25"/>
    </row>
    <row r="439" spans="2:20" x14ac:dyDescent="0.25">
      <c r="B439" s="7"/>
      <c r="C439" s="10"/>
      <c r="D439" s="10"/>
      <c r="E439" s="72"/>
      <c r="F439" s="73"/>
      <c r="G439" s="72"/>
      <c r="H439" s="31"/>
      <c r="I439" s="85" t="str">
        <f>IF(Tabel1[[#This Row],[% uren 1:]]="","",Tabel1[[#This Row],[% uren 1:]]*Tabel1[[#This Row],[Totale uren:]])</f>
        <v/>
      </c>
      <c r="J439" s="68"/>
      <c r="K439" s="31"/>
      <c r="L439" s="86" t="str">
        <f>IF(Tabel1[[#This Row],[% uren 2:]]="","",Tabel1[[#This Row],[% uren 2:]]*Tabel1[[#This Row],[Totale uren:]])</f>
        <v/>
      </c>
      <c r="M439" s="72"/>
      <c r="N439" s="31"/>
      <c r="O439" s="85" t="str">
        <f>IF(Tabel1[[#This Row],[% uren 3:]]="","",Tabel1[[#This Row],[% uren 3:]]*Tabel1[[#This Row],[Totale uren:]])</f>
        <v/>
      </c>
      <c r="P439" s="138" t="str">
        <f>IF(Tabel1[[#This Row],[Ordernummer:]]="","",SUM(Tabel1[[#This Row],[% uren 1:]],Tabel1[[#This Row],[% uren 2:]],Tabel1[[#This Row],[% uren 3:]]))</f>
        <v/>
      </c>
      <c r="Q439" s="127"/>
      <c r="R439" s="128"/>
      <c r="S439" s="44"/>
      <c r="T439" s="25"/>
    </row>
    <row r="440" spans="2:20" x14ac:dyDescent="0.25">
      <c r="B440" s="7"/>
      <c r="C440" s="10"/>
      <c r="D440" s="10"/>
      <c r="E440" s="72"/>
      <c r="F440" s="73"/>
      <c r="G440" s="72"/>
      <c r="H440" s="31"/>
      <c r="I440" s="85" t="str">
        <f>IF(Tabel1[[#This Row],[% uren 1:]]="","",Tabel1[[#This Row],[% uren 1:]]*Tabel1[[#This Row],[Totale uren:]])</f>
        <v/>
      </c>
      <c r="J440" s="68"/>
      <c r="K440" s="31"/>
      <c r="L440" s="86" t="str">
        <f>IF(Tabel1[[#This Row],[% uren 2:]]="","",Tabel1[[#This Row],[% uren 2:]]*Tabel1[[#This Row],[Totale uren:]])</f>
        <v/>
      </c>
      <c r="M440" s="72"/>
      <c r="N440" s="31"/>
      <c r="O440" s="85" t="str">
        <f>IF(Tabel1[[#This Row],[% uren 3:]]="","",Tabel1[[#This Row],[% uren 3:]]*Tabel1[[#This Row],[Totale uren:]])</f>
        <v/>
      </c>
      <c r="P440" s="138" t="str">
        <f>IF(Tabel1[[#This Row],[Ordernummer:]]="","",SUM(Tabel1[[#This Row],[% uren 1:]],Tabel1[[#This Row],[% uren 2:]],Tabel1[[#This Row],[% uren 3:]]))</f>
        <v/>
      </c>
      <c r="Q440" s="127"/>
      <c r="R440" s="128"/>
      <c r="S440" s="44"/>
      <c r="T440" s="25"/>
    </row>
    <row r="441" spans="2:20" x14ac:dyDescent="0.25">
      <c r="B441" s="7"/>
      <c r="C441" s="10"/>
      <c r="D441" s="10"/>
      <c r="E441" s="72"/>
      <c r="F441" s="73"/>
      <c r="G441" s="72"/>
      <c r="H441" s="31"/>
      <c r="I441" s="85" t="str">
        <f>IF(Tabel1[[#This Row],[% uren 1:]]="","",Tabel1[[#This Row],[% uren 1:]]*Tabel1[[#This Row],[Totale uren:]])</f>
        <v/>
      </c>
      <c r="J441" s="68"/>
      <c r="K441" s="31"/>
      <c r="L441" s="86" t="str">
        <f>IF(Tabel1[[#This Row],[% uren 2:]]="","",Tabel1[[#This Row],[% uren 2:]]*Tabel1[[#This Row],[Totale uren:]])</f>
        <v/>
      </c>
      <c r="M441" s="72"/>
      <c r="N441" s="31"/>
      <c r="O441" s="85" t="str">
        <f>IF(Tabel1[[#This Row],[% uren 3:]]="","",Tabel1[[#This Row],[% uren 3:]]*Tabel1[[#This Row],[Totale uren:]])</f>
        <v/>
      </c>
      <c r="P441" s="138" t="str">
        <f>IF(Tabel1[[#This Row],[Ordernummer:]]="","",SUM(Tabel1[[#This Row],[% uren 1:]],Tabel1[[#This Row],[% uren 2:]],Tabel1[[#This Row],[% uren 3:]]))</f>
        <v/>
      </c>
      <c r="Q441" s="127"/>
      <c r="R441" s="128"/>
      <c r="S441" s="44"/>
      <c r="T441" s="25"/>
    </row>
    <row r="442" spans="2:20" x14ac:dyDescent="0.25">
      <c r="B442" s="7"/>
      <c r="C442" s="10"/>
      <c r="D442" s="10"/>
      <c r="E442" s="72"/>
      <c r="F442" s="73"/>
      <c r="G442" s="72"/>
      <c r="H442" s="31"/>
      <c r="I442" s="85" t="str">
        <f>IF(Tabel1[[#This Row],[% uren 1:]]="","",Tabel1[[#This Row],[% uren 1:]]*Tabel1[[#This Row],[Totale uren:]])</f>
        <v/>
      </c>
      <c r="J442" s="68"/>
      <c r="K442" s="31"/>
      <c r="L442" s="86" t="str">
        <f>IF(Tabel1[[#This Row],[% uren 2:]]="","",Tabel1[[#This Row],[% uren 2:]]*Tabel1[[#This Row],[Totale uren:]])</f>
        <v/>
      </c>
      <c r="M442" s="72"/>
      <c r="N442" s="31"/>
      <c r="O442" s="85" t="str">
        <f>IF(Tabel1[[#This Row],[% uren 3:]]="","",Tabel1[[#This Row],[% uren 3:]]*Tabel1[[#This Row],[Totale uren:]])</f>
        <v/>
      </c>
      <c r="P442" s="138" t="str">
        <f>IF(Tabel1[[#This Row],[Ordernummer:]]="","",SUM(Tabel1[[#This Row],[% uren 1:]],Tabel1[[#This Row],[% uren 2:]],Tabel1[[#This Row],[% uren 3:]]))</f>
        <v/>
      </c>
      <c r="Q442" s="127"/>
      <c r="R442" s="128"/>
      <c r="S442" s="44"/>
      <c r="T442" s="25"/>
    </row>
    <row r="443" spans="2:20" x14ac:dyDescent="0.25">
      <c r="B443" s="7"/>
      <c r="C443" s="10"/>
      <c r="D443" s="10"/>
      <c r="E443" s="72"/>
      <c r="F443" s="73"/>
      <c r="G443" s="72"/>
      <c r="H443" s="31"/>
      <c r="I443" s="85" t="str">
        <f>IF(Tabel1[[#This Row],[% uren 1:]]="","",Tabel1[[#This Row],[% uren 1:]]*Tabel1[[#This Row],[Totale uren:]])</f>
        <v/>
      </c>
      <c r="J443" s="68"/>
      <c r="K443" s="31"/>
      <c r="L443" s="86" t="str">
        <f>IF(Tabel1[[#This Row],[% uren 2:]]="","",Tabel1[[#This Row],[% uren 2:]]*Tabel1[[#This Row],[Totale uren:]])</f>
        <v/>
      </c>
      <c r="M443" s="72"/>
      <c r="N443" s="31"/>
      <c r="O443" s="85" t="str">
        <f>IF(Tabel1[[#This Row],[% uren 3:]]="","",Tabel1[[#This Row],[% uren 3:]]*Tabel1[[#This Row],[Totale uren:]])</f>
        <v/>
      </c>
      <c r="P443" s="138" t="str">
        <f>IF(Tabel1[[#This Row],[Ordernummer:]]="","",SUM(Tabel1[[#This Row],[% uren 1:]],Tabel1[[#This Row],[% uren 2:]],Tabel1[[#This Row],[% uren 3:]]))</f>
        <v/>
      </c>
      <c r="Q443" s="127"/>
      <c r="R443" s="128"/>
      <c r="S443" s="44"/>
      <c r="T443" s="25"/>
    </row>
    <row r="444" spans="2:20" x14ac:dyDescent="0.25">
      <c r="B444" s="7"/>
      <c r="C444" s="10"/>
      <c r="D444" s="10"/>
      <c r="E444" s="72"/>
      <c r="F444" s="73"/>
      <c r="G444" s="72"/>
      <c r="H444" s="31"/>
      <c r="I444" s="85" t="str">
        <f>IF(Tabel1[[#This Row],[% uren 1:]]="","",Tabel1[[#This Row],[% uren 1:]]*Tabel1[[#This Row],[Totale uren:]])</f>
        <v/>
      </c>
      <c r="J444" s="68"/>
      <c r="K444" s="31"/>
      <c r="L444" s="86" t="str">
        <f>IF(Tabel1[[#This Row],[% uren 2:]]="","",Tabel1[[#This Row],[% uren 2:]]*Tabel1[[#This Row],[Totale uren:]])</f>
        <v/>
      </c>
      <c r="M444" s="72"/>
      <c r="N444" s="31"/>
      <c r="O444" s="85" t="str">
        <f>IF(Tabel1[[#This Row],[% uren 3:]]="","",Tabel1[[#This Row],[% uren 3:]]*Tabel1[[#This Row],[Totale uren:]])</f>
        <v/>
      </c>
      <c r="P444" s="138" t="str">
        <f>IF(Tabel1[[#This Row],[Ordernummer:]]="","",SUM(Tabel1[[#This Row],[% uren 1:]],Tabel1[[#This Row],[% uren 2:]],Tabel1[[#This Row],[% uren 3:]]))</f>
        <v/>
      </c>
      <c r="Q444" s="127"/>
      <c r="R444" s="128"/>
      <c r="S444" s="44"/>
      <c r="T444" s="25"/>
    </row>
    <row r="445" spans="2:20" x14ac:dyDescent="0.25">
      <c r="B445" s="7"/>
      <c r="C445" s="10"/>
      <c r="D445" s="10"/>
      <c r="E445" s="72"/>
      <c r="F445" s="73"/>
      <c r="G445" s="72"/>
      <c r="H445" s="31"/>
      <c r="I445" s="85" t="str">
        <f>IF(Tabel1[[#This Row],[% uren 1:]]="","",Tabel1[[#This Row],[% uren 1:]]*Tabel1[[#This Row],[Totale uren:]])</f>
        <v/>
      </c>
      <c r="J445" s="68"/>
      <c r="K445" s="31"/>
      <c r="L445" s="86" t="str">
        <f>IF(Tabel1[[#This Row],[% uren 2:]]="","",Tabel1[[#This Row],[% uren 2:]]*Tabel1[[#This Row],[Totale uren:]])</f>
        <v/>
      </c>
      <c r="M445" s="72"/>
      <c r="N445" s="31"/>
      <c r="O445" s="85" t="str">
        <f>IF(Tabel1[[#This Row],[% uren 3:]]="","",Tabel1[[#This Row],[% uren 3:]]*Tabel1[[#This Row],[Totale uren:]])</f>
        <v/>
      </c>
      <c r="P445" s="138" t="str">
        <f>IF(Tabel1[[#This Row],[Ordernummer:]]="","",SUM(Tabel1[[#This Row],[% uren 1:]],Tabel1[[#This Row],[% uren 2:]],Tabel1[[#This Row],[% uren 3:]]))</f>
        <v/>
      </c>
      <c r="Q445" s="127"/>
      <c r="R445" s="128"/>
      <c r="S445" s="44"/>
      <c r="T445" s="25"/>
    </row>
    <row r="446" spans="2:20" x14ac:dyDescent="0.25">
      <c r="B446" s="7"/>
      <c r="C446" s="10"/>
      <c r="D446" s="10"/>
      <c r="E446" s="72"/>
      <c r="F446" s="73"/>
      <c r="G446" s="72"/>
      <c r="H446" s="31"/>
      <c r="I446" s="85" t="str">
        <f>IF(Tabel1[[#This Row],[% uren 1:]]="","",Tabel1[[#This Row],[% uren 1:]]*Tabel1[[#This Row],[Totale uren:]])</f>
        <v/>
      </c>
      <c r="J446" s="68"/>
      <c r="K446" s="31"/>
      <c r="L446" s="86" t="str">
        <f>IF(Tabel1[[#This Row],[% uren 2:]]="","",Tabel1[[#This Row],[% uren 2:]]*Tabel1[[#This Row],[Totale uren:]])</f>
        <v/>
      </c>
      <c r="M446" s="72"/>
      <c r="N446" s="31"/>
      <c r="O446" s="85" t="str">
        <f>IF(Tabel1[[#This Row],[% uren 3:]]="","",Tabel1[[#This Row],[% uren 3:]]*Tabel1[[#This Row],[Totale uren:]])</f>
        <v/>
      </c>
      <c r="P446" s="138" t="str">
        <f>IF(Tabel1[[#This Row],[Ordernummer:]]="","",SUM(Tabel1[[#This Row],[% uren 1:]],Tabel1[[#This Row],[% uren 2:]],Tabel1[[#This Row],[% uren 3:]]))</f>
        <v/>
      </c>
      <c r="Q446" s="127"/>
      <c r="R446" s="128"/>
      <c r="S446" s="44"/>
      <c r="T446" s="25"/>
    </row>
    <row r="447" spans="2:20" x14ac:dyDescent="0.25">
      <c r="B447" s="7"/>
      <c r="C447" s="10"/>
      <c r="D447" s="10"/>
      <c r="E447" s="72"/>
      <c r="F447" s="73"/>
      <c r="G447" s="72"/>
      <c r="H447" s="31"/>
      <c r="I447" s="85" t="str">
        <f>IF(Tabel1[[#This Row],[% uren 1:]]="","",Tabel1[[#This Row],[% uren 1:]]*Tabel1[[#This Row],[Totale uren:]])</f>
        <v/>
      </c>
      <c r="J447" s="68"/>
      <c r="K447" s="31"/>
      <c r="L447" s="86" t="str">
        <f>IF(Tabel1[[#This Row],[% uren 2:]]="","",Tabel1[[#This Row],[% uren 2:]]*Tabel1[[#This Row],[Totale uren:]])</f>
        <v/>
      </c>
      <c r="M447" s="72"/>
      <c r="N447" s="31"/>
      <c r="O447" s="85" t="str">
        <f>IF(Tabel1[[#This Row],[% uren 3:]]="","",Tabel1[[#This Row],[% uren 3:]]*Tabel1[[#This Row],[Totale uren:]])</f>
        <v/>
      </c>
      <c r="P447" s="138" t="str">
        <f>IF(Tabel1[[#This Row],[Ordernummer:]]="","",SUM(Tabel1[[#This Row],[% uren 1:]],Tabel1[[#This Row],[% uren 2:]],Tabel1[[#This Row],[% uren 3:]]))</f>
        <v/>
      </c>
      <c r="Q447" s="127"/>
      <c r="R447" s="128"/>
      <c r="S447" s="44"/>
      <c r="T447" s="25"/>
    </row>
    <row r="448" spans="2:20" x14ac:dyDescent="0.25">
      <c r="B448" s="7"/>
      <c r="C448" s="10"/>
      <c r="D448" s="10"/>
      <c r="E448" s="72"/>
      <c r="F448" s="73"/>
      <c r="G448" s="72"/>
      <c r="H448" s="31"/>
      <c r="I448" s="85" t="str">
        <f>IF(Tabel1[[#This Row],[% uren 1:]]="","",Tabel1[[#This Row],[% uren 1:]]*Tabel1[[#This Row],[Totale uren:]])</f>
        <v/>
      </c>
      <c r="J448" s="68"/>
      <c r="K448" s="31"/>
      <c r="L448" s="86" t="str">
        <f>IF(Tabel1[[#This Row],[% uren 2:]]="","",Tabel1[[#This Row],[% uren 2:]]*Tabel1[[#This Row],[Totale uren:]])</f>
        <v/>
      </c>
      <c r="M448" s="72"/>
      <c r="N448" s="31"/>
      <c r="O448" s="85" t="str">
        <f>IF(Tabel1[[#This Row],[% uren 3:]]="","",Tabel1[[#This Row],[% uren 3:]]*Tabel1[[#This Row],[Totale uren:]])</f>
        <v/>
      </c>
      <c r="P448" s="138" t="str">
        <f>IF(Tabel1[[#This Row],[Ordernummer:]]="","",SUM(Tabel1[[#This Row],[% uren 1:]],Tabel1[[#This Row],[% uren 2:]],Tabel1[[#This Row],[% uren 3:]]))</f>
        <v/>
      </c>
      <c r="Q448" s="127"/>
      <c r="R448" s="128"/>
      <c r="S448" s="44"/>
      <c r="T448" s="25"/>
    </row>
    <row r="449" spans="2:20" x14ac:dyDescent="0.25">
      <c r="B449" s="7"/>
      <c r="C449" s="10"/>
      <c r="D449" s="10"/>
      <c r="E449" s="72"/>
      <c r="F449" s="73"/>
      <c r="G449" s="72"/>
      <c r="H449" s="31"/>
      <c r="I449" s="85" t="str">
        <f>IF(Tabel1[[#This Row],[% uren 1:]]="","",Tabel1[[#This Row],[% uren 1:]]*Tabel1[[#This Row],[Totale uren:]])</f>
        <v/>
      </c>
      <c r="J449" s="68"/>
      <c r="K449" s="31"/>
      <c r="L449" s="86" t="str">
        <f>IF(Tabel1[[#This Row],[% uren 2:]]="","",Tabel1[[#This Row],[% uren 2:]]*Tabel1[[#This Row],[Totale uren:]])</f>
        <v/>
      </c>
      <c r="M449" s="72"/>
      <c r="N449" s="31"/>
      <c r="O449" s="85" t="str">
        <f>IF(Tabel1[[#This Row],[% uren 3:]]="","",Tabel1[[#This Row],[% uren 3:]]*Tabel1[[#This Row],[Totale uren:]])</f>
        <v/>
      </c>
      <c r="P449" s="138" t="str">
        <f>IF(Tabel1[[#This Row],[Ordernummer:]]="","",SUM(Tabel1[[#This Row],[% uren 1:]],Tabel1[[#This Row],[% uren 2:]],Tabel1[[#This Row],[% uren 3:]]))</f>
        <v/>
      </c>
      <c r="Q449" s="127"/>
      <c r="R449" s="128"/>
      <c r="S449" s="44"/>
      <c r="T449" s="25"/>
    </row>
    <row r="450" spans="2:20" x14ac:dyDescent="0.25">
      <c r="B450" s="7"/>
      <c r="C450" s="10"/>
      <c r="D450" s="10"/>
      <c r="E450" s="72"/>
      <c r="F450" s="73"/>
      <c r="G450" s="72"/>
      <c r="H450" s="31"/>
      <c r="I450" s="85" t="str">
        <f>IF(Tabel1[[#This Row],[% uren 1:]]="","",Tabel1[[#This Row],[% uren 1:]]*Tabel1[[#This Row],[Totale uren:]])</f>
        <v/>
      </c>
      <c r="J450" s="68"/>
      <c r="K450" s="31"/>
      <c r="L450" s="86" t="str">
        <f>IF(Tabel1[[#This Row],[% uren 2:]]="","",Tabel1[[#This Row],[% uren 2:]]*Tabel1[[#This Row],[Totale uren:]])</f>
        <v/>
      </c>
      <c r="M450" s="72"/>
      <c r="N450" s="31"/>
      <c r="O450" s="85" t="str">
        <f>IF(Tabel1[[#This Row],[% uren 3:]]="","",Tabel1[[#This Row],[% uren 3:]]*Tabel1[[#This Row],[Totale uren:]])</f>
        <v/>
      </c>
      <c r="P450" s="138" t="str">
        <f>IF(Tabel1[[#This Row],[Ordernummer:]]="","",SUM(Tabel1[[#This Row],[% uren 1:]],Tabel1[[#This Row],[% uren 2:]],Tabel1[[#This Row],[% uren 3:]]))</f>
        <v/>
      </c>
      <c r="Q450" s="127"/>
      <c r="R450" s="128"/>
      <c r="S450" s="44"/>
      <c r="T450" s="25"/>
    </row>
    <row r="451" spans="2:20" x14ac:dyDescent="0.25">
      <c r="B451" s="7"/>
      <c r="C451" s="10"/>
      <c r="D451" s="10"/>
      <c r="E451" s="72"/>
      <c r="F451" s="73"/>
      <c r="G451" s="72"/>
      <c r="H451" s="31"/>
      <c r="I451" s="85" t="str">
        <f>IF(Tabel1[[#This Row],[% uren 1:]]="","",Tabel1[[#This Row],[% uren 1:]]*Tabel1[[#This Row],[Totale uren:]])</f>
        <v/>
      </c>
      <c r="J451" s="68"/>
      <c r="K451" s="31"/>
      <c r="L451" s="86" t="str">
        <f>IF(Tabel1[[#This Row],[% uren 2:]]="","",Tabel1[[#This Row],[% uren 2:]]*Tabel1[[#This Row],[Totale uren:]])</f>
        <v/>
      </c>
      <c r="M451" s="72"/>
      <c r="N451" s="31"/>
      <c r="O451" s="85" t="str">
        <f>IF(Tabel1[[#This Row],[% uren 3:]]="","",Tabel1[[#This Row],[% uren 3:]]*Tabel1[[#This Row],[Totale uren:]])</f>
        <v/>
      </c>
      <c r="P451" s="138" t="str">
        <f>IF(Tabel1[[#This Row],[Ordernummer:]]="","",SUM(Tabel1[[#This Row],[% uren 1:]],Tabel1[[#This Row],[% uren 2:]],Tabel1[[#This Row],[% uren 3:]]))</f>
        <v/>
      </c>
      <c r="Q451" s="127"/>
      <c r="R451" s="128"/>
      <c r="S451" s="44"/>
      <c r="T451" s="25"/>
    </row>
    <row r="452" spans="2:20" x14ac:dyDescent="0.25">
      <c r="B452" s="7"/>
      <c r="C452" s="10"/>
      <c r="D452" s="10"/>
      <c r="E452" s="72"/>
      <c r="F452" s="73"/>
      <c r="G452" s="72"/>
      <c r="H452" s="31"/>
      <c r="I452" s="85" t="str">
        <f>IF(Tabel1[[#This Row],[% uren 1:]]="","",Tabel1[[#This Row],[% uren 1:]]*Tabel1[[#This Row],[Totale uren:]])</f>
        <v/>
      </c>
      <c r="J452" s="68"/>
      <c r="K452" s="31"/>
      <c r="L452" s="86" t="str">
        <f>IF(Tabel1[[#This Row],[% uren 2:]]="","",Tabel1[[#This Row],[% uren 2:]]*Tabel1[[#This Row],[Totale uren:]])</f>
        <v/>
      </c>
      <c r="M452" s="72"/>
      <c r="N452" s="31"/>
      <c r="O452" s="85" t="str">
        <f>IF(Tabel1[[#This Row],[% uren 3:]]="","",Tabel1[[#This Row],[% uren 3:]]*Tabel1[[#This Row],[Totale uren:]])</f>
        <v/>
      </c>
      <c r="P452" s="138" t="str">
        <f>IF(Tabel1[[#This Row],[Ordernummer:]]="","",SUM(Tabel1[[#This Row],[% uren 1:]],Tabel1[[#This Row],[% uren 2:]],Tabel1[[#This Row],[% uren 3:]]))</f>
        <v/>
      </c>
      <c r="Q452" s="127"/>
      <c r="R452" s="128"/>
      <c r="S452" s="44"/>
      <c r="T452" s="25"/>
    </row>
    <row r="453" spans="2:20" x14ac:dyDescent="0.25">
      <c r="B453" s="7"/>
      <c r="C453" s="10"/>
      <c r="D453" s="10"/>
      <c r="E453" s="72"/>
      <c r="F453" s="73"/>
      <c r="G453" s="72"/>
      <c r="H453" s="31"/>
      <c r="I453" s="85" t="str">
        <f>IF(Tabel1[[#This Row],[% uren 1:]]="","",Tabel1[[#This Row],[% uren 1:]]*Tabel1[[#This Row],[Totale uren:]])</f>
        <v/>
      </c>
      <c r="J453" s="68"/>
      <c r="K453" s="31"/>
      <c r="L453" s="86" t="str">
        <f>IF(Tabel1[[#This Row],[% uren 2:]]="","",Tabel1[[#This Row],[% uren 2:]]*Tabel1[[#This Row],[Totale uren:]])</f>
        <v/>
      </c>
      <c r="M453" s="72"/>
      <c r="N453" s="31"/>
      <c r="O453" s="85" t="str">
        <f>IF(Tabel1[[#This Row],[% uren 3:]]="","",Tabel1[[#This Row],[% uren 3:]]*Tabel1[[#This Row],[Totale uren:]])</f>
        <v/>
      </c>
      <c r="P453" s="138" t="str">
        <f>IF(Tabel1[[#This Row],[Ordernummer:]]="","",SUM(Tabel1[[#This Row],[% uren 1:]],Tabel1[[#This Row],[% uren 2:]],Tabel1[[#This Row],[% uren 3:]]))</f>
        <v/>
      </c>
      <c r="Q453" s="127"/>
      <c r="R453" s="128"/>
      <c r="S453" s="44"/>
      <c r="T453" s="25"/>
    </row>
    <row r="454" spans="2:20" x14ac:dyDescent="0.25">
      <c r="B454" s="7"/>
      <c r="C454" s="10"/>
      <c r="D454" s="10"/>
      <c r="E454" s="72"/>
      <c r="F454" s="73"/>
      <c r="G454" s="72"/>
      <c r="H454" s="31"/>
      <c r="I454" s="85" t="str">
        <f>IF(Tabel1[[#This Row],[% uren 1:]]="","",Tabel1[[#This Row],[% uren 1:]]*Tabel1[[#This Row],[Totale uren:]])</f>
        <v/>
      </c>
      <c r="J454" s="68"/>
      <c r="K454" s="31"/>
      <c r="L454" s="86" t="str">
        <f>IF(Tabel1[[#This Row],[% uren 2:]]="","",Tabel1[[#This Row],[% uren 2:]]*Tabel1[[#This Row],[Totale uren:]])</f>
        <v/>
      </c>
      <c r="M454" s="72"/>
      <c r="N454" s="31"/>
      <c r="O454" s="85" t="str">
        <f>IF(Tabel1[[#This Row],[% uren 3:]]="","",Tabel1[[#This Row],[% uren 3:]]*Tabel1[[#This Row],[Totale uren:]])</f>
        <v/>
      </c>
      <c r="P454" s="138" t="str">
        <f>IF(Tabel1[[#This Row],[Ordernummer:]]="","",SUM(Tabel1[[#This Row],[% uren 1:]],Tabel1[[#This Row],[% uren 2:]],Tabel1[[#This Row],[% uren 3:]]))</f>
        <v/>
      </c>
      <c r="Q454" s="127"/>
      <c r="R454" s="128"/>
      <c r="S454" s="44"/>
      <c r="T454" s="25"/>
    </row>
    <row r="455" spans="2:20" x14ac:dyDescent="0.25">
      <c r="B455" s="7"/>
      <c r="C455" s="10"/>
      <c r="D455" s="10"/>
      <c r="E455" s="72"/>
      <c r="F455" s="73"/>
      <c r="G455" s="72"/>
      <c r="H455" s="31"/>
      <c r="I455" s="85" t="str">
        <f>IF(Tabel1[[#This Row],[% uren 1:]]="","",Tabel1[[#This Row],[% uren 1:]]*Tabel1[[#This Row],[Totale uren:]])</f>
        <v/>
      </c>
      <c r="J455" s="68"/>
      <c r="K455" s="31"/>
      <c r="L455" s="86" t="str">
        <f>IF(Tabel1[[#This Row],[% uren 2:]]="","",Tabel1[[#This Row],[% uren 2:]]*Tabel1[[#This Row],[Totale uren:]])</f>
        <v/>
      </c>
      <c r="M455" s="72"/>
      <c r="N455" s="31"/>
      <c r="O455" s="85" t="str">
        <f>IF(Tabel1[[#This Row],[% uren 3:]]="","",Tabel1[[#This Row],[% uren 3:]]*Tabel1[[#This Row],[Totale uren:]])</f>
        <v/>
      </c>
      <c r="P455" s="138" t="str">
        <f>IF(Tabel1[[#This Row],[Ordernummer:]]="","",SUM(Tabel1[[#This Row],[% uren 1:]],Tabel1[[#This Row],[% uren 2:]],Tabel1[[#This Row],[% uren 3:]]))</f>
        <v/>
      </c>
      <c r="Q455" s="127"/>
      <c r="R455" s="128"/>
      <c r="S455" s="44"/>
      <c r="T455" s="25"/>
    </row>
    <row r="456" spans="2:20" x14ac:dyDescent="0.25">
      <c r="B456" s="7"/>
      <c r="C456" s="10"/>
      <c r="D456" s="10"/>
      <c r="E456" s="72"/>
      <c r="F456" s="73"/>
      <c r="G456" s="72"/>
      <c r="H456" s="31"/>
      <c r="I456" s="85" t="str">
        <f>IF(Tabel1[[#This Row],[% uren 1:]]="","",Tabel1[[#This Row],[% uren 1:]]*Tabel1[[#This Row],[Totale uren:]])</f>
        <v/>
      </c>
      <c r="J456" s="68"/>
      <c r="K456" s="31"/>
      <c r="L456" s="86" t="str">
        <f>IF(Tabel1[[#This Row],[% uren 2:]]="","",Tabel1[[#This Row],[% uren 2:]]*Tabel1[[#This Row],[Totale uren:]])</f>
        <v/>
      </c>
      <c r="M456" s="72"/>
      <c r="N456" s="31"/>
      <c r="O456" s="85" t="str">
        <f>IF(Tabel1[[#This Row],[% uren 3:]]="","",Tabel1[[#This Row],[% uren 3:]]*Tabel1[[#This Row],[Totale uren:]])</f>
        <v/>
      </c>
      <c r="P456" s="138" t="str">
        <f>IF(Tabel1[[#This Row],[Ordernummer:]]="","",SUM(Tabel1[[#This Row],[% uren 1:]],Tabel1[[#This Row],[% uren 2:]],Tabel1[[#This Row],[% uren 3:]]))</f>
        <v/>
      </c>
      <c r="Q456" s="127"/>
      <c r="R456" s="128"/>
      <c r="S456" s="44"/>
      <c r="T456" s="25"/>
    </row>
    <row r="457" spans="2:20" x14ac:dyDescent="0.25">
      <c r="B457" s="7"/>
      <c r="C457" s="10"/>
      <c r="D457" s="10"/>
      <c r="E457" s="72"/>
      <c r="F457" s="73"/>
      <c r="G457" s="72"/>
      <c r="H457" s="31"/>
      <c r="I457" s="85" t="str">
        <f>IF(Tabel1[[#This Row],[% uren 1:]]="","",Tabel1[[#This Row],[% uren 1:]]*Tabel1[[#This Row],[Totale uren:]])</f>
        <v/>
      </c>
      <c r="J457" s="68"/>
      <c r="K457" s="31"/>
      <c r="L457" s="86" t="str">
        <f>IF(Tabel1[[#This Row],[% uren 2:]]="","",Tabel1[[#This Row],[% uren 2:]]*Tabel1[[#This Row],[Totale uren:]])</f>
        <v/>
      </c>
      <c r="M457" s="72"/>
      <c r="N457" s="31"/>
      <c r="O457" s="85" t="str">
        <f>IF(Tabel1[[#This Row],[% uren 3:]]="","",Tabel1[[#This Row],[% uren 3:]]*Tabel1[[#This Row],[Totale uren:]])</f>
        <v/>
      </c>
      <c r="P457" s="138" t="str">
        <f>IF(Tabel1[[#This Row],[Ordernummer:]]="","",SUM(Tabel1[[#This Row],[% uren 1:]],Tabel1[[#This Row],[% uren 2:]],Tabel1[[#This Row],[% uren 3:]]))</f>
        <v/>
      </c>
      <c r="Q457" s="127"/>
      <c r="R457" s="128"/>
      <c r="S457" s="44"/>
      <c r="T457" s="25"/>
    </row>
    <row r="458" spans="2:20" x14ac:dyDescent="0.25">
      <c r="B458" s="7"/>
      <c r="C458" s="10"/>
      <c r="D458" s="10"/>
      <c r="E458" s="72"/>
      <c r="F458" s="73"/>
      <c r="G458" s="72"/>
      <c r="H458" s="31"/>
      <c r="I458" s="85" t="str">
        <f>IF(Tabel1[[#This Row],[% uren 1:]]="","",Tabel1[[#This Row],[% uren 1:]]*Tabel1[[#This Row],[Totale uren:]])</f>
        <v/>
      </c>
      <c r="J458" s="68"/>
      <c r="K458" s="31"/>
      <c r="L458" s="86" t="str">
        <f>IF(Tabel1[[#This Row],[% uren 2:]]="","",Tabel1[[#This Row],[% uren 2:]]*Tabel1[[#This Row],[Totale uren:]])</f>
        <v/>
      </c>
      <c r="M458" s="72"/>
      <c r="N458" s="31"/>
      <c r="O458" s="85" t="str">
        <f>IF(Tabel1[[#This Row],[% uren 3:]]="","",Tabel1[[#This Row],[% uren 3:]]*Tabel1[[#This Row],[Totale uren:]])</f>
        <v/>
      </c>
      <c r="P458" s="138" t="str">
        <f>IF(Tabel1[[#This Row],[Ordernummer:]]="","",SUM(Tabel1[[#This Row],[% uren 1:]],Tabel1[[#This Row],[% uren 2:]],Tabel1[[#This Row],[% uren 3:]]))</f>
        <v/>
      </c>
      <c r="Q458" s="127"/>
      <c r="R458" s="128"/>
      <c r="S458" s="44"/>
      <c r="T458" s="25"/>
    </row>
    <row r="459" spans="2:20" x14ac:dyDescent="0.25">
      <c r="B459" s="7"/>
      <c r="C459" s="10"/>
      <c r="D459" s="10"/>
      <c r="E459" s="72"/>
      <c r="F459" s="73"/>
      <c r="G459" s="72"/>
      <c r="H459" s="31"/>
      <c r="I459" s="85" t="str">
        <f>IF(Tabel1[[#This Row],[% uren 1:]]="","",Tabel1[[#This Row],[% uren 1:]]*Tabel1[[#This Row],[Totale uren:]])</f>
        <v/>
      </c>
      <c r="J459" s="68"/>
      <c r="K459" s="31"/>
      <c r="L459" s="86" t="str">
        <f>IF(Tabel1[[#This Row],[% uren 2:]]="","",Tabel1[[#This Row],[% uren 2:]]*Tabel1[[#This Row],[Totale uren:]])</f>
        <v/>
      </c>
      <c r="M459" s="72"/>
      <c r="N459" s="31"/>
      <c r="O459" s="85" t="str">
        <f>IF(Tabel1[[#This Row],[% uren 3:]]="","",Tabel1[[#This Row],[% uren 3:]]*Tabel1[[#This Row],[Totale uren:]])</f>
        <v/>
      </c>
      <c r="P459" s="138" t="str">
        <f>IF(Tabel1[[#This Row],[Ordernummer:]]="","",SUM(Tabel1[[#This Row],[% uren 1:]],Tabel1[[#This Row],[% uren 2:]],Tabel1[[#This Row],[% uren 3:]]))</f>
        <v/>
      </c>
      <c r="Q459" s="127"/>
      <c r="R459" s="128"/>
      <c r="S459" s="44"/>
      <c r="T459" s="25"/>
    </row>
    <row r="460" spans="2:20" x14ac:dyDescent="0.25">
      <c r="B460" s="7"/>
      <c r="C460" s="10"/>
      <c r="D460" s="10"/>
      <c r="E460" s="72"/>
      <c r="F460" s="73"/>
      <c r="G460" s="72"/>
      <c r="H460" s="31"/>
      <c r="I460" s="85" t="str">
        <f>IF(Tabel1[[#This Row],[% uren 1:]]="","",Tabel1[[#This Row],[% uren 1:]]*Tabel1[[#This Row],[Totale uren:]])</f>
        <v/>
      </c>
      <c r="J460" s="68"/>
      <c r="K460" s="31"/>
      <c r="L460" s="86" t="str">
        <f>IF(Tabel1[[#This Row],[% uren 2:]]="","",Tabel1[[#This Row],[% uren 2:]]*Tabel1[[#This Row],[Totale uren:]])</f>
        <v/>
      </c>
      <c r="M460" s="72"/>
      <c r="N460" s="31"/>
      <c r="O460" s="85" t="str">
        <f>IF(Tabel1[[#This Row],[% uren 3:]]="","",Tabel1[[#This Row],[% uren 3:]]*Tabel1[[#This Row],[Totale uren:]])</f>
        <v/>
      </c>
      <c r="P460" s="138" t="str">
        <f>IF(Tabel1[[#This Row],[Ordernummer:]]="","",SUM(Tabel1[[#This Row],[% uren 1:]],Tabel1[[#This Row],[% uren 2:]],Tabel1[[#This Row],[% uren 3:]]))</f>
        <v/>
      </c>
      <c r="Q460" s="127"/>
      <c r="R460" s="128"/>
      <c r="S460" s="44"/>
      <c r="T460" s="25"/>
    </row>
    <row r="461" spans="2:20" x14ac:dyDescent="0.25">
      <c r="B461" s="7"/>
      <c r="C461" s="10"/>
      <c r="D461" s="10"/>
      <c r="E461" s="72"/>
      <c r="F461" s="73"/>
      <c r="G461" s="72"/>
      <c r="H461" s="31"/>
      <c r="I461" s="85" t="str">
        <f>IF(Tabel1[[#This Row],[% uren 1:]]="","",Tabel1[[#This Row],[% uren 1:]]*Tabel1[[#This Row],[Totale uren:]])</f>
        <v/>
      </c>
      <c r="J461" s="68"/>
      <c r="K461" s="31"/>
      <c r="L461" s="86" t="str">
        <f>IF(Tabel1[[#This Row],[% uren 2:]]="","",Tabel1[[#This Row],[% uren 2:]]*Tabel1[[#This Row],[Totale uren:]])</f>
        <v/>
      </c>
      <c r="M461" s="72"/>
      <c r="N461" s="31"/>
      <c r="O461" s="85" t="str">
        <f>IF(Tabel1[[#This Row],[% uren 3:]]="","",Tabel1[[#This Row],[% uren 3:]]*Tabel1[[#This Row],[Totale uren:]])</f>
        <v/>
      </c>
      <c r="P461" s="138" t="str">
        <f>IF(Tabel1[[#This Row],[Ordernummer:]]="","",SUM(Tabel1[[#This Row],[% uren 1:]],Tabel1[[#This Row],[% uren 2:]],Tabel1[[#This Row],[% uren 3:]]))</f>
        <v/>
      </c>
      <c r="Q461" s="127"/>
      <c r="R461" s="128"/>
      <c r="S461" s="44"/>
      <c r="T461" s="25"/>
    </row>
    <row r="462" spans="2:20" x14ac:dyDescent="0.25">
      <c r="B462" s="7"/>
      <c r="C462" s="10"/>
      <c r="D462" s="10"/>
      <c r="E462" s="72"/>
      <c r="F462" s="73"/>
      <c r="G462" s="72"/>
      <c r="H462" s="31"/>
      <c r="I462" s="85" t="str">
        <f>IF(Tabel1[[#This Row],[% uren 1:]]="","",Tabel1[[#This Row],[% uren 1:]]*Tabel1[[#This Row],[Totale uren:]])</f>
        <v/>
      </c>
      <c r="J462" s="68"/>
      <c r="K462" s="31"/>
      <c r="L462" s="86" t="str">
        <f>IF(Tabel1[[#This Row],[% uren 2:]]="","",Tabel1[[#This Row],[% uren 2:]]*Tabel1[[#This Row],[Totale uren:]])</f>
        <v/>
      </c>
      <c r="M462" s="72"/>
      <c r="N462" s="31"/>
      <c r="O462" s="85" t="str">
        <f>IF(Tabel1[[#This Row],[% uren 3:]]="","",Tabel1[[#This Row],[% uren 3:]]*Tabel1[[#This Row],[Totale uren:]])</f>
        <v/>
      </c>
      <c r="P462" s="138" t="str">
        <f>IF(Tabel1[[#This Row],[Ordernummer:]]="","",SUM(Tabel1[[#This Row],[% uren 1:]],Tabel1[[#This Row],[% uren 2:]],Tabel1[[#This Row],[% uren 3:]]))</f>
        <v/>
      </c>
      <c r="Q462" s="127"/>
      <c r="R462" s="128"/>
      <c r="S462" s="44"/>
      <c r="T462" s="25"/>
    </row>
    <row r="463" spans="2:20" x14ac:dyDescent="0.25">
      <c r="B463" s="7"/>
      <c r="C463" s="10"/>
      <c r="D463" s="10"/>
      <c r="E463" s="72"/>
      <c r="F463" s="73"/>
      <c r="G463" s="72"/>
      <c r="H463" s="31"/>
      <c r="I463" s="85" t="str">
        <f>IF(Tabel1[[#This Row],[% uren 1:]]="","",Tabel1[[#This Row],[% uren 1:]]*Tabel1[[#This Row],[Totale uren:]])</f>
        <v/>
      </c>
      <c r="J463" s="68"/>
      <c r="K463" s="31"/>
      <c r="L463" s="86" t="str">
        <f>IF(Tabel1[[#This Row],[% uren 2:]]="","",Tabel1[[#This Row],[% uren 2:]]*Tabel1[[#This Row],[Totale uren:]])</f>
        <v/>
      </c>
      <c r="M463" s="72"/>
      <c r="N463" s="31"/>
      <c r="O463" s="85" t="str">
        <f>IF(Tabel1[[#This Row],[% uren 3:]]="","",Tabel1[[#This Row],[% uren 3:]]*Tabel1[[#This Row],[Totale uren:]])</f>
        <v/>
      </c>
      <c r="P463" s="138" t="str">
        <f>IF(Tabel1[[#This Row],[Ordernummer:]]="","",SUM(Tabel1[[#This Row],[% uren 1:]],Tabel1[[#This Row],[% uren 2:]],Tabel1[[#This Row],[% uren 3:]]))</f>
        <v/>
      </c>
      <c r="Q463" s="127"/>
      <c r="R463" s="128"/>
      <c r="S463" s="44"/>
      <c r="T463" s="25"/>
    </row>
    <row r="464" spans="2:20" x14ac:dyDescent="0.25">
      <c r="B464" s="7"/>
      <c r="C464" s="10"/>
      <c r="D464" s="10"/>
      <c r="E464" s="72"/>
      <c r="F464" s="73"/>
      <c r="G464" s="72"/>
      <c r="H464" s="31"/>
      <c r="I464" s="85" t="str">
        <f>IF(Tabel1[[#This Row],[% uren 1:]]="","",Tabel1[[#This Row],[% uren 1:]]*Tabel1[[#This Row],[Totale uren:]])</f>
        <v/>
      </c>
      <c r="J464" s="68"/>
      <c r="K464" s="31"/>
      <c r="L464" s="86" t="str">
        <f>IF(Tabel1[[#This Row],[% uren 2:]]="","",Tabel1[[#This Row],[% uren 2:]]*Tabel1[[#This Row],[Totale uren:]])</f>
        <v/>
      </c>
      <c r="M464" s="72"/>
      <c r="N464" s="31"/>
      <c r="O464" s="85" t="str">
        <f>IF(Tabel1[[#This Row],[% uren 3:]]="","",Tabel1[[#This Row],[% uren 3:]]*Tabel1[[#This Row],[Totale uren:]])</f>
        <v/>
      </c>
      <c r="P464" s="138" t="str">
        <f>IF(Tabel1[[#This Row],[Ordernummer:]]="","",SUM(Tabel1[[#This Row],[% uren 1:]],Tabel1[[#This Row],[% uren 2:]],Tabel1[[#This Row],[% uren 3:]]))</f>
        <v/>
      </c>
      <c r="Q464" s="127"/>
      <c r="R464" s="128"/>
      <c r="S464" s="44"/>
      <c r="T464" s="25"/>
    </row>
    <row r="465" spans="2:20" x14ac:dyDescent="0.25">
      <c r="B465" s="7"/>
      <c r="C465" s="10"/>
      <c r="D465" s="10"/>
      <c r="E465" s="72"/>
      <c r="F465" s="73"/>
      <c r="G465" s="72"/>
      <c r="H465" s="31"/>
      <c r="I465" s="85" t="str">
        <f>IF(Tabel1[[#This Row],[% uren 1:]]="","",Tabel1[[#This Row],[% uren 1:]]*Tabel1[[#This Row],[Totale uren:]])</f>
        <v/>
      </c>
      <c r="J465" s="68"/>
      <c r="K465" s="31"/>
      <c r="L465" s="86" t="str">
        <f>IF(Tabel1[[#This Row],[% uren 2:]]="","",Tabel1[[#This Row],[% uren 2:]]*Tabel1[[#This Row],[Totale uren:]])</f>
        <v/>
      </c>
      <c r="M465" s="72"/>
      <c r="N465" s="31"/>
      <c r="O465" s="85" t="str">
        <f>IF(Tabel1[[#This Row],[% uren 3:]]="","",Tabel1[[#This Row],[% uren 3:]]*Tabel1[[#This Row],[Totale uren:]])</f>
        <v/>
      </c>
      <c r="P465" s="138" t="str">
        <f>IF(Tabel1[[#This Row],[Ordernummer:]]="","",SUM(Tabel1[[#This Row],[% uren 1:]],Tabel1[[#This Row],[% uren 2:]],Tabel1[[#This Row],[% uren 3:]]))</f>
        <v/>
      </c>
      <c r="Q465" s="127"/>
      <c r="R465" s="128"/>
      <c r="S465" s="44"/>
      <c r="T465" s="25"/>
    </row>
    <row r="466" spans="2:20" x14ac:dyDescent="0.25">
      <c r="B466" s="7"/>
      <c r="C466" s="10"/>
      <c r="D466" s="10"/>
      <c r="E466" s="72"/>
      <c r="F466" s="73"/>
      <c r="G466" s="72"/>
      <c r="H466" s="31"/>
      <c r="I466" s="85" t="str">
        <f>IF(Tabel1[[#This Row],[% uren 1:]]="","",Tabel1[[#This Row],[% uren 1:]]*Tabel1[[#This Row],[Totale uren:]])</f>
        <v/>
      </c>
      <c r="J466" s="68"/>
      <c r="K466" s="31"/>
      <c r="L466" s="86" t="str">
        <f>IF(Tabel1[[#This Row],[% uren 2:]]="","",Tabel1[[#This Row],[% uren 2:]]*Tabel1[[#This Row],[Totale uren:]])</f>
        <v/>
      </c>
      <c r="M466" s="72"/>
      <c r="N466" s="31"/>
      <c r="O466" s="85" t="str">
        <f>IF(Tabel1[[#This Row],[% uren 3:]]="","",Tabel1[[#This Row],[% uren 3:]]*Tabel1[[#This Row],[Totale uren:]])</f>
        <v/>
      </c>
      <c r="P466" s="138" t="str">
        <f>IF(Tabel1[[#This Row],[Ordernummer:]]="","",SUM(Tabel1[[#This Row],[% uren 1:]],Tabel1[[#This Row],[% uren 2:]],Tabel1[[#This Row],[% uren 3:]]))</f>
        <v/>
      </c>
      <c r="Q466" s="127"/>
      <c r="R466" s="128"/>
      <c r="S466" s="44"/>
      <c r="T466" s="25"/>
    </row>
    <row r="467" spans="2:20" x14ac:dyDescent="0.25">
      <c r="B467" s="7"/>
      <c r="C467" s="10"/>
      <c r="D467" s="10"/>
      <c r="E467" s="72"/>
      <c r="F467" s="73"/>
      <c r="G467" s="72"/>
      <c r="H467" s="31"/>
      <c r="I467" s="85" t="str">
        <f>IF(Tabel1[[#This Row],[% uren 1:]]="","",Tabel1[[#This Row],[% uren 1:]]*Tabel1[[#This Row],[Totale uren:]])</f>
        <v/>
      </c>
      <c r="J467" s="68"/>
      <c r="K467" s="31"/>
      <c r="L467" s="86" t="str">
        <f>IF(Tabel1[[#This Row],[% uren 2:]]="","",Tabel1[[#This Row],[% uren 2:]]*Tabel1[[#This Row],[Totale uren:]])</f>
        <v/>
      </c>
      <c r="M467" s="72"/>
      <c r="N467" s="31"/>
      <c r="O467" s="85" t="str">
        <f>IF(Tabel1[[#This Row],[% uren 3:]]="","",Tabel1[[#This Row],[% uren 3:]]*Tabel1[[#This Row],[Totale uren:]])</f>
        <v/>
      </c>
      <c r="P467" s="138" t="str">
        <f>IF(Tabel1[[#This Row],[Ordernummer:]]="","",SUM(Tabel1[[#This Row],[% uren 1:]],Tabel1[[#This Row],[% uren 2:]],Tabel1[[#This Row],[% uren 3:]]))</f>
        <v/>
      </c>
      <c r="Q467" s="127"/>
      <c r="R467" s="128"/>
      <c r="S467" s="44"/>
      <c r="T467" s="25"/>
    </row>
    <row r="468" spans="2:20" x14ac:dyDescent="0.25">
      <c r="B468" s="7"/>
      <c r="C468" s="10"/>
      <c r="D468" s="10"/>
      <c r="E468" s="72"/>
      <c r="F468" s="73"/>
      <c r="G468" s="72"/>
      <c r="H468" s="31"/>
      <c r="I468" s="85" t="str">
        <f>IF(Tabel1[[#This Row],[% uren 1:]]="","",Tabel1[[#This Row],[% uren 1:]]*Tabel1[[#This Row],[Totale uren:]])</f>
        <v/>
      </c>
      <c r="J468" s="68"/>
      <c r="K468" s="31"/>
      <c r="L468" s="86" t="str">
        <f>IF(Tabel1[[#This Row],[% uren 2:]]="","",Tabel1[[#This Row],[% uren 2:]]*Tabel1[[#This Row],[Totale uren:]])</f>
        <v/>
      </c>
      <c r="M468" s="72"/>
      <c r="N468" s="31"/>
      <c r="O468" s="85" t="str">
        <f>IF(Tabel1[[#This Row],[% uren 3:]]="","",Tabel1[[#This Row],[% uren 3:]]*Tabel1[[#This Row],[Totale uren:]])</f>
        <v/>
      </c>
      <c r="P468" s="138" t="str">
        <f>IF(Tabel1[[#This Row],[Ordernummer:]]="","",SUM(Tabel1[[#This Row],[% uren 1:]],Tabel1[[#This Row],[% uren 2:]],Tabel1[[#This Row],[% uren 3:]]))</f>
        <v/>
      </c>
      <c r="Q468" s="127"/>
      <c r="R468" s="128"/>
      <c r="S468" s="44"/>
      <c r="T468" s="25"/>
    </row>
    <row r="469" spans="2:20" x14ac:dyDescent="0.25">
      <c r="B469" s="7"/>
      <c r="C469" s="10"/>
      <c r="D469" s="10"/>
      <c r="E469" s="72"/>
      <c r="F469" s="73"/>
      <c r="G469" s="72"/>
      <c r="H469" s="31"/>
      <c r="I469" s="85" t="str">
        <f>IF(Tabel1[[#This Row],[% uren 1:]]="","",Tabel1[[#This Row],[% uren 1:]]*Tabel1[[#This Row],[Totale uren:]])</f>
        <v/>
      </c>
      <c r="J469" s="68"/>
      <c r="K469" s="31"/>
      <c r="L469" s="86" t="str">
        <f>IF(Tabel1[[#This Row],[% uren 2:]]="","",Tabel1[[#This Row],[% uren 2:]]*Tabel1[[#This Row],[Totale uren:]])</f>
        <v/>
      </c>
      <c r="M469" s="72"/>
      <c r="N469" s="31"/>
      <c r="O469" s="85" t="str">
        <f>IF(Tabel1[[#This Row],[% uren 3:]]="","",Tabel1[[#This Row],[% uren 3:]]*Tabel1[[#This Row],[Totale uren:]])</f>
        <v/>
      </c>
      <c r="P469" s="138" t="str">
        <f>IF(Tabel1[[#This Row],[Ordernummer:]]="","",SUM(Tabel1[[#This Row],[% uren 1:]],Tabel1[[#This Row],[% uren 2:]],Tabel1[[#This Row],[% uren 3:]]))</f>
        <v/>
      </c>
      <c r="Q469" s="127"/>
      <c r="R469" s="128"/>
      <c r="S469" s="44"/>
      <c r="T469" s="25"/>
    </row>
    <row r="470" spans="2:20" x14ac:dyDescent="0.25">
      <c r="B470" s="7"/>
      <c r="C470" s="10"/>
      <c r="D470" s="10"/>
      <c r="E470" s="72"/>
      <c r="F470" s="73"/>
      <c r="G470" s="72"/>
      <c r="H470" s="31"/>
      <c r="I470" s="85" t="str">
        <f>IF(Tabel1[[#This Row],[% uren 1:]]="","",Tabel1[[#This Row],[% uren 1:]]*Tabel1[[#This Row],[Totale uren:]])</f>
        <v/>
      </c>
      <c r="J470" s="68"/>
      <c r="K470" s="31"/>
      <c r="L470" s="86" t="str">
        <f>IF(Tabel1[[#This Row],[% uren 2:]]="","",Tabel1[[#This Row],[% uren 2:]]*Tabel1[[#This Row],[Totale uren:]])</f>
        <v/>
      </c>
      <c r="M470" s="72"/>
      <c r="N470" s="31"/>
      <c r="O470" s="85" t="str">
        <f>IF(Tabel1[[#This Row],[% uren 3:]]="","",Tabel1[[#This Row],[% uren 3:]]*Tabel1[[#This Row],[Totale uren:]])</f>
        <v/>
      </c>
      <c r="P470" s="138" t="str">
        <f>IF(Tabel1[[#This Row],[Ordernummer:]]="","",SUM(Tabel1[[#This Row],[% uren 1:]],Tabel1[[#This Row],[% uren 2:]],Tabel1[[#This Row],[% uren 3:]]))</f>
        <v/>
      </c>
      <c r="Q470" s="127"/>
      <c r="R470" s="128"/>
      <c r="S470" s="44"/>
      <c r="T470" s="25"/>
    </row>
    <row r="471" spans="2:20" x14ac:dyDescent="0.25">
      <c r="B471" s="7"/>
      <c r="C471" s="10"/>
      <c r="D471" s="10"/>
      <c r="E471" s="72"/>
      <c r="F471" s="73"/>
      <c r="G471" s="72"/>
      <c r="H471" s="31"/>
      <c r="I471" s="85" t="str">
        <f>IF(Tabel1[[#This Row],[% uren 1:]]="","",Tabel1[[#This Row],[% uren 1:]]*Tabel1[[#This Row],[Totale uren:]])</f>
        <v/>
      </c>
      <c r="J471" s="68"/>
      <c r="K471" s="31"/>
      <c r="L471" s="86" t="str">
        <f>IF(Tabel1[[#This Row],[% uren 2:]]="","",Tabel1[[#This Row],[% uren 2:]]*Tabel1[[#This Row],[Totale uren:]])</f>
        <v/>
      </c>
      <c r="M471" s="72"/>
      <c r="N471" s="31"/>
      <c r="O471" s="85" t="str">
        <f>IF(Tabel1[[#This Row],[% uren 3:]]="","",Tabel1[[#This Row],[% uren 3:]]*Tabel1[[#This Row],[Totale uren:]])</f>
        <v/>
      </c>
      <c r="P471" s="138" t="str">
        <f>IF(Tabel1[[#This Row],[Ordernummer:]]="","",SUM(Tabel1[[#This Row],[% uren 1:]],Tabel1[[#This Row],[% uren 2:]],Tabel1[[#This Row],[% uren 3:]]))</f>
        <v/>
      </c>
      <c r="Q471" s="127"/>
      <c r="R471" s="128"/>
      <c r="S471" s="44"/>
      <c r="T471" s="25"/>
    </row>
    <row r="472" spans="2:20" x14ac:dyDescent="0.25">
      <c r="B472" s="7"/>
      <c r="C472" s="10"/>
      <c r="D472" s="10"/>
      <c r="E472" s="72"/>
      <c r="F472" s="73"/>
      <c r="G472" s="72"/>
      <c r="H472" s="31"/>
      <c r="I472" s="85" t="str">
        <f>IF(Tabel1[[#This Row],[% uren 1:]]="","",Tabel1[[#This Row],[% uren 1:]]*Tabel1[[#This Row],[Totale uren:]])</f>
        <v/>
      </c>
      <c r="J472" s="68"/>
      <c r="K472" s="31"/>
      <c r="L472" s="86" t="str">
        <f>IF(Tabel1[[#This Row],[% uren 2:]]="","",Tabel1[[#This Row],[% uren 2:]]*Tabel1[[#This Row],[Totale uren:]])</f>
        <v/>
      </c>
      <c r="M472" s="72"/>
      <c r="N472" s="31"/>
      <c r="O472" s="85" t="str">
        <f>IF(Tabel1[[#This Row],[% uren 3:]]="","",Tabel1[[#This Row],[% uren 3:]]*Tabel1[[#This Row],[Totale uren:]])</f>
        <v/>
      </c>
      <c r="P472" s="138" t="str">
        <f>IF(Tabel1[[#This Row],[Ordernummer:]]="","",SUM(Tabel1[[#This Row],[% uren 1:]],Tabel1[[#This Row],[% uren 2:]],Tabel1[[#This Row],[% uren 3:]]))</f>
        <v/>
      </c>
      <c r="Q472" s="127"/>
      <c r="R472" s="128"/>
      <c r="S472" s="44"/>
      <c r="T472" s="25"/>
    </row>
    <row r="473" spans="2:20" x14ac:dyDescent="0.25">
      <c r="B473" s="7"/>
      <c r="C473" s="10"/>
      <c r="D473" s="10"/>
      <c r="E473" s="72"/>
      <c r="F473" s="73"/>
      <c r="G473" s="72"/>
      <c r="H473" s="31"/>
      <c r="I473" s="85" t="str">
        <f>IF(Tabel1[[#This Row],[% uren 1:]]="","",Tabel1[[#This Row],[% uren 1:]]*Tabel1[[#This Row],[Totale uren:]])</f>
        <v/>
      </c>
      <c r="J473" s="68"/>
      <c r="K473" s="31"/>
      <c r="L473" s="86" t="str">
        <f>IF(Tabel1[[#This Row],[% uren 2:]]="","",Tabel1[[#This Row],[% uren 2:]]*Tabel1[[#This Row],[Totale uren:]])</f>
        <v/>
      </c>
      <c r="M473" s="72"/>
      <c r="N473" s="31"/>
      <c r="O473" s="85" t="str">
        <f>IF(Tabel1[[#This Row],[% uren 3:]]="","",Tabel1[[#This Row],[% uren 3:]]*Tabel1[[#This Row],[Totale uren:]])</f>
        <v/>
      </c>
      <c r="P473" s="138" t="str">
        <f>IF(Tabel1[[#This Row],[Ordernummer:]]="","",SUM(Tabel1[[#This Row],[% uren 1:]],Tabel1[[#This Row],[% uren 2:]],Tabel1[[#This Row],[% uren 3:]]))</f>
        <v/>
      </c>
      <c r="Q473" s="127"/>
      <c r="R473" s="128"/>
      <c r="S473" s="44"/>
      <c r="T473" s="25"/>
    </row>
    <row r="474" spans="2:20" x14ac:dyDescent="0.25">
      <c r="B474" s="7"/>
      <c r="C474" s="10"/>
      <c r="D474" s="10"/>
      <c r="E474" s="72"/>
      <c r="F474" s="73"/>
      <c r="G474" s="72"/>
      <c r="H474" s="31"/>
      <c r="I474" s="85" t="str">
        <f>IF(Tabel1[[#This Row],[% uren 1:]]="","",Tabel1[[#This Row],[% uren 1:]]*Tabel1[[#This Row],[Totale uren:]])</f>
        <v/>
      </c>
      <c r="J474" s="68"/>
      <c r="K474" s="31"/>
      <c r="L474" s="86" t="str">
        <f>IF(Tabel1[[#This Row],[% uren 2:]]="","",Tabel1[[#This Row],[% uren 2:]]*Tabel1[[#This Row],[Totale uren:]])</f>
        <v/>
      </c>
      <c r="M474" s="72"/>
      <c r="N474" s="31"/>
      <c r="O474" s="85" t="str">
        <f>IF(Tabel1[[#This Row],[% uren 3:]]="","",Tabel1[[#This Row],[% uren 3:]]*Tabel1[[#This Row],[Totale uren:]])</f>
        <v/>
      </c>
      <c r="P474" s="138" t="str">
        <f>IF(Tabel1[[#This Row],[Ordernummer:]]="","",SUM(Tabel1[[#This Row],[% uren 1:]],Tabel1[[#This Row],[% uren 2:]],Tabel1[[#This Row],[% uren 3:]]))</f>
        <v/>
      </c>
      <c r="Q474" s="127"/>
      <c r="R474" s="128"/>
      <c r="S474" s="44"/>
      <c r="T474" s="25"/>
    </row>
    <row r="475" spans="2:20" x14ac:dyDescent="0.25">
      <c r="B475" s="7"/>
      <c r="C475" s="10"/>
      <c r="D475" s="10"/>
      <c r="E475" s="72"/>
      <c r="F475" s="73"/>
      <c r="G475" s="72"/>
      <c r="H475" s="31"/>
      <c r="I475" s="85" t="str">
        <f>IF(Tabel1[[#This Row],[% uren 1:]]="","",Tabel1[[#This Row],[% uren 1:]]*Tabel1[[#This Row],[Totale uren:]])</f>
        <v/>
      </c>
      <c r="J475" s="68"/>
      <c r="K475" s="31"/>
      <c r="L475" s="86" t="str">
        <f>IF(Tabel1[[#This Row],[% uren 2:]]="","",Tabel1[[#This Row],[% uren 2:]]*Tabel1[[#This Row],[Totale uren:]])</f>
        <v/>
      </c>
      <c r="M475" s="72"/>
      <c r="N475" s="31"/>
      <c r="O475" s="85" t="str">
        <f>IF(Tabel1[[#This Row],[% uren 3:]]="","",Tabel1[[#This Row],[% uren 3:]]*Tabel1[[#This Row],[Totale uren:]])</f>
        <v/>
      </c>
      <c r="P475" s="138" t="str">
        <f>IF(Tabel1[[#This Row],[Ordernummer:]]="","",SUM(Tabel1[[#This Row],[% uren 1:]],Tabel1[[#This Row],[% uren 2:]],Tabel1[[#This Row],[% uren 3:]]))</f>
        <v/>
      </c>
      <c r="Q475" s="127"/>
      <c r="R475" s="128"/>
      <c r="S475" s="44"/>
      <c r="T475" s="25"/>
    </row>
    <row r="476" spans="2:20" x14ac:dyDescent="0.25">
      <c r="B476" s="7"/>
      <c r="C476" s="10"/>
      <c r="D476" s="10"/>
      <c r="E476" s="72"/>
      <c r="F476" s="73"/>
      <c r="G476" s="72"/>
      <c r="H476" s="31"/>
      <c r="I476" s="85" t="str">
        <f>IF(Tabel1[[#This Row],[% uren 1:]]="","",Tabel1[[#This Row],[% uren 1:]]*Tabel1[[#This Row],[Totale uren:]])</f>
        <v/>
      </c>
      <c r="J476" s="68"/>
      <c r="K476" s="31"/>
      <c r="L476" s="86" t="str">
        <f>IF(Tabel1[[#This Row],[% uren 2:]]="","",Tabel1[[#This Row],[% uren 2:]]*Tabel1[[#This Row],[Totale uren:]])</f>
        <v/>
      </c>
      <c r="M476" s="72"/>
      <c r="N476" s="31"/>
      <c r="O476" s="85" t="str">
        <f>IF(Tabel1[[#This Row],[% uren 3:]]="","",Tabel1[[#This Row],[% uren 3:]]*Tabel1[[#This Row],[Totale uren:]])</f>
        <v/>
      </c>
      <c r="P476" s="138" t="str">
        <f>IF(Tabel1[[#This Row],[Ordernummer:]]="","",SUM(Tabel1[[#This Row],[% uren 1:]],Tabel1[[#This Row],[% uren 2:]],Tabel1[[#This Row],[% uren 3:]]))</f>
        <v/>
      </c>
      <c r="Q476" s="127"/>
      <c r="R476" s="128"/>
      <c r="S476" s="44"/>
      <c r="T476" s="25"/>
    </row>
    <row r="477" spans="2:20" x14ac:dyDescent="0.25">
      <c r="B477" s="7"/>
      <c r="C477" s="10"/>
      <c r="D477" s="10"/>
      <c r="E477" s="72"/>
      <c r="F477" s="73"/>
      <c r="G477" s="72"/>
      <c r="H477" s="31"/>
      <c r="I477" s="85" t="str">
        <f>IF(Tabel1[[#This Row],[% uren 1:]]="","",Tabel1[[#This Row],[% uren 1:]]*Tabel1[[#This Row],[Totale uren:]])</f>
        <v/>
      </c>
      <c r="J477" s="68"/>
      <c r="K477" s="31"/>
      <c r="L477" s="86" t="str">
        <f>IF(Tabel1[[#This Row],[% uren 2:]]="","",Tabel1[[#This Row],[% uren 2:]]*Tabel1[[#This Row],[Totale uren:]])</f>
        <v/>
      </c>
      <c r="M477" s="72"/>
      <c r="N477" s="31"/>
      <c r="O477" s="85" t="str">
        <f>IF(Tabel1[[#This Row],[% uren 3:]]="","",Tabel1[[#This Row],[% uren 3:]]*Tabel1[[#This Row],[Totale uren:]])</f>
        <v/>
      </c>
      <c r="P477" s="138" t="str">
        <f>IF(Tabel1[[#This Row],[Ordernummer:]]="","",SUM(Tabel1[[#This Row],[% uren 1:]],Tabel1[[#This Row],[% uren 2:]],Tabel1[[#This Row],[% uren 3:]]))</f>
        <v/>
      </c>
      <c r="Q477" s="127"/>
      <c r="R477" s="128"/>
      <c r="S477" s="44"/>
      <c r="T477" s="25"/>
    </row>
    <row r="478" spans="2:20" x14ac:dyDescent="0.25">
      <c r="B478" s="7"/>
      <c r="C478" s="10"/>
      <c r="D478" s="10"/>
      <c r="E478" s="72"/>
      <c r="F478" s="73"/>
      <c r="G478" s="72"/>
      <c r="H478" s="31"/>
      <c r="I478" s="85" t="str">
        <f>IF(Tabel1[[#This Row],[% uren 1:]]="","",Tabel1[[#This Row],[% uren 1:]]*Tabel1[[#This Row],[Totale uren:]])</f>
        <v/>
      </c>
      <c r="J478" s="68"/>
      <c r="K478" s="31"/>
      <c r="L478" s="86" t="str">
        <f>IF(Tabel1[[#This Row],[% uren 2:]]="","",Tabel1[[#This Row],[% uren 2:]]*Tabel1[[#This Row],[Totale uren:]])</f>
        <v/>
      </c>
      <c r="M478" s="72"/>
      <c r="N478" s="31"/>
      <c r="O478" s="85" t="str">
        <f>IF(Tabel1[[#This Row],[% uren 3:]]="","",Tabel1[[#This Row],[% uren 3:]]*Tabel1[[#This Row],[Totale uren:]])</f>
        <v/>
      </c>
      <c r="P478" s="138" t="str">
        <f>IF(Tabel1[[#This Row],[Ordernummer:]]="","",SUM(Tabel1[[#This Row],[% uren 1:]],Tabel1[[#This Row],[% uren 2:]],Tabel1[[#This Row],[% uren 3:]]))</f>
        <v/>
      </c>
      <c r="Q478" s="127"/>
      <c r="R478" s="128"/>
      <c r="S478" s="44"/>
      <c r="T478" s="25"/>
    </row>
    <row r="479" spans="2:20" x14ac:dyDescent="0.25">
      <c r="B479" s="7"/>
      <c r="C479" s="10"/>
      <c r="D479" s="10"/>
      <c r="E479" s="72"/>
      <c r="F479" s="73"/>
      <c r="G479" s="72"/>
      <c r="H479" s="31"/>
      <c r="I479" s="85" t="str">
        <f>IF(Tabel1[[#This Row],[% uren 1:]]="","",Tabel1[[#This Row],[% uren 1:]]*Tabel1[[#This Row],[Totale uren:]])</f>
        <v/>
      </c>
      <c r="J479" s="68"/>
      <c r="K479" s="31"/>
      <c r="L479" s="86" t="str">
        <f>IF(Tabel1[[#This Row],[% uren 2:]]="","",Tabel1[[#This Row],[% uren 2:]]*Tabel1[[#This Row],[Totale uren:]])</f>
        <v/>
      </c>
      <c r="M479" s="72"/>
      <c r="N479" s="31"/>
      <c r="O479" s="85" t="str">
        <f>IF(Tabel1[[#This Row],[% uren 3:]]="","",Tabel1[[#This Row],[% uren 3:]]*Tabel1[[#This Row],[Totale uren:]])</f>
        <v/>
      </c>
      <c r="P479" s="138" t="str">
        <f>IF(Tabel1[[#This Row],[Ordernummer:]]="","",SUM(Tabel1[[#This Row],[% uren 1:]],Tabel1[[#This Row],[% uren 2:]],Tabel1[[#This Row],[% uren 3:]]))</f>
        <v/>
      </c>
      <c r="Q479" s="127"/>
      <c r="R479" s="128"/>
      <c r="S479" s="44"/>
      <c r="T479" s="25"/>
    </row>
    <row r="480" spans="2:20" x14ac:dyDescent="0.25">
      <c r="B480" s="7"/>
      <c r="C480" s="10"/>
      <c r="D480" s="10"/>
      <c r="E480" s="72"/>
      <c r="F480" s="73"/>
      <c r="G480" s="72"/>
      <c r="H480" s="31"/>
      <c r="I480" s="85" t="str">
        <f>IF(Tabel1[[#This Row],[% uren 1:]]="","",Tabel1[[#This Row],[% uren 1:]]*Tabel1[[#This Row],[Totale uren:]])</f>
        <v/>
      </c>
      <c r="J480" s="68"/>
      <c r="K480" s="31"/>
      <c r="L480" s="86" t="str">
        <f>IF(Tabel1[[#This Row],[% uren 2:]]="","",Tabel1[[#This Row],[% uren 2:]]*Tabel1[[#This Row],[Totale uren:]])</f>
        <v/>
      </c>
      <c r="M480" s="72"/>
      <c r="N480" s="31"/>
      <c r="O480" s="85" t="str">
        <f>IF(Tabel1[[#This Row],[% uren 3:]]="","",Tabel1[[#This Row],[% uren 3:]]*Tabel1[[#This Row],[Totale uren:]])</f>
        <v/>
      </c>
      <c r="P480" s="138" t="str">
        <f>IF(Tabel1[[#This Row],[Ordernummer:]]="","",SUM(Tabel1[[#This Row],[% uren 1:]],Tabel1[[#This Row],[% uren 2:]],Tabel1[[#This Row],[% uren 3:]]))</f>
        <v/>
      </c>
      <c r="Q480" s="127"/>
      <c r="R480" s="128"/>
      <c r="S480" s="44"/>
      <c r="T480" s="25"/>
    </row>
    <row r="481" spans="2:20" x14ac:dyDescent="0.25">
      <c r="B481" s="7"/>
      <c r="C481" s="10"/>
      <c r="D481" s="10"/>
      <c r="E481" s="72"/>
      <c r="F481" s="73"/>
      <c r="G481" s="72"/>
      <c r="H481" s="31"/>
      <c r="I481" s="85" t="str">
        <f>IF(Tabel1[[#This Row],[% uren 1:]]="","",Tabel1[[#This Row],[% uren 1:]]*Tabel1[[#This Row],[Totale uren:]])</f>
        <v/>
      </c>
      <c r="J481" s="68"/>
      <c r="K481" s="31"/>
      <c r="L481" s="86" t="str">
        <f>IF(Tabel1[[#This Row],[% uren 2:]]="","",Tabel1[[#This Row],[% uren 2:]]*Tabel1[[#This Row],[Totale uren:]])</f>
        <v/>
      </c>
      <c r="M481" s="72"/>
      <c r="N481" s="31"/>
      <c r="O481" s="85" t="str">
        <f>IF(Tabel1[[#This Row],[% uren 3:]]="","",Tabel1[[#This Row],[% uren 3:]]*Tabel1[[#This Row],[Totale uren:]])</f>
        <v/>
      </c>
      <c r="P481" s="138" t="str">
        <f>IF(Tabel1[[#This Row],[Ordernummer:]]="","",SUM(Tabel1[[#This Row],[% uren 1:]],Tabel1[[#This Row],[% uren 2:]],Tabel1[[#This Row],[% uren 3:]]))</f>
        <v/>
      </c>
      <c r="Q481" s="127"/>
      <c r="R481" s="128"/>
      <c r="S481" s="44"/>
      <c r="T481" s="25"/>
    </row>
    <row r="482" spans="2:20" x14ac:dyDescent="0.25">
      <c r="B482" s="7"/>
      <c r="C482" s="10"/>
      <c r="D482" s="10"/>
      <c r="E482" s="72"/>
      <c r="F482" s="73"/>
      <c r="G482" s="72"/>
      <c r="H482" s="31"/>
      <c r="I482" s="85" t="str">
        <f>IF(Tabel1[[#This Row],[% uren 1:]]="","",Tabel1[[#This Row],[% uren 1:]]*Tabel1[[#This Row],[Totale uren:]])</f>
        <v/>
      </c>
      <c r="J482" s="68"/>
      <c r="K482" s="31"/>
      <c r="L482" s="86" t="str">
        <f>IF(Tabel1[[#This Row],[% uren 2:]]="","",Tabel1[[#This Row],[% uren 2:]]*Tabel1[[#This Row],[Totale uren:]])</f>
        <v/>
      </c>
      <c r="M482" s="72"/>
      <c r="N482" s="31"/>
      <c r="O482" s="85" t="str">
        <f>IF(Tabel1[[#This Row],[% uren 3:]]="","",Tabel1[[#This Row],[% uren 3:]]*Tabel1[[#This Row],[Totale uren:]])</f>
        <v/>
      </c>
      <c r="P482" s="138" t="str">
        <f>IF(Tabel1[[#This Row],[Ordernummer:]]="","",SUM(Tabel1[[#This Row],[% uren 1:]],Tabel1[[#This Row],[% uren 2:]],Tabel1[[#This Row],[% uren 3:]]))</f>
        <v/>
      </c>
      <c r="Q482" s="127"/>
      <c r="R482" s="128"/>
      <c r="S482" s="44"/>
      <c r="T482" s="25"/>
    </row>
    <row r="483" spans="2:20" x14ac:dyDescent="0.25">
      <c r="B483" s="7"/>
      <c r="C483" s="10"/>
      <c r="D483" s="10"/>
      <c r="E483" s="72"/>
      <c r="F483" s="73"/>
      <c r="G483" s="72"/>
      <c r="H483" s="31"/>
      <c r="I483" s="85" t="str">
        <f>IF(Tabel1[[#This Row],[% uren 1:]]="","",Tabel1[[#This Row],[% uren 1:]]*Tabel1[[#This Row],[Totale uren:]])</f>
        <v/>
      </c>
      <c r="J483" s="68"/>
      <c r="K483" s="31"/>
      <c r="L483" s="86" t="str">
        <f>IF(Tabel1[[#This Row],[% uren 2:]]="","",Tabel1[[#This Row],[% uren 2:]]*Tabel1[[#This Row],[Totale uren:]])</f>
        <v/>
      </c>
      <c r="M483" s="72"/>
      <c r="N483" s="31"/>
      <c r="O483" s="85" t="str">
        <f>IF(Tabel1[[#This Row],[% uren 3:]]="","",Tabel1[[#This Row],[% uren 3:]]*Tabel1[[#This Row],[Totale uren:]])</f>
        <v/>
      </c>
      <c r="P483" s="138" t="str">
        <f>IF(Tabel1[[#This Row],[Ordernummer:]]="","",SUM(Tabel1[[#This Row],[% uren 1:]],Tabel1[[#This Row],[% uren 2:]],Tabel1[[#This Row],[% uren 3:]]))</f>
        <v/>
      </c>
      <c r="Q483" s="127"/>
      <c r="R483" s="128"/>
      <c r="S483" s="44"/>
      <c r="T483" s="25"/>
    </row>
    <row r="484" spans="2:20" x14ac:dyDescent="0.25">
      <c r="B484" s="7"/>
      <c r="C484" s="10"/>
      <c r="D484" s="10"/>
      <c r="E484" s="72"/>
      <c r="F484" s="73"/>
      <c r="G484" s="72"/>
      <c r="H484" s="31"/>
      <c r="I484" s="85" t="str">
        <f>IF(Tabel1[[#This Row],[% uren 1:]]="","",Tabel1[[#This Row],[% uren 1:]]*Tabel1[[#This Row],[Totale uren:]])</f>
        <v/>
      </c>
      <c r="J484" s="68"/>
      <c r="K484" s="31"/>
      <c r="L484" s="86" t="str">
        <f>IF(Tabel1[[#This Row],[% uren 2:]]="","",Tabel1[[#This Row],[% uren 2:]]*Tabel1[[#This Row],[Totale uren:]])</f>
        <v/>
      </c>
      <c r="M484" s="72"/>
      <c r="N484" s="31"/>
      <c r="O484" s="85" t="str">
        <f>IF(Tabel1[[#This Row],[% uren 3:]]="","",Tabel1[[#This Row],[% uren 3:]]*Tabel1[[#This Row],[Totale uren:]])</f>
        <v/>
      </c>
      <c r="P484" s="138" t="str">
        <f>IF(Tabel1[[#This Row],[Ordernummer:]]="","",SUM(Tabel1[[#This Row],[% uren 1:]],Tabel1[[#This Row],[% uren 2:]],Tabel1[[#This Row],[% uren 3:]]))</f>
        <v/>
      </c>
      <c r="Q484" s="127"/>
      <c r="R484" s="128"/>
      <c r="S484" s="44"/>
      <c r="T484" s="25"/>
    </row>
    <row r="485" spans="2:20" x14ac:dyDescent="0.25">
      <c r="B485" s="7"/>
      <c r="C485" s="10"/>
      <c r="D485" s="10"/>
      <c r="E485" s="72"/>
      <c r="F485" s="73"/>
      <c r="G485" s="72"/>
      <c r="H485" s="31"/>
      <c r="I485" s="85" t="str">
        <f>IF(Tabel1[[#This Row],[% uren 1:]]="","",Tabel1[[#This Row],[% uren 1:]]*Tabel1[[#This Row],[Totale uren:]])</f>
        <v/>
      </c>
      <c r="J485" s="68"/>
      <c r="K485" s="31"/>
      <c r="L485" s="86" t="str">
        <f>IF(Tabel1[[#This Row],[% uren 2:]]="","",Tabel1[[#This Row],[% uren 2:]]*Tabel1[[#This Row],[Totale uren:]])</f>
        <v/>
      </c>
      <c r="M485" s="72"/>
      <c r="N485" s="31"/>
      <c r="O485" s="85" t="str">
        <f>IF(Tabel1[[#This Row],[% uren 3:]]="","",Tabel1[[#This Row],[% uren 3:]]*Tabel1[[#This Row],[Totale uren:]])</f>
        <v/>
      </c>
      <c r="P485" s="138" t="str">
        <f>IF(Tabel1[[#This Row],[Ordernummer:]]="","",SUM(Tabel1[[#This Row],[% uren 1:]],Tabel1[[#This Row],[% uren 2:]],Tabel1[[#This Row],[% uren 3:]]))</f>
        <v/>
      </c>
      <c r="Q485" s="127"/>
      <c r="R485" s="128"/>
      <c r="S485" s="44"/>
      <c r="T485" s="25"/>
    </row>
    <row r="486" spans="2:20" x14ac:dyDescent="0.25">
      <c r="B486" s="7"/>
      <c r="C486" s="10"/>
      <c r="D486" s="10"/>
      <c r="E486" s="72"/>
      <c r="F486" s="73"/>
      <c r="G486" s="72"/>
      <c r="H486" s="31"/>
      <c r="I486" s="85" t="str">
        <f>IF(Tabel1[[#This Row],[% uren 1:]]="","",Tabel1[[#This Row],[% uren 1:]]*Tabel1[[#This Row],[Totale uren:]])</f>
        <v/>
      </c>
      <c r="J486" s="68"/>
      <c r="K486" s="31"/>
      <c r="L486" s="86" t="str">
        <f>IF(Tabel1[[#This Row],[% uren 2:]]="","",Tabel1[[#This Row],[% uren 2:]]*Tabel1[[#This Row],[Totale uren:]])</f>
        <v/>
      </c>
      <c r="M486" s="72"/>
      <c r="N486" s="31"/>
      <c r="O486" s="85" t="str">
        <f>IF(Tabel1[[#This Row],[% uren 3:]]="","",Tabel1[[#This Row],[% uren 3:]]*Tabel1[[#This Row],[Totale uren:]])</f>
        <v/>
      </c>
      <c r="P486" s="138" t="str">
        <f>IF(Tabel1[[#This Row],[Ordernummer:]]="","",SUM(Tabel1[[#This Row],[% uren 1:]],Tabel1[[#This Row],[% uren 2:]],Tabel1[[#This Row],[% uren 3:]]))</f>
        <v/>
      </c>
      <c r="Q486" s="127"/>
      <c r="R486" s="128"/>
      <c r="S486" s="44"/>
      <c r="T486" s="25"/>
    </row>
    <row r="487" spans="2:20" x14ac:dyDescent="0.25">
      <c r="B487" s="7"/>
      <c r="C487" s="10"/>
      <c r="D487" s="10"/>
      <c r="E487" s="72"/>
      <c r="F487" s="73"/>
      <c r="G487" s="72"/>
      <c r="H487" s="31"/>
      <c r="I487" s="85" t="str">
        <f>IF(Tabel1[[#This Row],[% uren 1:]]="","",Tabel1[[#This Row],[% uren 1:]]*Tabel1[[#This Row],[Totale uren:]])</f>
        <v/>
      </c>
      <c r="J487" s="68"/>
      <c r="K487" s="31"/>
      <c r="L487" s="86" t="str">
        <f>IF(Tabel1[[#This Row],[% uren 2:]]="","",Tabel1[[#This Row],[% uren 2:]]*Tabel1[[#This Row],[Totale uren:]])</f>
        <v/>
      </c>
      <c r="M487" s="72"/>
      <c r="N487" s="31"/>
      <c r="O487" s="85" t="str">
        <f>IF(Tabel1[[#This Row],[% uren 3:]]="","",Tabel1[[#This Row],[% uren 3:]]*Tabel1[[#This Row],[Totale uren:]])</f>
        <v/>
      </c>
      <c r="P487" s="138" t="str">
        <f>IF(Tabel1[[#This Row],[Ordernummer:]]="","",SUM(Tabel1[[#This Row],[% uren 1:]],Tabel1[[#This Row],[% uren 2:]],Tabel1[[#This Row],[% uren 3:]]))</f>
        <v/>
      </c>
      <c r="Q487" s="127"/>
      <c r="R487" s="128"/>
      <c r="S487" s="44"/>
      <c r="T487" s="25"/>
    </row>
    <row r="488" spans="2:20" x14ac:dyDescent="0.25">
      <c r="B488" s="7"/>
      <c r="C488" s="10"/>
      <c r="D488" s="10"/>
      <c r="E488" s="72"/>
      <c r="F488" s="73"/>
      <c r="G488" s="72"/>
      <c r="H488" s="31"/>
      <c r="I488" s="85" t="str">
        <f>IF(Tabel1[[#This Row],[% uren 1:]]="","",Tabel1[[#This Row],[% uren 1:]]*Tabel1[[#This Row],[Totale uren:]])</f>
        <v/>
      </c>
      <c r="J488" s="68"/>
      <c r="K488" s="31"/>
      <c r="L488" s="86" t="str">
        <f>IF(Tabel1[[#This Row],[% uren 2:]]="","",Tabel1[[#This Row],[% uren 2:]]*Tabel1[[#This Row],[Totale uren:]])</f>
        <v/>
      </c>
      <c r="M488" s="72"/>
      <c r="N488" s="31"/>
      <c r="O488" s="85" t="str">
        <f>IF(Tabel1[[#This Row],[% uren 3:]]="","",Tabel1[[#This Row],[% uren 3:]]*Tabel1[[#This Row],[Totale uren:]])</f>
        <v/>
      </c>
      <c r="P488" s="138" t="str">
        <f>IF(Tabel1[[#This Row],[Ordernummer:]]="","",SUM(Tabel1[[#This Row],[% uren 1:]],Tabel1[[#This Row],[% uren 2:]],Tabel1[[#This Row],[% uren 3:]]))</f>
        <v/>
      </c>
      <c r="Q488" s="127"/>
      <c r="R488" s="128"/>
      <c r="S488" s="44"/>
      <c r="T488" s="25"/>
    </row>
    <row r="489" spans="2:20" x14ac:dyDescent="0.25">
      <c r="B489" s="7"/>
      <c r="C489" s="10"/>
      <c r="D489" s="10"/>
      <c r="E489" s="72"/>
      <c r="F489" s="73"/>
      <c r="G489" s="72"/>
      <c r="H489" s="31"/>
      <c r="I489" s="85" t="str">
        <f>IF(Tabel1[[#This Row],[% uren 1:]]="","",Tabel1[[#This Row],[% uren 1:]]*Tabel1[[#This Row],[Totale uren:]])</f>
        <v/>
      </c>
      <c r="J489" s="68"/>
      <c r="K489" s="31"/>
      <c r="L489" s="86" t="str">
        <f>IF(Tabel1[[#This Row],[% uren 2:]]="","",Tabel1[[#This Row],[% uren 2:]]*Tabel1[[#This Row],[Totale uren:]])</f>
        <v/>
      </c>
      <c r="M489" s="72"/>
      <c r="N489" s="31"/>
      <c r="O489" s="85" t="str">
        <f>IF(Tabel1[[#This Row],[% uren 3:]]="","",Tabel1[[#This Row],[% uren 3:]]*Tabel1[[#This Row],[Totale uren:]])</f>
        <v/>
      </c>
      <c r="P489" s="138" t="str">
        <f>IF(Tabel1[[#This Row],[Ordernummer:]]="","",SUM(Tabel1[[#This Row],[% uren 1:]],Tabel1[[#This Row],[% uren 2:]],Tabel1[[#This Row],[% uren 3:]]))</f>
        <v/>
      </c>
      <c r="Q489" s="127"/>
      <c r="R489" s="128"/>
      <c r="S489" s="44"/>
      <c r="T489" s="25"/>
    </row>
    <row r="490" spans="2:20" x14ac:dyDescent="0.25">
      <c r="B490" s="7"/>
      <c r="C490" s="10"/>
      <c r="D490" s="10"/>
      <c r="E490" s="72"/>
      <c r="F490" s="73"/>
      <c r="G490" s="72"/>
      <c r="H490" s="31"/>
      <c r="I490" s="85" t="str">
        <f>IF(Tabel1[[#This Row],[% uren 1:]]="","",Tabel1[[#This Row],[% uren 1:]]*Tabel1[[#This Row],[Totale uren:]])</f>
        <v/>
      </c>
      <c r="J490" s="68"/>
      <c r="K490" s="31"/>
      <c r="L490" s="86" t="str">
        <f>IF(Tabel1[[#This Row],[% uren 2:]]="","",Tabel1[[#This Row],[% uren 2:]]*Tabel1[[#This Row],[Totale uren:]])</f>
        <v/>
      </c>
      <c r="M490" s="72"/>
      <c r="N490" s="31"/>
      <c r="O490" s="85" t="str">
        <f>IF(Tabel1[[#This Row],[% uren 3:]]="","",Tabel1[[#This Row],[% uren 3:]]*Tabel1[[#This Row],[Totale uren:]])</f>
        <v/>
      </c>
      <c r="P490" s="138" t="str">
        <f>IF(Tabel1[[#This Row],[Ordernummer:]]="","",SUM(Tabel1[[#This Row],[% uren 1:]],Tabel1[[#This Row],[% uren 2:]],Tabel1[[#This Row],[% uren 3:]]))</f>
        <v/>
      </c>
      <c r="Q490" s="127"/>
      <c r="R490" s="128"/>
      <c r="S490" s="44"/>
      <c r="T490" s="25"/>
    </row>
    <row r="491" spans="2:20" x14ac:dyDescent="0.25">
      <c r="B491" s="7"/>
      <c r="C491" s="10"/>
      <c r="D491" s="10"/>
      <c r="E491" s="72"/>
      <c r="F491" s="73"/>
      <c r="G491" s="72"/>
      <c r="H491" s="31"/>
      <c r="I491" s="85" t="str">
        <f>IF(Tabel1[[#This Row],[% uren 1:]]="","",Tabel1[[#This Row],[% uren 1:]]*Tabel1[[#This Row],[Totale uren:]])</f>
        <v/>
      </c>
      <c r="J491" s="68"/>
      <c r="K491" s="31"/>
      <c r="L491" s="86" t="str">
        <f>IF(Tabel1[[#This Row],[% uren 2:]]="","",Tabel1[[#This Row],[% uren 2:]]*Tabel1[[#This Row],[Totale uren:]])</f>
        <v/>
      </c>
      <c r="M491" s="72"/>
      <c r="N491" s="31"/>
      <c r="O491" s="85" t="str">
        <f>IF(Tabel1[[#This Row],[% uren 3:]]="","",Tabel1[[#This Row],[% uren 3:]]*Tabel1[[#This Row],[Totale uren:]])</f>
        <v/>
      </c>
      <c r="P491" s="138" t="str">
        <f>IF(Tabel1[[#This Row],[Ordernummer:]]="","",SUM(Tabel1[[#This Row],[% uren 1:]],Tabel1[[#This Row],[% uren 2:]],Tabel1[[#This Row],[% uren 3:]]))</f>
        <v/>
      </c>
      <c r="Q491" s="127"/>
      <c r="R491" s="128"/>
      <c r="S491" s="44"/>
      <c r="T491" s="25"/>
    </row>
    <row r="492" spans="2:20" x14ac:dyDescent="0.25">
      <c r="B492" s="7"/>
      <c r="C492" s="10"/>
      <c r="D492" s="10"/>
      <c r="E492" s="72"/>
      <c r="F492" s="73"/>
      <c r="G492" s="72"/>
      <c r="H492" s="31"/>
      <c r="I492" s="85" t="str">
        <f>IF(Tabel1[[#This Row],[% uren 1:]]="","",Tabel1[[#This Row],[% uren 1:]]*Tabel1[[#This Row],[Totale uren:]])</f>
        <v/>
      </c>
      <c r="J492" s="68"/>
      <c r="K492" s="31"/>
      <c r="L492" s="86" t="str">
        <f>IF(Tabel1[[#This Row],[% uren 2:]]="","",Tabel1[[#This Row],[% uren 2:]]*Tabel1[[#This Row],[Totale uren:]])</f>
        <v/>
      </c>
      <c r="M492" s="72"/>
      <c r="N492" s="31"/>
      <c r="O492" s="85" t="str">
        <f>IF(Tabel1[[#This Row],[% uren 3:]]="","",Tabel1[[#This Row],[% uren 3:]]*Tabel1[[#This Row],[Totale uren:]])</f>
        <v/>
      </c>
      <c r="P492" s="138" t="str">
        <f>IF(Tabel1[[#This Row],[Ordernummer:]]="","",SUM(Tabel1[[#This Row],[% uren 1:]],Tabel1[[#This Row],[% uren 2:]],Tabel1[[#This Row],[% uren 3:]]))</f>
        <v/>
      </c>
      <c r="Q492" s="127"/>
      <c r="R492" s="128"/>
      <c r="S492" s="44"/>
      <c r="T492" s="25"/>
    </row>
    <row r="493" spans="2:20" x14ac:dyDescent="0.25">
      <c r="B493" s="7"/>
      <c r="C493" s="10"/>
      <c r="D493" s="10"/>
      <c r="E493" s="72"/>
      <c r="F493" s="73"/>
      <c r="G493" s="72"/>
      <c r="H493" s="31"/>
      <c r="I493" s="85" t="str">
        <f>IF(Tabel1[[#This Row],[% uren 1:]]="","",Tabel1[[#This Row],[% uren 1:]]*Tabel1[[#This Row],[Totale uren:]])</f>
        <v/>
      </c>
      <c r="J493" s="68"/>
      <c r="K493" s="31"/>
      <c r="L493" s="86" t="str">
        <f>IF(Tabel1[[#This Row],[% uren 2:]]="","",Tabel1[[#This Row],[% uren 2:]]*Tabel1[[#This Row],[Totale uren:]])</f>
        <v/>
      </c>
      <c r="M493" s="72"/>
      <c r="N493" s="31"/>
      <c r="O493" s="85" t="str">
        <f>IF(Tabel1[[#This Row],[% uren 3:]]="","",Tabel1[[#This Row],[% uren 3:]]*Tabel1[[#This Row],[Totale uren:]])</f>
        <v/>
      </c>
      <c r="P493" s="138" t="str">
        <f>IF(Tabel1[[#This Row],[Ordernummer:]]="","",SUM(Tabel1[[#This Row],[% uren 1:]],Tabel1[[#This Row],[% uren 2:]],Tabel1[[#This Row],[% uren 3:]]))</f>
        <v/>
      </c>
      <c r="Q493" s="127"/>
      <c r="R493" s="128"/>
      <c r="S493" s="44"/>
      <c r="T493" s="25"/>
    </row>
    <row r="494" spans="2:20" x14ac:dyDescent="0.25">
      <c r="B494" s="7"/>
      <c r="C494" s="10"/>
      <c r="D494" s="10"/>
      <c r="E494" s="72"/>
      <c r="F494" s="73"/>
      <c r="G494" s="72"/>
      <c r="H494" s="31"/>
      <c r="I494" s="85" t="str">
        <f>IF(Tabel1[[#This Row],[% uren 1:]]="","",Tabel1[[#This Row],[% uren 1:]]*Tabel1[[#This Row],[Totale uren:]])</f>
        <v/>
      </c>
      <c r="J494" s="68"/>
      <c r="K494" s="31"/>
      <c r="L494" s="86" t="str">
        <f>IF(Tabel1[[#This Row],[% uren 2:]]="","",Tabel1[[#This Row],[% uren 2:]]*Tabel1[[#This Row],[Totale uren:]])</f>
        <v/>
      </c>
      <c r="M494" s="72"/>
      <c r="N494" s="31"/>
      <c r="O494" s="85" t="str">
        <f>IF(Tabel1[[#This Row],[% uren 3:]]="","",Tabel1[[#This Row],[% uren 3:]]*Tabel1[[#This Row],[Totale uren:]])</f>
        <v/>
      </c>
      <c r="P494" s="138" t="str">
        <f>IF(Tabel1[[#This Row],[Ordernummer:]]="","",SUM(Tabel1[[#This Row],[% uren 1:]],Tabel1[[#This Row],[% uren 2:]],Tabel1[[#This Row],[% uren 3:]]))</f>
        <v/>
      </c>
      <c r="Q494" s="127"/>
      <c r="R494" s="128"/>
      <c r="S494" s="44"/>
      <c r="T494" s="25"/>
    </row>
    <row r="495" spans="2:20" x14ac:dyDescent="0.25">
      <c r="B495" s="7"/>
      <c r="C495" s="10"/>
      <c r="D495" s="10"/>
      <c r="E495" s="72"/>
      <c r="F495" s="73"/>
      <c r="G495" s="72"/>
      <c r="H495" s="31"/>
      <c r="I495" s="85" t="str">
        <f>IF(Tabel1[[#This Row],[% uren 1:]]="","",Tabel1[[#This Row],[% uren 1:]]*Tabel1[[#This Row],[Totale uren:]])</f>
        <v/>
      </c>
      <c r="J495" s="68"/>
      <c r="K495" s="31"/>
      <c r="L495" s="86" t="str">
        <f>IF(Tabel1[[#This Row],[% uren 2:]]="","",Tabel1[[#This Row],[% uren 2:]]*Tabel1[[#This Row],[Totale uren:]])</f>
        <v/>
      </c>
      <c r="M495" s="72"/>
      <c r="N495" s="31"/>
      <c r="O495" s="85" t="str">
        <f>IF(Tabel1[[#This Row],[% uren 3:]]="","",Tabel1[[#This Row],[% uren 3:]]*Tabel1[[#This Row],[Totale uren:]])</f>
        <v/>
      </c>
      <c r="P495" s="138" t="str">
        <f>IF(Tabel1[[#This Row],[Ordernummer:]]="","",SUM(Tabel1[[#This Row],[% uren 1:]],Tabel1[[#This Row],[% uren 2:]],Tabel1[[#This Row],[% uren 3:]]))</f>
        <v/>
      </c>
      <c r="Q495" s="127"/>
      <c r="R495" s="128"/>
      <c r="S495" s="44"/>
      <c r="T495" s="25"/>
    </row>
    <row r="496" spans="2:20" x14ac:dyDescent="0.25">
      <c r="B496" s="7"/>
      <c r="C496" s="10"/>
      <c r="D496" s="10"/>
      <c r="E496" s="72"/>
      <c r="F496" s="73"/>
      <c r="G496" s="72"/>
      <c r="H496" s="31"/>
      <c r="I496" s="85" t="str">
        <f>IF(Tabel1[[#This Row],[% uren 1:]]="","",Tabel1[[#This Row],[% uren 1:]]*Tabel1[[#This Row],[Totale uren:]])</f>
        <v/>
      </c>
      <c r="J496" s="68"/>
      <c r="K496" s="31"/>
      <c r="L496" s="86" t="str">
        <f>IF(Tabel1[[#This Row],[% uren 2:]]="","",Tabel1[[#This Row],[% uren 2:]]*Tabel1[[#This Row],[Totale uren:]])</f>
        <v/>
      </c>
      <c r="M496" s="72"/>
      <c r="N496" s="31"/>
      <c r="O496" s="85" t="str">
        <f>IF(Tabel1[[#This Row],[% uren 3:]]="","",Tabel1[[#This Row],[% uren 3:]]*Tabel1[[#This Row],[Totale uren:]])</f>
        <v/>
      </c>
      <c r="P496" s="138" t="str">
        <f>IF(Tabel1[[#This Row],[Ordernummer:]]="","",SUM(Tabel1[[#This Row],[% uren 1:]],Tabel1[[#This Row],[% uren 2:]],Tabel1[[#This Row],[% uren 3:]]))</f>
        <v/>
      </c>
      <c r="Q496" s="127"/>
      <c r="R496" s="128"/>
      <c r="S496" s="44"/>
      <c r="T496" s="25"/>
    </row>
    <row r="497" spans="2:20" x14ac:dyDescent="0.25">
      <c r="B497" s="7"/>
      <c r="C497" s="10"/>
      <c r="D497" s="10"/>
      <c r="E497" s="72"/>
      <c r="F497" s="73"/>
      <c r="G497" s="72"/>
      <c r="H497" s="31"/>
      <c r="I497" s="85" t="str">
        <f>IF(Tabel1[[#This Row],[% uren 1:]]="","",Tabel1[[#This Row],[% uren 1:]]*Tabel1[[#This Row],[Totale uren:]])</f>
        <v/>
      </c>
      <c r="J497" s="68"/>
      <c r="K497" s="31"/>
      <c r="L497" s="86" t="str">
        <f>IF(Tabel1[[#This Row],[% uren 2:]]="","",Tabel1[[#This Row],[% uren 2:]]*Tabel1[[#This Row],[Totale uren:]])</f>
        <v/>
      </c>
      <c r="M497" s="72"/>
      <c r="N497" s="31"/>
      <c r="O497" s="85" t="str">
        <f>IF(Tabel1[[#This Row],[% uren 3:]]="","",Tabel1[[#This Row],[% uren 3:]]*Tabel1[[#This Row],[Totale uren:]])</f>
        <v/>
      </c>
      <c r="P497" s="138" t="str">
        <f>IF(Tabel1[[#This Row],[Ordernummer:]]="","",SUM(Tabel1[[#This Row],[% uren 1:]],Tabel1[[#This Row],[% uren 2:]],Tabel1[[#This Row],[% uren 3:]]))</f>
        <v/>
      </c>
      <c r="Q497" s="127"/>
      <c r="R497" s="128"/>
      <c r="S497" s="44"/>
      <c r="T497" s="25"/>
    </row>
    <row r="498" spans="2:20" x14ac:dyDescent="0.25">
      <c r="B498" s="7"/>
      <c r="C498" s="10"/>
      <c r="D498" s="10"/>
      <c r="E498" s="72"/>
      <c r="F498" s="73"/>
      <c r="G498" s="72"/>
      <c r="H498" s="31"/>
      <c r="I498" s="85" t="str">
        <f>IF(Tabel1[[#This Row],[% uren 1:]]="","",Tabel1[[#This Row],[% uren 1:]]*Tabel1[[#This Row],[Totale uren:]])</f>
        <v/>
      </c>
      <c r="J498" s="68"/>
      <c r="K498" s="31"/>
      <c r="L498" s="86" t="str">
        <f>IF(Tabel1[[#This Row],[% uren 2:]]="","",Tabel1[[#This Row],[% uren 2:]]*Tabel1[[#This Row],[Totale uren:]])</f>
        <v/>
      </c>
      <c r="M498" s="72"/>
      <c r="N498" s="31"/>
      <c r="O498" s="85" t="str">
        <f>IF(Tabel1[[#This Row],[% uren 3:]]="","",Tabel1[[#This Row],[% uren 3:]]*Tabel1[[#This Row],[Totale uren:]])</f>
        <v/>
      </c>
      <c r="P498" s="138" t="str">
        <f>IF(Tabel1[[#This Row],[Ordernummer:]]="","",SUM(Tabel1[[#This Row],[% uren 1:]],Tabel1[[#This Row],[% uren 2:]],Tabel1[[#This Row],[% uren 3:]]))</f>
        <v/>
      </c>
      <c r="Q498" s="127"/>
      <c r="R498" s="128"/>
      <c r="S498" s="44"/>
      <c r="T498" s="25"/>
    </row>
    <row r="499" spans="2:20" x14ac:dyDescent="0.25">
      <c r="B499" s="7"/>
      <c r="C499" s="10"/>
      <c r="D499" s="10"/>
      <c r="E499" s="72"/>
      <c r="F499" s="73"/>
      <c r="G499" s="72"/>
      <c r="H499" s="31"/>
      <c r="I499" s="85" t="str">
        <f>IF(Tabel1[[#This Row],[% uren 1:]]="","",Tabel1[[#This Row],[% uren 1:]]*Tabel1[[#This Row],[Totale uren:]])</f>
        <v/>
      </c>
      <c r="J499" s="68"/>
      <c r="K499" s="31"/>
      <c r="L499" s="86" t="str">
        <f>IF(Tabel1[[#This Row],[% uren 2:]]="","",Tabel1[[#This Row],[% uren 2:]]*Tabel1[[#This Row],[Totale uren:]])</f>
        <v/>
      </c>
      <c r="M499" s="72"/>
      <c r="N499" s="31"/>
      <c r="O499" s="85" t="str">
        <f>IF(Tabel1[[#This Row],[% uren 3:]]="","",Tabel1[[#This Row],[% uren 3:]]*Tabel1[[#This Row],[Totale uren:]])</f>
        <v/>
      </c>
      <c r="P499" s="138" t="str">
        <f>IF(Tabel1[[#This Row],[Ordernummer:]]="","",SUM(Tabel1[[#This Row],[% uren 1:]],Tabel1[[#This Row],[% uren 2:]],Tabel1[[#This Row],[% uren 3:]]))</f>
        <v/>
      </c>
      <c r="Q499" s="127"/>
      <c r="R499" s="128"/>
      <c r="S499" s="44"/>
      <c r="T499" s="25"/>
    </row>
    <row r="500" spans="2:20" x14ac:dyDescent="0.25">
      <c r="B500" s="7"/>
      <c r="C500" s="10"/>
      <c r="D500" s="10"/>
      <c r="E500" s="72"/>
      <c r="F500" s="73"/>
      <c r="G500" s="72"/>
      <c r="H500" s="31"/>
      <c r="I500" s="85" t="str">
        <f>IF(Tabel1[[#This Row],[% uren 1:]]="","",Tabel1[[#This Row],[% uren 1:]]*Tabel1[[#This Row],[Totale uren:]])</f>
        <v/>
      </c>
      <c r="J500" s="68"/>
      <c r="K500" s="31"/>
      <c r="L500" s="86" t="str">
        <f>IF(Tabel1[[#This Row],[% uren 2:]]="","",Tabel1[[#This Row],[% uren 2:]]*Tabel1[[#This Row],[Totale uren:]])</f>
        <v/>
      </c>
      <c r="M500" s="72"/>
      <c r="N500" s="31"/>
      <c r="O500" s="85" t="str">
        <f>IF(Tabel1[[#This Row],[% uren 3:]]="","",Tabel1[[#This Row],[% uren 3:]]*Tabel1[[#This Row],[Totale uren:]])</f>
        <v/>
      </c>
      <c r="P500" s="138" t="str">
        <f>IF(Tabel1[[#This Row],[Ordernummer:]]="","",SUM(Tabel1[[#This Row],[% uren 1:]],Tabel1[[#This Row],[% uren 2:]],Tabel1[[#This Row],[% uren 3:]]))</f>
        <v/>
      </c>
      <c r="Q500" s="127"/>
      <c r="R500" s="128"/>
      <c r="S500" s="44"/>
      <c r="T500" s="25"/>
    </row>
    <row r="501" spans="2:20" x14ac:dyDescent="0.25">
      <c r="B501" s="7"/>
      <c r="C501" s="10"/>
      <c r="D501" s="10"/>
      <c r="E501" s="72"/>
      <c r="F501" s="73"/>
      <c r="G501" s="72"/>
      <c r="H501" s="31"/>
      <c r="I501" s="85" t="str">
        <f>IF(Tabel1[[#This Row],[% uren 1:]]="","",Tabel1[[#This Row],[% uren 1:]]*Tabel1[[#This Row],[Totale uren:]])</f>
        <v/>
      </c>
      <c r="J501" s="68"/>
      <c r="K501" s="31"/>
      <c r="L501" s="86" t="str">
        <f>IF(Tabel1[[#This Row],[% uren 2:]]="","",Tabel1[[#This Row],[% uren 2:]]*Tabel1[[#This Row],[Totale uren:]])</f>
        <v/>
      </c>
      <c r="M501" s="72"/>
      <c r="N501" s="31"/>
      <c r="O501" s="85" t="str">
        <f>IF(Tabel1[[#This Row],[% uren 3:]]="","",Tabel1[[#This Row],[% uren 3:]]*Tabel1[[#This Row],[Totale uren:]])</f>
        <v/>
      </c>
      <c r="P501" s="138" t="str">
        <f>IF(Tabel1[[#This Row],[Ordernummer:]]="","",SUM(Tabel1[[#This Row],[% uren 1:]],Tabel1[[#This Row],[% uren 2:]],Tabel1[[#This Row],[% uren 3:]]))</f>
        <v/>
      </c>
      <c r="Q501" s="127"/>
      <c r="R501" s="128"/>
      <c r="S501" s="44"/>
      <c r="T501" s="25"/>
    </row>
    <row r="502" spans="2:20" x14ac:dyDescent="0.25">
      <c r="B502" s="7"/>
      <c r="C502" s="10"/>
      <c r="D502" s="10"/>
      <c r="E502" s="72"/>
      <c r="F502" s="73"/>
      <c r="G502" s="72"/>
      <c r="H502" s="31"/>
      <c r="I502" s="85" t="str">
        <f>IF(Tabel1[[#This Row],[% uren 1:]]="","",Tabel1[[#This Row],[% uren 1:]]*Tabel1[[#This Row],[Totale uren:]])</f>
        <v/>
      </c>
      <c r="J502" s="68"/>
      <c r="K502" s="31"/>
      <c r="L502" s="86" t="str">
        <f>IF(Tabel1[[#This Row],[% uren 2:]]="","",Tabel1[[#This Row],[% uren 2:]]*Tabel1[[#This Row],[Totale uren:]])</f>
        <v/>
      </c>
      <c r="M502" s="72"/>
      <c r="N502" s="31"/>
      <c r="O502" s="85" t="str">
        <f>IF(Tabel1[[#This Row],[% uren 3:]]="","",Tabel1[[#This Row],[% uren 3:]]*Tabel1[[#This Row],[Totale uren:]])</f>
        <v/>
      </c>
      <c r="P502" s="138" t="str">
        <f>IF(Tabel1[[#This Row],[Ordernummer:]]="","",SUM(Tabel1[[#This Row],[% uren 1:]],Tabel1[[#This Row],[% uren 2:]],Tabel1[[#This Row],[% uren 3:]]))</f>
        <v/>
      </c>
      <c r="Q502" s="127"/>
      <c r="R502" s="128"/>
      <c r="S502" s="44"/>
      <c r="T502" s="25"/>
    </row>
    <row r="503" spans="2:20" x14ac:dyDescent="0.25">
      <c r="B503" s="7"/>
      <c r="C503" s="10"/>
      <c r="D503" s="10"/>
      <c r="E503" s="72"/>
      <c r="F503" s="73"/>
      <c r="G503" s="72"/>
      <c r="H503" s="31"/>
      <c r="I503" s="85" t="str">
        <f>IF(Tabel1[[#This Row],[% uren 1:]]="","",Tabel1[[#This Row],[% uren 1:]]*Tabel1[[#This Row],[Totale uren:]])</f>
        <v/>
      </c>
      <c r="J503" s="68"/>
      <c r="K503" s="31"/>
      <c r="L503" s="86" t="str">
        <f>IF(Tabel1[[#This Row],[% uren 2:]]="","",Tabel1[[#This Row],[% uren 2:]]*Tabel1[[#This Row],[Totale uren:]])</f>
        <v/>
      </c>
      <c r="M503" s="72"/>
      <c r="N503" s="31"/>
      <c r="O503" s="85" t="str">
        <f>IF(Tabel1[[#This Row],[% uren 3:]]="","",Tabel1[[#This Row],[% uren 3:]]*Tabel1[[#This Row],[Totale uren:]])</f>
        <v/>
      </c>
      <c r="P503" s="138" t="str">
        <f>IF(Tabel1[[#This Row],[Ordernummer:]]="","",SUM(Tabel1[[#This Row],[% uren 1:]],Tabel1[[#This Row],[% uren 2:]],Tabel1[[#This Row],[% uren 3:]]))</f>
        <v/>
      </c>
      <c r="Q503" s="127"/>
      <c r="R503" s="128"/>
      <c r="S503" s="44"/>
      <c r="T503" s="25"/>
    </row>
    <row r="504" spans="2:20" x14ac:dyDescent="0.25">
      <c r="B504" s="7"/>
      <c r="C504" s="10"/>
      <c r="D504" s="10"/>
      <c r="E504" s="72"/>
      <c r="F504" s="73"/>
      <c r="G504" s="72"/>
      <c r="H504" s="31"/>
      <c r="I504" s="85" t="str">
        <f>IF(Tabel1[[#This Row],[% uren 1:]]="","",Tabel1[[#This Row],[% uren 1:]]*Tabel1[[#This Row],[Totale uren:]])</f>
        <v/>
      </c>
      <c r="J504" s="68"/>
      <c r="K504" s="31"/>
      <c r="L504" s="86" t="str">
        <f>IF(Tabel1[[#This Row],[% uren 2:]]="","",Tabel1[[#This Row],[% uren 2:]]*Tabel1[[#This Row],[Totale uren:]])</f>
        <v/>
      </c>
      <c r="M504" s="72"/>
      <c r="N504" s="31"/>
      <c r="O504" s="85" t="str">
        <f>IF(Tabel1[[#This Row],[% uren 3:]]="","",Tabel1[[#This Row],[% uren 3:]]*Tabel1[[#This Row],[Totale uren:]])</f>
        <v/>
      </c>
      <c r="P504" s="138" t="str">
        <f>IF(Tabel1[[#This Row],[Ordernummer:]]="","",SUM(Tabel1[[#This Row],[% uren 1:]],Tabel1[[#This Row],[% uren 2:]],Tabel1[[#This Row],[% uren 3:]]))</f>
        <v/>
      </c>
      <c r="Q504" s="127"/>
      <c r="R504" s="128"/>
      <c r="S504" s="44"/>
      <c r="T504" s="25"/>
    </row>
    <row r="505" spans="2:20" x14ac:dyDescent="0.25">
      <c r="B505" s="7"/>
      <c r="C505" s="10"/>
      <c r="D505" s="10"/>
      <c r="E505" s="72"/>
      <c r="F505" s="73"/>
      <c r="G505" s="72"/>
      <c r="H505" s="31"/>
      <c r="I505" s="85" t="str">
        <f>IF(Tabel1[[#This Row],[% uren 1:]]="","",Tabel1[[#This Row],[% uren 1:]]*Tabel1[[#This Row],[Totale uren:]])</f>
        <v/>
      </c>
      <c r="J505" s="68"/>
      <c r="K505" s="31"/>
      <c r="L505" s="86" t="str">
        <f>IF(Tabel1[[#This Row],[% uren 2:]]="","",Tabel1[[#This Row],[% uren 2:]]*Tabel1[[#This Row],[Totale uren:]])</f>
        <v/>
      </c>
      <c r="M505" s="72"/>
      <c r="N505" s="31"/>
      <c r="O505" s="85" t="str">
        <f>IF(Tabel1[[#This Row],[% uren 3:]]="","",Tabel1[[#This Row],[% uren 3:]]*Tabel1[[#This Row],[Totale uren:]])</f>
        <v/>
      </c>
      <c r="P505" s="138" t="str">
        <f>IF(Tabel1[[#This Row],[Ordernummer:]]="","",SUM(Tabel1[[#This Row],[% uren 1:]],Tabel1[[#This Row],[% uren 2:]],Tabel1[[#This Row],[% uren 3:]]))</f>
        <v/>
      </c>
      <c r="Q505" s="127"/>
      <c r="R505" s="128"/>
      <c r="S505" s="44"/>
      <c r="T505" s="25"/>
    </row>
    <row r="506" spans="2:20" x14ac:dyDescent="0.25">
      <c r="B506" s="7"/>
      <c r="C506" s="10"/>
      <c r="D506" s="10"/>
      <c r="E506" s="72"/>
      <c r="F506" s="73"/>
      <c r="G506" s="72"/>
      <c r="H506" s="31"/>
      <c r="I506" s="85" t="str">
        <f>IF(Tabel1[[#This Row],[% uren 1:]]="","",Tabel1[[#This Row],[% uren 1:]]*Tabel1[[#This Row],[Totale uren:]])</f>
        <v/>
      </c>
      <c r="J506" s="68"/>
      <c r="K506" s="31"/>
      <c r="L506" s="86" t="str">
        <f>IF(Tabel1[[#This Row],[% uren 2:]]="","",Tabel1[[#This Row],[% uren 2:]]*Tabel1[[#This Row],[Totale uren:]])</f>
        <v/>
      </c>
      <c r="M506" s="72"/>
      <c r="N506" s="31"/>
      <c r="O506" s="85" t="str">
        <f>IF(Tabel1[[#This Row],[% uren 3:]]="","",Tabel1[[#This Row],[% uren 3:]]*Tabel1[[#This Row],[Totale uren:]])</f>
        <v/>
      </c>
      <c r="P506" s="138" t="str">
        <f>IF(Tabel1[[#This Row],[Ordernummer:]]="","",SUM(Tabel1[[#This Row],[% uren 1:]],Tabel1[[#This Row],[% uren 2:]],Tabel1[[#This Row],[% uren 3:]]))</f>
        <v/>
      </c>
      <c r="Q506" s="127"/>
      <c r="R506" s="128"/>
      <c r="S506" s="44"/>
      <c r="T506" s="25"/>
    </row>
    <row r="507" spans="2:20" x14ac:dyDescent="0.25">
      <c r="B507" s="7"/>
      <c r="C507" s="10"/>
      <c r="D507" s="10"/>
      <c r="E507" s="72"/>
      <c r="F507" s="73"/>
      <c r="G507" s="72"/>
      <c r="H507" s="31"/>
      <c r="I507" s="85" t="str">
        <f>IF(Tabel1[[#This Row],[% uren 1:]]="","",Tabel1[[#This Row],[% uren 1:]]*Tabel1[[#This Row],[Totale uren:]])</f>
        <v/>
      </c>
      <c r="J507" s="68"/>
      <c r="K507" s="31"/>
      <c r="L507" s="86" t="str">
        <f>IF(Tabel1[[#This Row],[% uren 2:]]="","",Tabel1[[#This Row],[% uren 2:]]*Tabel1[[#This Row],[Totale uren:]])</f>
        <v/>
      </c>
      <c r="M507" s="72"/>
      <c r="N507" s="31"/>
      <c r="O507" s="85" t="str">
        <f>IF(Tabel1[[#This Row],[% uren 3:]]="","",Tabel1[[#This Row],[% uren 3:]]*Tabel1[[#This Row],[Totale uren:]])</f>
        <v/>
      </c>
      <c r="P507" s="138" t="str">
        <f>IF(Tabel1[[#This Row],[Ordernummer:]]="","",SUM(Tabel1[[#This Row],[% uren 1:]],Tabel1[[#This Row],[% uren 2:]],Tabel1[[#This Row],[% uren 3:]]))</f>
        <v/>
      </c>
      <c r="Q507" s="127"/>
      <c r="R507" s="128"/>
      <c r="S507" s="44"/>
      <c r="T507" s="25"/>
    </row>
    <row r="508" spans="2:20" x14ac:dyDescent="0.25">
      <c r="B508" s="7"/>
      <c r="C508" s="10"/>
      <c r="D508" s="10"/>
      <c r="E508" s="72"/>
      <c r="F508" s="73"/>
      <c r="G508" s="72"/>
      <c r="H508" s="31"/>
      <c r="I508" s="85" t="str">
        <f>IF(Tabel1[[#This Row],[% uren 1:]]="","",Tabel1[[#This Row],[% uren 1:]]*Tabel1[[#This Row],[Totale uren:]])</f>
        <v/>
      </c>
      <c r="J508" s="68"/>
      <c r="K508" s="31"/>
      <c r="L508" s="86" t="str">
        <f>IF(Tabel1[[#This Row],[% uren 2:]]="","",Tabel1[[#This Row],[% uren 2:]]*Tabel1[[#This Row],[Totale uren:]])</f>
        <v/>
      </c>
      <c r="M508" s="72"/>
      <c r="N508" s="31"/>
      <c r="O508" s="85" t="str">
        <f>IF(Tabel1[[#This Row],[% uren 3:]]="","",Tabel1[[#This Row],[% uren 3:]]*Tabel1[[#This Row],[Totale uren:]])</f>
        <v/>
      </c>
      <c r="P508" s="138" t="str">
        <f>IF(Tabel1[[#This Row],[Ordernummer:]]="","",SUM(Tabel1[[#This Row],[% uren 1:]],Tabel1[[#This Row],[% uren 2:]],Tabel1[[#This Row],[% uren 3:]]))</f>
        <v/>
      </c>
      <c r="Q508" s="127"/>
      <c r="R508" s="128"/>
      <c r="S508" s="44"/>
      <c r="T508" s="25"/>
    </row>
    <row r="509" spans="2:20" x14ac:dyDescent="0.25">
      <c r="B509" s="7"/>
      <c r="C509" s="10"/>
      <c r="D509" s="10"/>
      <c r="E509" s="72"/>
      <c r="F509" s="73"/>
      <c r="G509" s="72"/>
      <c r="H509" s="31"/>
      <c r="I509" s="85" t="str">
        <f>IF(Tabel1[[#This Row],[% uren 1:]]="","",Tabel1[[#This Row],[% uren 1:]]*Tabel1[[#This Row],[Totale uren:]])</f>
        <v/>
      </c>
      <c r="J509" s="68"/>
      <c r="K509" s="31"/>
      <c r="L509" s="86" t="str">
        <f>IF(Tabel1[[#This Row],[% uren 2:]]="","",Tabel1[[#This Row],[% uren 2:]]*Tabel1[[#This Row],[Totale uren:]])</f>
        <v/>
      </c>
      <c r="M509" s="72"/>
      <c r="N509" s="31"/>
      <c r="O509" s="85" t="str">
        <f>IF(Tabel1[[#This Row],[% uren 3:]]="","",Tabel1[[#This Row],[% uren 3:]]*Tabel1[[#This Row],[Totale uren:]])</f>
        <v/>
      </c>
      <c r="P509" s="138" t="str">
        <f>IF(Tabel1[[#This Row],[Ordernummer:]]="","",SUM(Tabel1[[#This Row],[% uren 1:]],Tabel1[[#This Row],[% uren 2:]],Tabel1[[#This Row],[% uren 3:]]))</f>
        <v/>
      </c>
      <c r="Q509" s="127"/>
      <c r="R509" s="128"/>
      <c r="S509" s="44"/>
      <c r="T509" s="25"/>
    </row>
    <row r="510" spans="2:20" x14ac:dyDescent="0.25">
      <c r="B510" s="7"/>
      <c r="C510" s="10"/>
      <c r="D510" s="10"/>
      <c r="E510" s="72"/>
      <c r="F510" s="73"/>
      <c r="G510" s="72"/>
      <c r="H510" s="31"/>
      <c r="I510" s="85" t="str">
        <f>IF(Tabel1[[#This Row],[% uren 1:]]="","",Tabel1[[#This Row],[% uren 1:]]*Tabel1[[#This Row],[Totale uren:]])</f>
        <v/>
      </c>
      <c r="J510" s="68"/>
      <c r="K510" s="31"/>
      <c r="L510" s="86" t="str">
        <f>IF(Tabel1[[#This Row],[% uren 2:]]="","",Tabel1[[#This Row],[% uren 2:]]*Tabel1[[#This Row],[Totale uren:]])</f>
        <v/>
      </c>
      <c r="M510" s="72"/>
      <c r="N510" s="31"/>
      <c r="O510" s="85" t="str">
        <f>IF(Tabel1[[#This Row],[% uren 3:]]="","",Tabel1[[#This Row],[% uren 3:]]*Tabel1[[#This Row],[Totale uren:]])</f>
        <v/>
      </c>
      <c r="P510" s="138" t="str">
        <f>IF(Tabel1[[#This Row],[Ordernummer:]]="","",SUM(Tabel1[[#This Row],[% uren 1:]],Tabel1[[#This Row],[% uren 2:]],Tabel1[[#This Row],[% uren 3:]]))</f>
        <v/>
      </c>
      <c r="Q510" s="127"/>
      <c r="R510" s="128"/>
      <c r="S510" s="44"/>
      <c r="T510" s="25"/>
    </row>
    <row r="511" spans="2:20" x14ac:dyDescent="0.25">
      <c r="B511" s="7"/>
      <c r="C511" s="10"/>
      <c r="D511" s="10"/>
      <c r="E511" s="72"/>
      <c r="F511" s="73"/>
      <c r="G511" s="72"/>
      <c r="H511" s="31"/>
      <c r="I511" s="85" t="str">
        <f>IF(Tabel1[[#This Row],[% uren 1:]]="","",Tabel1[[#This Row],[% uren 1:]]*Tabel1[[#This Row],[Totale uren:]])</f>
        <v/>
      </c>
      <c r="J511" s="68"/>
      <c r="K511" s="31"/>
      <c r="L511" s="86" t="str">
        <f>IF(Tabel1[[#This Row],[% uren 2:]]="","",Tabel1[[#This Row],[% uren 2:]]*Tabel1[[#This Row],[Totale uren:]])</f>
        <v/>
      </c>
      <c r="M511" s="72"/>
      <c r="N511" s="31"/>
      <c r="O511" s="85" t="str">
        <f>IF(Tabel1[[#This Row],[% uren 3:]]="","",Tabel1[[#This Row],[% uren 3:]]*Tabel1[[#This Row],[Totale uren:]])</f>
        <v/>
      </c>
      <c r="P511" s="138" t="str">
        <f>IF(Tabel1[[#This Row],[Ordernummer:]]="","",SUM(Tabel1[[#This Row],[% uren 1:]],Tabel1[[#This Row],[% uren 2:]],Tabel1[[#This Row],[% uren 3:]]))</f>
        <v/>
      </c>
      <c r="Q511" s="127"/>
      <c r="R511" s="128"/>
      <c r="S511" s="44"/>
      <c r="T511" s="25"/>
    </row>
    <row r="512" spans="2:20" x14ac:dyDescent="0.25">
      <c r="B512" s="7"/>
      <c r="C512" s="10"/>
      <c r="D512" s="10"/>
      <c r="E512" s="72"/>
      <c r="F512" s="73"/>
      <c r="G512" s="72"/>
      <c r="H512" s="31"/>
      <c r="I512" s="85" t="str">
        <f>IF(Tabel1[[#This Row],[% uren 1:]]="","",Tabel1[[#This Row],[% uren 1:]]*Tabel1[[#This Row],[Totale uren:]])</f>
        <v/>
      </c>
      <c r="J512" s="68"/>
      <c r="K512" s="31"/>
      <c r="L512" s="86" t="str">
        <f>IF(Tabel1[[#This Row],[% uren 2:]]="","",Tabel1[[#This Row],[% uren 2:]]*Tabel1[[#This Row],[Totale uren:]])</f>
        <v/>
      </c>
      <c r="M512" s="72"/>
      <c r="N512" s="31"/>
      <c r="O512" s="85" t="str">
        <f>IF(Tabel1[[#This Row],[% uren 3:]]="","",Tabel1[[#This Row],[% uren 3:]]*Tabel1[[#This Row],[Totale uren:]])</f>
        <v/>
      </c>
      <c r="P512" s="138" t="str">
        <f>IF(Tabel1[[#This Row],[Ordernummer:]]="","",SUM(Tabel1[[#This Row],[% uren 1:]],Tabel1[[#This Row],[% uren 2:]],Tabel1[[#This Row],[% uren 3:]]))</f>
        <v/>
      </c>
      <c r="Q512" s="127"/>
      <c r="R512" s="128"/>
      <c r="S512" s="44"/>
      <c r="T512" s="25"/>
    </row>
    <row r="513" spans="2:20" x14ac:dyDescent="0.25">
      <c r="B513" s="7"/>
      <c r="C513" s="10"/>
      <c r="D513" s="10"/>
      <c r="E513" s="72"/>
      <c r="F513" s="73"/>
      <c r="G513" s="72"/>
      <c r="H513" s="31"/>
      <c r="I513" s="85" t="str">
        <f>IF(Tabel1[[#This Row],[% uren 1:]]="","",Tabel1[[#This Row],[% uren 1:]]*Tabel1[[#This Row],[Totale uren:]])</f>
        <v/>
      </c>
      <c r="J513" s="68"/>
      <c r="K513" s="31"/>
      <c r="L513" s="86" t="str">
        <f>IF(Tabel1[[#This Row],[% uren 2:]]="","",Tabel1[[#This Row],[% uren 2:]]*Tabel1[[#This Row],[Totale uren:]])</f>
        <v/>
      </c>
      <c r="M513" s="72"/>
      <c r="N513" s="31"/>
      <c r="O513" s="85" t="str">
        <f>IF(Tabel1[[#This Row],[% uren 3:]]="","",Tabel1[[#This Row],[% uren 3:]]*Tabel1[[#This Row],[Totale uren:]])</f>
        <v/>
      </c>
      <c r="P513" s="138" t="str">
        <f>IF(Tabel1[[#This Row],[Ordernummer:]]="","",SUM(Tabel1[[#This Row],[% uren 1:]],Tabel1[[#This Row],[% uren 2:]],Tabel1[[#This Row],[% uren 3:]]))</f>
        <v/>
      </c>
      <c r="Q513" s="127"/>
      <c r="R513" s="128"/>
      <c r="S513" s="44"/>
      <c r="T513" s="25"/>
    </row>
    <row r="514" spans="2:20" x14ac:dyDescent="0.25">
      <c r="B514" s="7"/>
      <c r="C514" s="10"/>
      <c r="D514" s="10"/>
      <c r="E514" s="72"/>
      <c r="F514" s="73"/>
      <c r="G514" s="72"/>
      <c r="H514" s="31"/>
      <c r="I514" s="85" t="str">
        <f>IF(Tabel1[[#This Row],[% uren 1:]]="","",Tabel1[[#This Row],[% uren 1:]]*Tabel1[[#This Row],[Totale uren:]])</f>
        <v/>
      </c>
      <c r="J514" s="68"/>
      <c r="K514" s="31"/>
      <c r="L514" s="86" t="str">
        <f>IF(Tabel1[[#This Row],[% uren 2:]]="","",Tabel1[[#This Row],[% uren 2:]]*Tabel1[[#This Row],[Totale uren:]])</f>
        <v/>
      </c>
      <c r="M514" s="72"/>
      <c r="N514" s="31"/>
      <c r="O514" s="85" t="str">
        <f>IF(Tabel1[[#This Row],[% uren 3:]]="","",Tabel1[[#This Row],[% uren 3:]]*Tabel1[[#This Row],[Totale uren:]])</f>
        <v/>
      </c>
      <c r="P514" s="138" t="str">
        <f>IF(Tabel1[[#This Row],[Ordernummer:]]="","",SUM(Tabel1[[#This Row],[% uren 1:]],Tabel1[[#This Row],[% uren 2:]],Tabel1[[#This Row],[% uren 3:]]))</f>
        <v/>
      </c>
      <c r="Q514" s="127"/>
      <c r="R514" s="128"/>
      <c r="S514" s="44"/>
      <c r="T514" s="25"/>
    </row>
    <row r="515" spans="2:20" x14ac:dyDescent="0.25">
      <c r="B515" s="7"/>
      <c r="C515" s="10"/>
      <c r="D515" s="10"/>
      <c r="E515" s="72"/>
      <c r="F515" s="73"/>
      <c r="G515" s="72"/>
      <c r="H515" s="31"/>
      <c r="I515" s="85" t="str">
        <f>IF(Tabel1[[#This Row],[% uren 1:]]="","",Tabel1[[#This Row],[% uren 1:]]*Tabel1[[#This Row],[Totale uren:]])</f>
        <v/>
      </c>
      <c r="J515" s="68"/>
      <c r="K515" s="31"/>
      <c r="L515" s="86" t="str">
        <f>IF(Tabel1[[#This Row],[% uren 2:]]="","",Tabel1[[#This Row],[% uren 2:]]*Tabel1[[#This Row],[Totale uren:]])</f>
        <v/>
      </c>
      <c r="M515" s="72"/>
      <c r="N515" s="31"/>
      <c r="O515" s="85" t="str">
        <f>IF(Tabel1[[#This Row],[% uren 3:]]="","",Tabel1[[#This Row],[% uren 3:]]*Tabel1[[#This Row],[Totale uren:]])</f>
        <v/>
      </c>
      <c r="P515" s="138" t="str">
        <f>IF(Tabel1[[#This Row],[Ordernummer:]]="","",SUM(Tabel1[[#This Row],[% uren 1:]],Tabel1[[#This Row],[% uren 2:]],Tabel1[[#This Row],[% uren 3:]]))</f>
        <v/>
      </c>
      <c r="Q515" s="127"/>
      <c r="R515" s="128"/>
      <c r="S515" s="44"/>
      <c r="T515" s="25"/>
    </row>
    <row r="516" spans="2:20" x14ac:dyDescent="0.25">
      <c r="B516" s="7"/>
      <c r="C516" s="10"/>
      <c r="D516" s="10"/>
      <c r="E516" s="72"/>
      <c r="F516" s="73"/>
      <c r="G516" s="72"/>
      <c r="H516" s="31"/>
      <c r="I516" s="85" t="str">
        <f>IF(Tabel1[[#This Row],[% uren 1:]]="","",Tabel1[[#This Row],[% uren 1:]]*Tabel1[[#This Row],[Totale uren:]])</f>
        <v/>
      </c>
      <c r="J516" s="68"/>
      <c r="K516" s="31"/>
      <c r="L516" s="86" t="str">
        <f>IF(Tabel1[[#This Row],[% uren 2:]]="","",Tabel1[[#This Row],[% uren 2:]]*Tabel1[[#This Row],[Totale uren:]])</f>
        <v/>
      </c>
      <c r="M516" s="72"/>
      <c r="N516" s="31"/>
      <c r="O516" s="85" t="str">
        <f>IF(Tabel1[[#This Row],[% uren 3:]]="","",Tabel1[[#This Row],[% uren 3:]]*Tabel1[[#This Row],[Totale uren:]])</f>
        <v/>
      </c>
      <c r="P516" s="138" t="str">
        <f>IF(Tabel1[[#This Row],[Ordernummer:]]="","",SUM(Tabel1[[#This Row],[% uren 1:]],Tabel1[[#This Row],[% uren 2:]],Tabel1[[#This Row],[% uren 3:]]))</f>
        <v/>
      </c>
      <c r="Q516" s="127"/>
      <c r="R516" s="128"/>
      <c r="S516" s="44"/>
      <c r="T516" s="25"/>
    </row>
    <row r="517" spans="2:20" x14ac:dyDescent="0.25">
      <c r="B517" s="7"/>
      <c r="C517" s="10"/>
      <c r="D517" s="10"/>
      <c r="E517" s="72"/>
      <c r="F517" s="73"/>
      <c r="G517" s="72"/>
      <c r="H517" s="31"/>
      <c r="I517" s="85" t="str">
        <f>IF(Tabel1[[#This Row],[% uren 1:]]="","",Tabel1[[#This Row],[% uren 1:]]*Tabel1[[#This Row],[Totale uren:]])</f>
        <v/>
      </c>
      <c r="J517" s="68"/>
      <c r="K517" s="31"/>
      <c r="L517" s="86" t="str">
        <f>IF(Tabel1[[#This Row],[% uren 2:]]="","",Tabel1[[#This Row],[% uren 2:]]*Tabel1[[#This Row],[Totale uren:]])</f>
        <v/>
      </c>
      <c r="M517" s="72"/>
      <c r="N517" s="31"/>
      <c r="O517" s="85" t="str">
        <f>IF(Tabel1[[#This Row],[% uren 3:]]="","",Tabel1[[#This Row],[% uren 3:]]*Tabel1[[#This Row],[Totale uren:]])</f>
        <v/>
      </c>
      <c r="P517" s="138" t="str">
        <f>IF(Tabel1[[#This Row],[Ordernummer:]]="","",SUM(Tabel1[[#This Row],[% uren 1:]],Tabel1[[#This Row],[% uren 2:]],Tabel1[[#This Row],[% uren 3:]]))</f>
        <v/>
      </c>
      <c r="Q517" s="127"/>
      <c r="R517" s="128"/>
      <c r="S517" s="44"/>
      <c r="T517" s="25"/>
    </row>
    <row r="518" spans="2:20" x14ac:dyDescent="0.25">
      <c r="B518" s="7"/>
      <c r="C518" s="10"/>
      <c r="D518" s="10"/>
      <c r="E518" s="72"/>
      <c r="F518" s="73"/>
      <c r="G518" s="72"/>
      <c r="H518" s="31"/>
      <c r="I518" s="85" t="str">
        <f>IF(Tabel1[[#This Row],[% uren 1:]]="","",Tabel1[[#This Row],[% uren 1:]]*Tabel1[[#This Row],[Totale uren:]])</f>
        <v/>
      </c>
      <c r="J518" s="68"/>
      <c r="K518" s="31"/>
      <c r="L518" s="86" t="str">
        <f>IF(Tabel1[[#This Row],[% uren 2:]]="","",Tabel1[[#This Row],[% uren 2:]]*Tabel1[[#This Row],[Totale uren:]])</f>
        <v/>
      </c>
      <c r="M518" s="72"/>
      <c r="N518" s="31"/>
      <c r="O518" s="85" t="str">
        <f>IF(Tabel1[[#This Row],[% uren 3:]]="","",Tabel1[[#This Row],[% uren 3:]]*Tabel1[[#This Row],[Totale uren:]])</f>
        <v/>
      </c>
      <c r="P518" s="138" t="str">
        <f>IF(Tabel1[[#This Row],[Ordernummer:]]="","",SUM(Tabel1[[#This Row],[% uren 1:]],Tabel1[[#This Row],[% uren 2:]],Tabel1[[#This Row],[% uren 3:]]))</f>
        <v/>
      </c>
      <c r="Q518" s="127"/>
      <c r="R518" s="128"/>
      <c r="S518" s="44"/>
      <c r="T518" s="25"/>
    </row>
    <row r="519" spans="2:20" x14ac:dyDescent="0.25">
      <c r="B519" s="7"/>
      <c r="C519" s="10"/>
      <c r="D519" s="10"/>
      <c r="E519" s="72"/>
      <c r="F519" s="73"/>
      <c r="G519" s="72"/>
      <c r="H519" s="31"/>
      <c r="I519" s="85" t="str">
        <f>IF(Tabel1[[#This Row],[% uren 1:]]="","",Tabel1[[#This Row],[% uren 1:]]*Tabel1[[#This Row],[Totale uren:]])</f>
        <v/>
      </c>
      <c r="J519" s="68"/>
      <c r="K519" s="31"/>
      <c r="L519" s="86" t="str">
        <f>IF(Tabel1[[#This Row],[% uren 2:]]="","",Tabel1[[#This Row],[% uren 2:]]*Tabel1[[#This Row],[Totale uren:]])</f>
        <v/>
      </c>
      <c r="M519" s="72"/>
      <c r="N519" s="31"/>
      <c r="O519" s="85" t="str">
        <f>IF(Tabel1[[#This Row],[% uren 3:]]="","",Tabel1[[#This Row],[% uren 3:]]*Tabel1[[#This Row],[Totale uren:]])</f>
        <v/>
      </c>
      <c r="P519" s="138" t="str">
        <f>IF(Tabel1[[#This Row],[Ordernummer:]]="","",SUM(Tabel1[[#This Row],[% uren 1:]],Tabel1[[#This Row],[% uren 2:]],Tabel1[[#This Row],[% uren 3:]]))</f>
        <v/>
      </c>
      <c r="Q519" s="127"/>
      <c r="R519" s="128"/>
      <c r="S519" s="44"/>
      <c r="T519" s="25"/>
    </row>
    <row r="520" spans="2:20" x14ac:dyDescent="0.25">
      <c r="B520" s="7"/>
      <c r="C520" s="10"/>
      <c r="D520" s="10"/>
      <c r="E520" s="72"/>
      <c r="F520" s="73"/>
      <c r="G520" s="72"/>
      <c r="H520" s="31"/>
      <c r="I520" s="85" t="str">
        <f>IF(Tabel1[[#This Row],[% uren 1:]]="","",Tabel1[[#This Row],[% uren 1:]]*Tabel1[[#This Row],[Totale uren:]])</f>
        <v/>
      </c>
      <c r="J520" s="68"/>
      <c r="K520" s="31"/>
      <c r="L520" s="86" t="str">
        <f>IF(Tabel1[[#This Row],[% uren 2:]]="","",Tabel1[[#This Row],[% uren 2:]]*Tabel1[[#This Row],[Totale uren:]])</f>
        <v/>
      </c>
      <c r="M520" s="72"/>
      <c r="N520" s="31"/>
      <c r="O520" s="85" t="str">
        <f>IF(Tabel1[[#This Row],[% uren 3:]]="","",Tabel1[[#This Row],[% uren 3:]]*Tabel1[[#This Row],[Totale uren:]])</f>
        <v/>
      </c>
      <c r="P520" s="138" t="str">
        <f>IF(Tabel1[[#This Row],[Ordernummer:]]="","",SUM(Tabel1[[#This Row],[% uren 1:]],Tabel1[[#This Row],[% uren 2:]],Tabel1[[#This Row],[% uren 3:]]))</f>
        <v/>
      </c>
      <c r="Q520" s="127"/>
      <c r="R520" s="128"/>
      <c r="S520" s="44"/>
      <c r="T520" s="25"/>
    </row>
    <row r="521" spans="2:20" x14ac:dyDescent="0.25">
      <c r="B521" s="7"/>
      <c r="C521" s="10"/>
      <c r="D521" s="10"/>
      <c r="E521" s="72"/>
      <c r="F521" s="73"/>
      <c r="G521" s="72"/>
      <c r="H521" s="31"/>
      <c r="I521" s="85" t="str">
        <f>IF(Tabel1[[#This Row],[% uren 1:]]="","",Tabel1[[#This Row],[% uren 1:]]*Tabel1[[#This Row],[Totale uren:]])</f>
        <v/>
      </c>
      <c r="J521" s="68"/>
      <c r="K521" s="31"/>
      <c r="L521" s="86" t="str">
        <f>IF(Tabel1[[#This Row],[% uren 2:]]="","",Tabel1[[#This Row],[% uren 2:]]*Tabel1[[#This Row],[Totale uren:]])</f>
        <v/>
      </c>
      <c r="M521" s="72"/>
      <c r="N521" s="31"/>
      <c r="O521" s="85" t="str">
        <f>IF(Tabel1[[#This Row],[% uren 3:]]="","",Tabel1[[#This Row],[% uren 3:]]*Tabel1[[#This Row],[Totale uren:]])</f>
        <v/>
      </c>
      <c r="P521" s="138" t="str">
        <f>IF(Tabel1[[#This Row],[Ordernummer:]]="","",SUM(Tabel1[[#This Row],[% uren 1:]],Tabel1[[#This Row],[% uren 2:]],Tabel1[[#This Row],[% uren 3:]]))</f>
        <v/>
      </c>
      <c r="Q521" s="127"/>
      <c r="R521" s="128"/>
      <c r="S521" s="44"/>
      <c r="T521" s="25"/>
    </row>
    <row r="522" spans="2:20" x14ac:dyDescent="0.25">
      <c r="B522" s="7"/>
      <c r="C522" s="10"/>
      <c r="D522" s="10"/>
      <c r="E522" s="72"/>
      <c r="F522" s="73"/>
      <c r="G522" s="72"/>
      <c r="H522" s="31"/>
      <c r="I522" s="85" t="str">
        <f>IF(Tabel1[[#This Row],[% uren 1:]]="","",Tabel1[[#This Row],[% uren 1:]]*Tabel1[[#This Row],[Totale uren:]])</f>
        <v/>
      </c>
      <c r="J522" s="68"/>
      <c r="K522" s="31"/>
      <c r="L522" s="86" t="str">
        <f>IF(Tabel1[[#This Row],[% uren 2:]]="","",Tabel1[[#This Row],[% uren 2:]]*Tabel1[[#This Row],[Totale uren:]])</f>
        <v/>
      </c>
      <c r="M522" s="72"/>
      <c r="N522" s="31"/>
      <c r="O522" s="85" t="str">
        <f>IF(Tabel1[[#This Row],[% uren 3:]]="","",Tabel1[[#This Row],[% uren 3:]]*Tabel1[[#This Row],[Totale uren:]])</f>
        <v/>
      </c>
      <c r="P522" s="138" t="str">
        <f>IF(Tabel1[[#This Row],[Ordernummer:]]="","",SUM(Tabel1[[#This Row],[% uren 1:]],Tabel1[[#This Row],[% uren 2:]],Tabel1[[#This Row],[% uren 3:]]))</f>
        <v/>
      </c>
      <c r="Q522" s="127"/>
      <c r="R522" s="128"/>
      <c r="S522" s="44"/>
      <c r="T522" s="25"/>
    </row>
    <row r="523" spans="2:20" x14ac:dyDescent="0.25">
      <c r="B523" s="7"/>
      <c r="C523" s="10"/>
      <c r="D523" s="10"/>
      <c r="E523" s="72"/>
      <c r="F523" s="73"/>
      <c r="G523" s="72"/>
      <c r="H523" s="31"/>
      <c r="I523" s="85" t="str">
        <f>IF(Tabel1[[#This Row],[% uren 1:]]="","",Tabel1[[#This Row],[% uren 1:]]*Tabel1[[#This Row],[Totale uren:]])</f>
        <v/>
      </c>
      <c r="J523" s="68"/>
      <c r="K523" s="31"/>
      <c r="L523" s="86" t="str">
        <f>IF(Tabel1[[#This Row],[% uren 2:]]="","",Tabel1[[#This Row],[% uren 2:]]*Tabel1[[#This Row],[Totale uren:]])</f>
        <v/>
      </c>
      <c r="M523" s="72"/>
      <c r="N523" s="31"/>
      <c r="O523" s="85" t="str">
        <f>IF(Tabel1[[#This Row],[% uren 3:]]="","",Tabel1[[#This Row],[% uren 3:]]*Tabel1[[#This Row],[Totale uren:]])</f>
        <v/>
      </c>
      <c r="P523" s="138" t="str">
        <f>IF(Tabel1[[#This Row],[Ordernummer:]]="","",SUM(Tabel1[[#This Row],[% uren 1:]],Tabel1[[#This Row],[% uren 2:]],Tabel1[[#This Row],[% uren 3:]]))</f>
        <v/>
      </c>
      <c r="Q523" s="127"/>
      <c r="R523" s="128"/>
      <c r="S523" s="44"/>
      <c r="T523" s="25"/>
    </row>
    <row r="524" spans="2:20" x14ac:dyDescent="0.25">
      <c r="B524" s="7"/>
      <c r="C524" s="10"/>
      <c r="D524" s="10"/>
      <c r="E524" s="72"/>
      <c r="F524" s="73"/>
      <c r="G524" s="72"/>
      <c r="H524" s="31"/>
      <c r="I524" s="85" t="str">
        <f>IF(Tabel1[[#This Row],[% uren 1:]]="","",Tabel1[[#This Row],[% uren 1:]]*Tabel1[[#This Row],[Totale uren:]])</f>
        <v/>
      </c>
      <c r="J524" s="68"/>
      <c r="K524" s="31"/>
      <c r="L524" s="86" t="str">
        <f>IF(Tabel1[[#This Row],[% uren 2:]]="","",Tabel1[[#This Row],[% uren 2:]]*Tabel1[[#This Row],[Totale uren:]])</f>
        <v/>
      </c>
      <c r="M524" s="72"/>
      <c r="N524" s="31"/>
      <c r="O524" s="85" t="str">
        <f>IF(Tabel1[[#This Row],[% uren 3:]]="","",Tabel1[[#This Row],[% uren 3:]]*Tabel1[[#This Row],[Totale uren:]])</f>
        <v/>
      </c>
      <c r="P524" s="138" t="str">
        <f>IF(Tabel1[[#This Row],[Ordernummer:]]="","",SUM(Tabel1[[#This Row],[% uren 1:]],Tabel1[[#This Row],[% uren 2:]],Tabel1[[#This Row],[% uren 3:]]))</f>
        <v/>
      </c>
      <c r="Q524" s="127"/>
      <c r="R524" s="128"/>
      <c r="S524" s="44"/>
      <c r="T524" s="25"/>
    </row>
    <row r="525" spans="2:20" x14ac:dyDescent="0.25">
      <c r="B525" s="7"/>
      <c r="C525" s="10"/>
      <c r="D525" s="10"/>
      <c r="E525" s="72"/>
      <c r="F525" s="73"/>
      <c r="G525" s="72"/>
      <c r="H525" s="31"/>
      <c r="I525" s="85" t="str">
        <f>IF(Tabel1[[#This Row],[% uren 1:]]="","",Tabel1[[#This Row],[% uren 1:]]*Tabel1[[#This Row],[Totale uren:]])</f>
        <v/>
      </c>
      <c r="J525" s="68"/>
      <c r="K525" s="31"/>
      <c r="L525" s="86" t="str">
        <f>IF(Tabel1[[#This Row],[% uren 2:]]="","",Tabel1[[#This Row],[% uren 2:]]*Tabel1[[#This Row],[Totale uren:]])</f>
        <v/>
      </c>
      <c r="M525" s="72"/>
      <c r="N525" s="31"/>
      <c r="O525" s="85" t="str">
        <f>IF(Tabel1[[#This Row],[% uren 3:]]="","",Tabel1[[#This Row],[% uren 3:]]*Tabel1[[#This Row],[Totale uren:]])</f>
        <v/>
      </c>
      <c r="P525" s="138" t="str">
        <f>IF(Tabel1[[#This Row],[Ordernummer:]]="","",SUM(Tabel1[[#This Row],[% uren 1:]],Tabel1[[#This Row],[% uren 2:]],Tabel1[[#This Row],[% uren 3:]]))</f>
        <v/>
      </c>
      <c r="Q525" s="127"/>
      <c r="R525" s="128"/>
      <c r="S525" s="44"/>
      <c r="T525" s="25"/>
    </row>
    <row r="526" spans="2:20" x14ac:dyDescent="0.25">
      <c r="B526" s="7"/>
      <c r="C526" s="10"/>
      <c r="D526" s="10"/>
      <c r="E526" s="72"/>
      <c r="F526" s="73"/>
      <c r="G526" s="72"/>
      <c r="H526" s="31"/>
      <c r="I526" s="85" t="str">
        <f>IF(Tabel1[[#This Row],[% uren 1:]]="","",Tabel1[[#This Row],[% uren 1:]]*Tabel1[[#This Row],[Totale uren:]])</f>
        <v/>
      </c>
      <c r="J526" s="68"/>
      <c r="K526" s="31"/>
      <c r="L526" s="86" t="str">
        <f>IF(Tabel1[[#This Row],[% uren 2:]]="","",Tabel1[[#This Row],[% uren 2:]]*Tabel1[[#This Row],[Totale uren:]])</f>
        <v/>
      </c>
      <c r="M526" s="72"/>
      <c r="N526" s="31"/>
      <c r="O526" s="85" t="str">
        <f>IF(Tabel1[[#This Row],[% uren 3:]]="","",Tabel1[[#This Row],[% uren 3:]]*Tabel1[[#This Row],[Totale uren:]])</f>
        <v/>
      </c>
      <c r="P526" s="138" t="str">
        <f>IF(Tabel1[[#This Row],[Ordernummer:]]="","",SUM(Tabel1[[#This Row],[% uren 1:]],Tabel1[[#This Row],[% uren 2:]],Tabel1[[#This Row],[% uren 3:]]))</f>
        <v/>
      </c>
      <c r="Q526" s="127"/>
      <c r="R526" s="128"/>
      <c r="S526" s="44"/>
      <c r="T526" s="25"/>
    </row>
    <row r="527" spans="2:20" x14ac:dyDescent="0.25">
      <c r="B527" s="7"/>
      <c r="C527" s="10"/>
      <c r="D527" s="10"/>
      <c r="E527" s="72"/>
      <c r="F527" s="73"/>
      <c r="G527" s="72"/>
      <c r="H527" s="31"/>
      <c r="I527" s="85" t="str">
        <f>IF(Tabel1[[#This Row],[% uren 1:]]="","",Tabel1[[#This Row],[% uren 1:]]*Tabel1[[#This Row],[Totale uren:]])</f>
        <v/>
      </c>
      <c r="J527" s="68"/>
      <c r="K527" s="31"/>
      <c r="L527" s="86" t="str">
        <f>IF(Tabel1[[#This Row],[% uren 2:]]="","",Tabel1[[#This Row],[% uren 2:]]*Tabel1[[#This Row],[Totale uren:]])</f>
        <v/>
      </c>
      <c r="M527" s="72"/>
      <c r="N527" s="31"/>
      <c r="O527" s="85" t="str">
        <f>IF(Tabel1[[#This Row],[% uren 3:]]="","",Tabel1[[#This Row],[% uren 3:]]*Tabel1[[#This Row],[Totale uren:]])</f>
        <v/>
      </c>
      <c r="P527" s="138" t="str">
        <f>IF(Tabel1[[#This Row],[Ordernummer:]]="","",SUM(Tabel1[[#This Row],[% uren 1:]],Tabel1[[#This Row],[% uren 2:]],Tabel1[[#This Row],[% uren 3:]]))</f>
        <v/>
      </c>
      <c r="Q527" s="127"/>
      <c r="R527" s="128"/>
      <c r="S527" s="44"/>
      <c r="T527" s="25"/>
    </row>
    <row r="528" spans="2:20" x14ac:dyDescent="0.25">
      <c r="B528" s="7"/>
      <c r="C528" s="10"/>
      <c r="D528" s="10"/>
      <c r="E528" s="72"/>
      <c r="F528" s="73"/>
      <c r="G528" s="72"/>
      <c r="H528" s="31"/>
      <c r="I528" s="85" t="str">
        <f>IF(Tabel1[[#This Row],[% uren 1:]]="","",Tabel1[[#This Row],[% uren 1:]]*Tabel1[[#This Row],[Totale uren:]])</f>
        <v/>
      </c>
      <c r="J528" s="68"/>
      <c r="K528" s="31"/>
      <c r="L528" s="86" t="str">
        <f>IF(Tabel1[[#This Row],[% uren 2:]]="","",Tabel1[[#This Row],[% uren 2:]]*Tabel1[[#This Row],[Totale uren:]])</f>
        <v/>
      </c>
      <c r="M528" s="72"/>
      <c r="N528" s="31"/>
      <c r="O528" s="85" t="str">
        <f>IF(Tabel1[[#This Row],[% uren 3:]]="","",Tabel1[[#This Row],[% uren 3:]]*Tabel1[[#This Row],[Totale uren:]])</f>
        <v/>
      </c>
      <c r="P528" s="138" t="str">
        <f>IF(Tabel1[[#This Row],[Ordernummer:]]="","",SUM(Tabel1[[#This Row],[% uren 1:]],Tabel1[[#This Row],[% uren 2:]],Tabel1[[#This Row],[% uren 3:]]))</f>
        <v/>
      </c>
      <c r="Q528" s="127"/>
      <c r="R528" s="128"/>
      <c r="S528" s="44"/>
      <c r="T528" s="25"/>
    </row>
    <row r="529" spans="2:20" x14ac:dyDescent="0.25">
      <c r="B529" s="7"/>
      <c r="C529" s="10"/>
      <c r="D529" s="10"/>
      <c r="E529" s="72"/>
      <c r="F529" s="73"/>
      <c r="G529" s="72"/>
      <c r="H529" s="31"/>
      <c r="I529" s="85" t="str">
        <f>IF(Tabel1[[#This Row],[% uren 1:]]="","",Tabel1[[#This Row],[% uren 1:]]*Tabel1[[#This Row],[Totale uren:]])</f>
        <v/>
      </c>
      <c r="J529" s="68"/>
      <c r="K529" s="31"/>
      <c r="L529" s="86" t="str">
        <f>IF(Tabel1[[#This Row],[% uren 2:]]="","",Tabel1[[#This Row],[% uren 2:]]*Tabel1[[#This Row],[Totale uren:]])</f>
        <v/>
      </c>
      <c r="M529" s="72"/>
      <c r="N529" s="31"/>
      <c r="O529" s="85" t="str">
        <f>IF(Tabel1[[#This Row],[% uren 3:]]="","",Tabel1[[#This Row],[% uren 3:]]*Tabel1[[#This Row],[Totale uren:]])</f>
        <v/>
      </c>
      <c r="P529" s="138" t="str">
        <f>IF(Tabel1[[#This Row],[Ordernummer:]]="","",SUM(Tabel1[[#This Row],[% uren 1:]],Tabel1[[#This Row],[% uren 2:]],Tabel1[[#This Row],[% uren 3:]]))</f>
        <v/>
      </c>
      <c r="Q529" s="127"/>
      <c r="R529" s="128"/>
      <c r="S529" s="44"/>
      <c r="T529" s="25"/>
    </row>
    <row r="530" spans="2:20" x14ac:dyDescent="0.25">
      <c r="B530" s="7"/>
      <c r="C530" s="10"/>
      <c r="D530" s="10"/>
      <c r="E530" s="72"/>
      <c r="F530" s="73"/>
      <c r="G530" s="72"/>
      <c r="H530" s="31"/>
      <c r="I530" s="85" t="str">
        <f>IF(Tabel1[[#This Row],[% uren 1:]]="","",Tabel1[[#This Row],[% uren 1:]]*Tabel1[[#This Row],[Totale uren:]])</f>
        <v/>
      </c>
      <c r="J530" s="68"/>
      <c r="K530" s="31"/>
      <c r="L530" s="86" t="str">
        <f>IF(Tabel1[[#This Row],[% uren 2:]]="","",Tabel1[[#This Row],[% uren 2:]]*Tabel1[[#This Row],[Totale uren:]])</f>
        <v/>
      </c>
      <c r="M530" s="72"/>
      <c r="N530" s="31"/>
      <c r="O530" s="85" t="str">
        <f>IF(Tabel1[[#This Row],[% uren 3:]]="","",Tabel1[[#This Row],[% uren 3:]]*Tabel1[[#This Row],[Totale uren:]])</f>
        <v/>
      </c>
      <c r="P530" s="138" t="str">
        <f>IF(Tabel1[[#This Row],[Ordernummer:]]="","",SUM(Tabel1[[#This Row],[% uren 1:]],Tabel1[[#This Row],[% uren 2:]],Tabel1[[#This Row],[% uren 3:]]))</f>
        <v/>
      </c>
      <c r="Q530" s="127"/>
      <c r="R530" s="128"/>
      <c r="S530" s="44"/>
      <c r="T530" s="25"/>
    </row>
    <row r="531" spans="2:20" x14ac:dyDescent="0.25">
      <c r="B531" s="7"/>
      <c r="C531" s="10"/>
      <c r="D531" s="10"/>
      <c r="E531" s="72"/>
      <c r="F531" s="73"/>
      <c r="G531" s="72"/>
      <c r="H531" s="31"/>
      <c r="I531" s="85" t="str">
        <f>IF(Tabel1[[#This Row],[% uren 1:]]="","",Tabel1[[#This Row],[% uren 1:]]*Tabel1[[#This Row],[Totale uren:]])</f>
        <v/>
      </c>
      <c r="J531" s="68"/>
      <c r="K531" s="31"/>
      <c r="L531" s="86" t="str">
        <f>IF(Tabel1[[#This Row],[% uren 2:]]="","",Tabel1[[#This Row],[% uren 2:]]*Tabel1[[#This Row],[Totale uren:]])</f>
        <v/>
      </c>
      <c r="M531" s="72"/>
      <c r="N531" s="31"/>
      <c r="O531" s="85" t="str">
        <f>IF(Tabel1[[#This Row],[% uren 3:]]="","",Tabel1[[#This Row],[% uren 3:]]*Tabel1[[#This Row],[Totale uren:]])</f>
        <v/>
      </c>
      <c r="P531" s="138" t="str">
        <f>IF(Tabel1[[#This Row],[Ordernummer:]]="","",SUM(Tabel1[[#This Row],[% uren 1:]],Tabel1[[#This Row],[% uren 2:]],Tabel1[[#This Row],[% uren 3:]]))</f>
        <v/>
      </c>
      <c r="Q531" s="127"/>
      <c r="R531" s="128"/>
      <c r="S531" s="44"/>
      <c r="T531" s="25"/>
    </row>
    <row r="532" spans="2:20" x14ac:dyDescent="0.25">
      <c r="B532" s="7"/>
      <c r="C532" s="10"/>
      <c r="D532" s="10"/>
      <c r="E532" s="72"/>
      <c r="F532" s="73"/>
      <c r="G532" s="72"/>
      <c r="H532" s="31"/>
      <c r="I532" s="85" t="str">
        <f>IF(Tabel1[[#This Row],[% uren 1:]]="","",Tabel1[[#This Row],[% uren 1:]]*Tabel1[[#This Row],[Totale uren:]])</f>
        <v/>
      </c>
      <c r="J532" s="68"/>
      <c r="K532" s="31"/>
      <c r="L532" s="86" t="str">
        <f>IF(Tabel1[[#This Row],[% uren 2:]]="","",Tabel1[[#This Row],[% uren 2:]]*Tabel1[[#This Row],[Totale uren:]])</f>
        <v/>
      </c>
      <c r="M532" s="72"/>
      <c r="N532" s="31"/>
      <c r="O532" s="85" t="str">
        <f>IF(Tabel1[[#This Row],[% uren 3:]]="","",Tabel1[[#This Row],[% uren 3:]]*Tabel1[[#This Row],[Totale uren:]])</f>
        <v/>
      </c>
      <c r="P532" s="138" t="str">
        <f>IF(Tabel1[[#This Row],[Ordernummer:]]="","",SUM(Tabel1[[#This Row],[% uren 1:]],Tabel1[[#This Row],[% uren 2:]],Tabel1[[#This Row],[% uren 3:]]))</f>
        <v/>
      </c>
      <c r="Q532" s="127"/>
      <c r="R532" s="128"/>
      <c r="S532" s="44"/>
      <c r="T532" s="25"/>
    </row>
    <row r="533" spans="2:20" x14ac:dyDescent="0.25">
      <c r="B533" s="7"/>
      <c r="C533" s="10"/>
      <c r="D533" s="10"/>
      <c r="E533" s="72"/>
      <c r="F533" s="73"/>
      <c r="G533" s="72"/>
      <c r="H533" s="31"/>
      <c r="I533" s="85" t="str">
        <f>IF(Tabel1[[#This Row],[% uren 1:]]="","",Tabel1[[#This Row],[% uren 1:]]*Tabel1[[#This Row],[Totale uren:]])</f>
        <v/>
      </c>
      <c r="J533" s="68"/>
      <c r="K533" s="31"/>
      <c r="L533" s="86" t="str">
        <f>IF(Tabel1[[#This Row],[% uren 2:]]="","",Tabel1[[#This Row],[% uren 2:]]*Tabel1[[#This Row],[Totale uren:]])</f>
        <v/>
      </c>
      <c r="M533" s="72"/>
      <c r="N533" s="31"/>
      <c r="O533" s="85" t="str">
        <f>IF(Tabel1[[#This Row],[% uren 3:]]="","",Tabel1[[#This Row],[% uren 3:]]*Tabel1[[#This Row],[Totale uren:]])</f>
        <v/>
      </c>
      <c r="P533" s="138" t="str">
        <f>IF(Tabel1[[#This Row],[Ordernummer:]]="","",SUM(Tabel1[[#This Row],[% uren 1:]],Tabel1[[#This Row],[% uren 2:]],Tabel1[[#This Row],[% uren 3:]]))</f>
        <v/>
      </c>
      <c r="Q533" s="127"/>
      <c r="R533" s="128"/>
      <c r="S533" s="44"/>
      <c r="T533" s="25"/>
    </row>
    <row r="534" spans="2:20" x14ac:dyDescent="0.25">
      <c r="B534" s="7"/>
      <c r="C534" s="10"/>
      <c r="D534" s="10"/>
      <c r="E534" s="72"/>
      <c r="F534" s="73"/>
      <c r="G534" s="72"/>
      <c r="H534" s="31"/>
      <c r="I534" s="85" t="str">
        <f>IF(Tabel1[[#This Row],[% uren 1:]]="","",Tabel1[[#This Row],[% uren 1:]]*Tabel1[[#This Row],[Totale uren:]])</f>
        <v/>
      </c>
      <c r="J534" s="68"/>
      <c r="K534" s="31"/>
      <c r="L534" s="86" t="str">
        <f>IF(Tabel1[[#This Row],[% uren 2:]]="","",Tabel1[[#This Row],[% uren 2:]]*Tabel1[[#This Row],[Totale uren:]])</f>
        <v/>
      </c>
      <c r="M534" s="72"/>
      <c r="N534" s="31"/>
      <c r="O534" s="85" t="str">
        <f>IF(Tabel1[[#This Row],[% uren 3:]]="","",Tabel1[[#This Row],[% uren 3:]]*Tabel1[[#This Row],[Totale uren:]])</f>
        <v/>
      </c>
      <c r="P534" s="138" t="str">
        <f>IF(Tabel1[[#This Row],[Ordernummer:]]="","",SUM(Tabel1[[#This Row],[% uren 1:]],Tabel1[[#This Row],[% uren 2:]],Tabel1[[#This Row],[% uren 3:]]))</f>
        <v/>
      </c>
      <c r="Q534" s="127"/>
      <c r="R534" s="128"/>
      <c r="S534" s="44"/>
      <c r="T534" s="25"/>
    </row>
    <row r="535" spans="2:20" x14ac:dyDescent="0.25">
      <c r="B535" s="7"/>
      <c r="C535" s="10"/>
      <c r="D535" s="10"/>
      <c r="E535" s="72"/>
      <c r="F535" s="73"/>
      <c r="G535" s="72"/>
      <c r="H535" s="31"/>
      <c r="I535" s="85" t="str">
        <f>IF(Tabel1[[#This Row],[% uren 1:]]="","",Tabel1[[#This Row],[% uren 1:]]*Tabel1[[#This Row],[Totale uren:]])</f>
        <v/>
      </c>
      <c r="J535" s="68"/>
      <c r="K535" s="31"/>
      <c r="L535" s="86" t="str">
        <f>IF(Tabel1[[#This Row],[% uren 2:]]="","",Tabel1[[#This Row],[% uren 2:]]*Tabel1[[#This Row],[Totale uren:]])</f>
        <v/>
      </c>
      <c r="M535" s="72"/>
      <c r="N535" s="31"/>
      <c r="O535" s="85" t="str">
        <f>IF(Tabel1[[#This Row],[% uren 3:]]="","",Tabel1[[#This Row],[% uren 3:]]*Tabel1[[#This Row],[Totale uren:]])</f>
        <v/>
      </c>
      <c r="P535" s="138" t="str">
        <f>IF(Tabel1[[#This Row],[Ordernummer:]]="","",SUM(Tabel1[[#This Row],[% uren 1:]],Tabel1[[#This Row],[% uren 2:]],Tabel1[[#This Row],[% uren 3:]]))</f>
        <v/>
      </c>
      <c r="Q535" s="127"/>
      <c r="R535" s="128"/>
      <c r="S535" s="44"/>
      <c r="T535" s="25"/>
    </row>
    <row r="536" spans="2:20" x14ac:dyDescent="0.25">
      <c r="B536" s="7"/>
      <c r="C536" s="10"/>
      <c r="D536" s="10"/>
      <c r="E536" s="72"/>
      <c r="F536" s="73"/>
      <c r="G536" s="72"/>
      <c r="H536" s="31"/>
      <c r="I536" s="85" t="str">
        <f>IF(Tabel1[[#This Row],[% uren 1:]]="","",Tabel1[[#This Row],[% uren 1:]]*Tabel1[[#This Row],[Totale uren:]])</f>
        <v/>
      </c>
      <c r="J536" s="68"/>
      <c r="K536" s="31"/>
      <c r="L536" s="86" t="str">
        <f>IF(Tabel1[[#This Row],[% uren 2:]]="","",Tabel1[[#This Row],[% uren 2:]]*Tabel1[[#This Row],[Totale uren:]])</f>
        <v/>
      </c>
      <c r="M536" s="72"/>
      <c r="N536" s="31"/>
      <c r="O536" s="85" t="str">
        <f>IF(Tabel1[[#This Row],[% uren 3:]]="","",Tabel1[[#This Row],[% uren 3:]]*Tabel1[[#This Row],[Totale uren:]])</f>
        <v/>
      </c>
      <c r="P536" s="138" t="str">
        <f>IF(Tabel1[[#This Row],[Ordernummer:]]="","",SUM(Tabel1[[#This Row],[% uren 1:]],Tabel1[[#This Row],[% uren 2:]],Tabel1[[#This Row],[% uren 3:]]))</f>
        <v/>
      </c>
      <c r="Q536" s="127"/>
      <c r="R536" s="128"/>
      <c r="S536" s="44"/>
      <c r="T536" s="25"/>
    </row>
    <row r="537" spans="2:20" x14ac:dyDescent="0.25">
      <c r="B537" s="7"/>
      <c r="C537" s="10"/>
      <c r="D537" s="10"/>
      <c r="E537" s="72"/>
      <c r="F537" s="73"/>
      <c r="G537" s="72"/>
      <c r="H537" s="31"/>
      <c r="I537" s="85" t="str">
        <f>IF(Tabel1[[#This Row],[% uren 1:]]="","",Tabel1[[#This Row],[% uren 1:]]*Tabel1[[#This Row],[Totale uren:]])</f>
        <v/>
      </c>
      <c r="J537" s="68"/>
      <c r="K537" s="31"/>
      <c r="L537" s="86" t="str">
        <f>IF(Tabel1[[#This Row],[% uren 2:]]="","",Tabel1[[#This Row],[% uren 2:]]*Tabel1[[#This Row],[Totale uren:]])</f>
        <v/>
      </c>
      <c r="M537" s="72"/>
      <c r="N537" s="31"/>
      <c r="O537" s="85" t="str">
        <f>IF(Tabel1[[#This Row],[% uren 3:]]="","",Tabel1[[#This Row],[% uren 3:]]*Tabel1[[#This Row],[Totale uren:]])</f>
        <v/>
      </c>
      <c r="P537" s="138" t="str">
        <f>IF(Tabel1[[#This Row],[Ordernummer:]]="","",SUM(Tabel1[[#This Row],[% uren 1:]],Tabel1[[#This Row],[% uren 2:]],Tabel1[[#This Row],[% uren 3:]]))</f>
        <v/>
      </c>
      <c r="Q537" s="127"/>
      <c r="R537" s="128"/>
      <c r="S537" s="44"/>
      <c r="T537" s="25"/>
    </row>
    <row r="538" spans="2:20" x14ac:dyDescent="0.25">
      <c r="B538" s="7"/>
      <c r="C538" s="10"/>
      <c r="D538" s="10"/>
      <c r="E538" s="72"/>
      <c r="F538" s="73"/>
      <c r="G538" s="72"/>
      <c r="H538" s="31"/>
      <c r="I538" s="85" t="str">
        <f>IF(Tabel1[[#This Row],[% uren 1:]]="","",Tabel1[[#This Row],[% uren 1:]]*Tabel1[[#This Row],[Totale uren:]])</f>
        <v/>
      </c>
      <c r="J538" s="68"/>
      <c r="K538" s="31"/>
      <c r="L538" s="86" t="str">
        <f>IF(Tabel1[[#This Row],[% uren 2:]]="","",Tabel1[[#This Row],[% uren 2:]]*Tabel1[[#This Row],[Totale uren:]])</f>
        <v/>
      </c>
      <c r="M538" s="72"/>
      <c r="N538" s="31"/>
      <c r="O538" s="85" t="str">
        <f>IF(Tabel1[[#This Row],[% uren 3:]]="","",Tabel1[[#This Row],[% uren 3:]]*Tabel1[[#This Row],[Totale uren:]])</f>
        <v/>
      </c>
      <c r="P538" s="138" t="str">
        <f>IF(Tabel1[[#This Row],[Ordernummer:]]="","",SUM(Tabel1[[#This Row],[% uren 1:]],Tabel1[[#This Row],[% uren 2:]],Tabel1[[#This Row],[% uren 3:]]))</f>
        <v/>
      </c>
      <c r="Q538" s="127"/>
      <c r="R538" s="128"/>
      <c r="S538" s="44"/>
      <c r="T538" s="25"/>
    </row>
    <row r="539" spans="2:20" x14ac:dyDescent="0.25">
      <c r="B539" s="7"/>
      <c r="C539" s="10"/>
      <c r="D539" s="10"/>
      <c r="E539" s="72"/>
      <c r="F539" s="73"/>
      <c r="G539" s="72"/>
      <c r="H539" s="31"/>
      <c r="I539" s="85" t="str">
        <f>IF(Tabel1[[#This Row],[% uren 1:]]="","",Tabel1[[#This Row],[% uren 1:]]*Tabel1[[#This Row],[Totale uren:]])</f>
        <v/>
      </c>
      <c r="J539" s="68"/>
      <c r="K539" s="31"/>
      <c r="L539" s="86" t="str">
        <f>IF(Tabel1[[#This Row],[% uren 2:]]="","",Tabel1[[#This Row],[% uren 2:]]*Tabel1[[#This Row],[Totale uren:]])</f>
        <v/>
      </c>
      <c r="M539" s="72"/>
      <c r="N539" s="31"/>
      <c r="O539" s="85" t="str">
        <f>IF(Tabel1[[#This Row],[% uren 3:]]="","",Tabel1[[#This Row],[% uren 3:]]*Tabel1[[#This Row],[Totale uren:]])</f>
        <v/>
      </c>
      <c r="P539" s="138" t="str">
        <f>IF(Tabel1[[#This Row],[Ordernummer:]]="","",SUM(Tabel1[[#This Row],[% uren 1:]],Tabel1[[#This Row],[% uren 2:]],Tabel1[[#This Row],[% uren 3:]]))</f>
        <v/>
      </c>
      <c r="Q539" s="127"/>
      <c r="R539" s="128"/>
      <c r="S539" s="44"/>
      <c r="T539" s="25"/>
    </row>
    <row r="540" spans="2:20" x14ac:dyDescent="0.25">
      <c r="B540" s="7"/>
      <c r="C540" s="10"/>
      <c r="D540" s="10"/>
      <c r="E540" s="72"/>
      <c r="F540" s="73"/>
      <c r="G540" s="72"/>
      <c r="H540" s="31"/>
      <c r="I540" s="85" t="str">
        <f>IF(Tabel1[[#This Row],[% uren 1:]]="","",Tabel1[[#This Row],[% uren 1:]]*Tabel1[[#This Row],[Totale uren:]])</f>
        <v/>
      </c>
      <c r="J540" s="68"/>
      <c r="K540" s="31"/>
      <c r="L540" s="86" t="str">
        <f>IF(Tabel1[[#This Row],[% uren 2:]]="","",Tabel1[[#This Row],[% uren 2:]]*Tabel1[[#This Row],[Totale uren:]])</f>
        <v/>
      </c>
      <c r="M540" s="72"/>
      <c r="N540" s="31"/>
      <c r="O540" s="85" t="str">
        <f>IF(Tabel1[[#This Row],[% uren 3:]]="","",Tabel1[[#This Row],[% uren 3:]]*Tabel1[[#This Row],[Totale uren:]])</f>
        <v/>
      </c>
      <c r="P540" s="138" t="str">
        <f>IF(Tabel1[[#This Row],[Ordernummer:]]="","",SUM(Tabel1[[#This Row],[% uren 1:]],Tabel1[[#This Row],[% uren 2:]],Tabel1[[#This Row],[% uren 3:]]))</f>
        <v/>
      </c>
      <c r="Q540" s="127"/>
      <c r="R540" s="128"/>
      <c r="S540" s="44"/>
      <c r="T540" s="25"/>
    </row>
    <row r="541" spans="2:20" x14ac:dyDescent="0.25">
      <c r="B541" s="7"/>
      <c r="C541" s="10"/>
      <c r="D541" s="10"/>
      <c r="E541" s="72"/>
      <c r="F541" s="73"/>
      <c r="G541" s="72"/>
      <c r="H541" s="31"/>
      <c r="I541" s="85" t="str">
        <f>IF(Tabel1[[#This Row],[% uren 1:]]="","",Tabel1[[#This Row],[% uren 1:]]*Tabel1[[#This Row],[Totale uren:]])</f>
        <v/>
      </c>
      <c r="J541" s="68"/>
      <c r="K541" s="31"/>
      <c r="L541" s="86" t="str">
        <f>IF(Tabel1[[#This Row],[% uren 2:]]="","",Tabel1[[#This Row],[% uren 2:]]*Tabel1[[#This Row],[Totale uren:]])</f>
        <v/>
      </c>
      <c r="M541" s="72"/>
      <c r="N541" s="31"/>
      <c r="O541" s="85" t="str">
        <f>IF(Tabel1[[#This Row],[% uren 3:]]="","",Tabel1[[#This Row],[% uren 3:]]*Tabel1[[#This Row],[Totale uren:]])</f>
        <v/>
      </c>
      <c r="P541" s="138" t="str">
        <f>IF(Tabel1[[#This Row],[Ordernummer:]]="","",SUM(Tabel1[[#This Row],[% uren 1:]],Tabel1[[#This Row],[% uren 2:]],Tabel1[[#This Row],[% uren 3:]]))</f>
        <v/>
      </c>
      <c r="Q541" s="127"/>
      <c r="R541" s="128"/>
      <c r="S541" s="44"/>
      <c r="T541" s="25"/>
    </row>
    <row r="542" spans="2:20" x14ac:dyDescent="0.25">
      <c r="B542" s="7"/>
      <c r="C542" s="10"/>
      <c r="D542" s="10"/>
      <c r="E542" s="72"/>
      <c r="F542" s="73"/>
      <c r="G542" s="72"/>
      <c r="H542" s="31"/>
      <c r="I542" s="85" t="str">
        <f>IF(Tabel1[[#This Row],[% uren 1:]]="","",Tabel1[[#This Row],[% uren 1:]]*Tabel1[[#This Row],[Totale uren:]])</f>
        <v/>
      </c>
      <c r="J542" s="68"/>
      <c r="K542" s="31"/>
      <c r="L542" s="86" t="str">
        <f>IF(Tabel1[[#This Row],[% uren 2:]]="","",Tabel1[[#This Row],[% uren 2:]]*Tabel1[[#This Row],[Totale uren:]])</f>
        <v/>
      </c>
      <c r="M542" s="72"/>
      <c r="N542" s="31"/>
      <c r="O542" s="85" t="str">
        <f>IF(Tabel1[[#This Row],[% uren 3:]]="","",Tabel1[[#This Row],[% uren 3:]]*Tabel1[[#This Row],[Totale uren:]])</f>
        <v/>
      </c>
      <c r="P542" s="138" t="str">
        <f>IF(Tabel1[[#This Row],[Ordernummer:]]="","",SUM(Tabel1[[#This Row],[% uren 1:]],Tabel1[[#This Row],[% uren 2:]],Tabel1[[#This Row],[% uren 3:]]))</f>
        <v/>
      </c>
      <c r="Q542" s="127"/>
      <c r="R542" s="128"/>
      <c r="S542" s="44"/>
      <c r="T542" s="25"/>
    </row>
    <row r="543" spans="2:20" x14ac:dyDescent="0.25">
      <c r="B543" s="7"/>
      <c r="C543" s="10"/>
      <c r="D543" s="10"/>
      <c r="E543" s="72"/>
      <c r="F543" s="73"/>
      <c r="G543" s="72"/>
      <c r="H543" s="31"/>
      <c r="I543" s="85" t="str">
        <f>IF(Tabel1[[#This Row],[% uren 1:]]="","",Tabel1[[#This Row],[% uren 1:]]*Tabel1[[#This Row],[Totale uren:]])</f>
        <v/>
      </c>
      <c r="J543" s="68"/>
      <c r="K543" s="31"/>
      <c r="L543" s="86" t="str">
        <f>IF(Tabel1[[#This Row],[% uren 2:]]="","",Tabel1[[#This Row],[% uren 2:]]*Tabel1[[#This Row],[Totale uren:]])</f>
        <v/>
      </c>
      <c r="M543" s="72"/>
      <c r="N543" s="31"/>
      <c r="O543" s="85" t="str">
        <f>IF(Tabel1[[#This Row],[% uren 3:]]="","",Tabel1[[#This Row],[% uren 3:]]*Tabel1[[#This Row],[Totale uren:]])</f>
        <v/>
      </c>
      <c r="P543" s="138" t="str">
        <f>IF(Tabel1[[#This Row],[Ordernummer:]]="","",SUM(Tabel1[[#This Row],[% uren 1:]],Tabel1[[#This Row],[% uren 2:]],Tabel1[[#This Row],[% uren 3:]]))</f>
        <v/>
      </c>
      <c r="Q543" s="127"/>
      <c r="R543" s="128"/>
      <c r="S543" s="44"/>
      <c r="T543" s="25"/>
    </row>
    <row r="544" spans="2:20" x14ac:dyDescent="0.25">
      <c r="B544" s="7"/>
      <c r="C544" s="10"/>
      <c r="D544" s="10"/>
      <c r="E544" s="72"/>
      <c r="F544" s="73"/>
      <c r="G544" s="72"/>
      <c r="H544" s="31"/>
      <c r="I544" s="85" t="str">
        <f>IF(Tabel1[[#This Row],[% uren 1:]]="","",Tabel1[[#This Row],[% uren 1:]]*Tabel1[[#This Row],[Totale uren:]])</f>
        <v/>
      </c>
      <c r="J544" s="68"/>
      <c r="K544" s="31"/>
      <c r="L544" s="86" t="str">
        <f>IF(Tabel1[[#This Row],[% uren 2:]]="","",Tabel1[[#This Row],[% uren 2:]]*Tabel1[[#This Row],[Totale uren:]])</f>
        <v/>
      </c>
      <c r="M544" s="72"/>
      <c r="N544" s="31"/>
      <c r="O544" s="85" t="str">
        <f>IF(Tabel1[[#This Row],[% uren 3:]]="","",Tabel1[[#This Row],[% uren 3:]]*Tabel1[[#This Row],[Totale uren:]])</f>
        <v/>
      </c>
      <c r="P544" s="138" t="str">
        <f>IF(Tabel1[[#This Row],[Ordernummer:]]="","",SUM(Tabel1[[#This Row],[% uren 1:]],Tabel1[[#This Row],[% uren 2:]],Tabel1[[#This Row],[% uren 3:]]))</f>
        <v/>
      </c>
      <c r="Q544" s="127"/>
      <c r="R544" s="128"/>
      <c r="S544" s="44"/>
      <c r="T544" s="25"/>
    </row>
    <row r="545" spans="2:20" x14ac:dyDescent="0.25">
      <c r="B545" s="7"/>
      <c r="C545" s="10"/>
      <c r="D545" s="10"/>
      <c r="E545" s="72"/>
      <c r="F545" s="73"/>
      <c r="G545" s="72"/>
      <c r="H545" s="31"/>
      <c r="I545" s="85" t="str">
        <f>IF(Tabel1[[#This Row],[% uren 1:]]="","",Tabel1[[#This Row],[% uren 1:]]*Tabel1[[#This Row],[Totale uren:]])</f>
        <v/>
      </c>
      <c r="J545" s="68"/>
      <c r="K545" s="31"/>
      <c r="L545" s="86" t="str">
        <f>IF(Tabel1[[#This Row],[% uren 2:]]="","",Tabel1[[#This Row],[% uren 2:]]*Tabel1[[#This Row],[Totale uren:]])</f>
        <v/>
      </c>
      <c r="M545" s="72"/>
      <c r="N545" s="31"/>
      <c r="O545" s="85" t="str">
        <f>IF(Tabel1[[#This Row],[% uren 3:]]="","",Tabel1[[#This Row],[% uren 3:]]*Tabel1[[#This Row],[Totale uren:]])</f>
        <v/>
      </c>
      <c r="P545" s="138" t="str">
        <f>IF(Tabel1[[#This Row],[Ordernummer:]]="","",SUM(Tabel1[[#This Row],[% uren 1:]],Tabel1[[#This Row],[% uren 2:]],Tabel1[[#This Row],[% uren 3:]]))</f>
        <v/>
      </c>
      <c r="Q545" s="127"/>
      <c r="R545" s="128"/>
      <c r="S545" s="44"/>
      <c r="T545" s="25"/>
    </row>
    <row r="546" spans="2:20" x14ac:dyDescent="0.25">
      <c r="B546" s="7"/>
      <c r="C546" s="10"/>
      <c r="D546" s="10"/>
      <c r="E546" s="72"/>
      <c r="F546" s="73"/>
      <c r="G546" s="72"/>
      <c r="H546" s="31"/>
      <c r="I546" s="85" t="str">
        <f>IF(Tabel1[[#This Row],[% uren 1:]]="","",Tabel1[[#This Row],[% uren 1:]]*Tabel1[[#This Row],[Totale uren:]])</f>
        <v/>
      </c>
      <c r="J546" s="68"/>
      <c r="K546" s="31"/>
      <c r="L546" s="86" t="str">
        <f>IF(Tabel1[[#This Row],[% uren 2:]]="","",Tabel1[[#This Row],[% uren 2:]]*Tabel1[[#This Row],[Totale uren:]])</f>
        <v/>
      </c>
      <c r="M546" s="72"/>
      <c r="N546" s="31"/>
      <c r="O546" s="85" t="str">
        <f>IF(Tabel1[[#This Row],[% uren 3:]]="","",Tabel1[[#This Row],[% uren 3:]]*Tabel1[[#This Row],[Totale uren:]])</f>
        <v/>
      </c>
      <c r="P546" s="138" t="str">
        <f>IF(Tabel1[[#This Row],[Ordernummer:]]="","",SUM(Tabel1[[#This Row],[% uren 1:]],Tabel1[[#This Row],[% uren 2:]],Tabel1[[#This Row],[% uren 3:]]))</f>
        <v/>
      </c>
      <c r="Q546" s="127"/>
      <c r="R546" s="128"/>
      <c r="S546" s="44"/>
      <c r="T546" s="25"/>
    </row>
    <row r="547" spans="2:20" x14ac:dyDescent="0.25">
      <c r="B547" s="7"/>
      <c r="C547" s="10"/>
      <c r="D547" s="10"/>
      <c r="E547" s="72"/>
      <c r="F547" s="73"/>
      <c r="G547" s="72"/>
      <c r="H547" s="31"/>
      <c r="I547" s="85" t="str">
        <f>IF(Tabel1[[#This Row],[% uren 1:]]="","",Tabel1[[#This Row],[% uren 1:]]*Tabel1[[#This Row],[Totale uren:]])</f>
        <v/>
      </c>
      <c r="J547" s="68"/>
      <c r="K547" s="31"/>
      <c r="L547" s="86" t="str">
        <f>IF(Tabel1[[#This Row],[% uren 2:]]="","",Tabel1[[#This Row],[% uren 2:]]*Tabel1[[#This Row],[Totale uren:]])</f>
        <v/>
      </c>
      <c r="M547" s="72"/>
      <c r="N547" s="31"/>
      <c r="O547" s="85" t="str">
        <f>IF(Tabel1[[#This Row],[% uren 3:]]="","",Tabel1[[#This Row],[% uren 3:]]*Tabel1[[#This Row],[Totale uren:]])</f>
        <v/>
      </c>
      <c r="P547" s="138" t="str">
        <f>IF(Tabel1[[#This Row],[Ordernummer:]]="","",SUM(Tabel1[[#This Row],[% uren 1:]],Tabel1[[#This Row],[% uren 2:]],Tabel1[[#This Row],[% uren 3:]]))</f>
        <v/>
      </c>
      <c r="Q547" s="127"/>
      <c r="R547" s="128"/>
      <c r="S547" s="44"/>
      <c r="T547" s="25"/>
    </row>
    <row r="548" spans="2:20" x14ac:dyDescent="0.25">
      <c r="B548" s="7"/>
      <c r="C548" s="10"/>
      <c r="D548" s="10"/>
      <c r="E548" s="72"/>
      <c r="F548" s="73"/>
      <c r="G548" s="72"/>
      <c r="H548" s="31"/>
      <c r="I548" s="85" t="str">
        <f>IF(Tabel1[[#This Row],[% uren 1:]]="","",Tabel1[[#This Row],[% uren 1:]]*Tabel1[[#This Row],[Totale uren:]])</f>
        <v/>
      </c>
      <c r="J548" s="68"/>
      <c r="K548" s="31"/>
      <c r="L548" s="86" t="str">
        <f>IF(Tabel1[[#This Row],[% uren 2:]]="","",Tabel1[[#This Row],[% uren 2:]]*Tabel1[[#This Row],[Totale uren:]])</f>
        <v/>
      </c>
      <c r="M548" s="72"/>
      <c r="N548" s="31"/>
      <c r="O548" s="85" t="str">
        <f>IF(Tabel1[[#This Row],[% uren 3:]]="","",Tabel1[[#This Row],[% uren 3:]]*Tabel1[[#This Row],[Totale uren:]])</f>
        <v/>
      </c>
      <c r="P548" s="138" t="str">
        <f>IF(Tabel1[[#This Row],[Ordernummer:]]="","",SUM(Tabel1[[#This Row],[% uren 1:]],Tabel1[[#This Row],[% uren 2:]],Tabel1[[#This Row],[% uren 3:]]))</f>
        <v/>
      </c>
      <c r="Q548" s="127"/>
      <c r="R548" s="128"/>
      <c r="S548" s="44"/>
      <c r="T548" s="25"/>
    </row>
    <row r="549" spans="2:20" x14ac:dyDescent="0.25">
      <c r="B549" s="7"/>
      <c r="C549" s="10"/>
      <c r="D549" s="10"/>
      <c r="E549" s="72"/>
      <c r="F549" s="73"/>
      <c r="G549" s="72"/>
      <c r="H549" s="31"/>
      <c r="I549" s="85" t="str">
        <f>IF(Tabel1[[#This Row],[% uren 1:]]="","",Tabel1[[#This Row],[% uren 1:]]*Tabel1[[#This Row],[Totale uren:]])</f>
        <v/>
      </c>
      <c r="J549" s="68"/>
      <c r="K549" s="31"/>
      <c r="L549" s="86" t="str">
        <f>IF(Tabel1[[#This Row],[% uren 2:]]="","",Tabel1[[#This Row],[% uren 2:]]*Tabel1[[#This Row],[Totale uren:]])</f>
        <v/>
      </c>
      <c r="M549" s="72"/>
      <c r="N549" s="31"/>
      <c r="O549" s="85" t="str">
        <f>IF(Tabel1[[#This Row],[% uren 3:]]="","",Tabel1[[#This Row],[% uren 3:]]*Tabel1[[#This Row],[Totale uren:]])</f>
        <v/>
      </c>
      <c r="P549" s="138" t="str">
        <f>IF(Tabel1[[#This Row],[Ordernummer:]]="","",SUM(Tabel1[[#This Row],[% uren 1:]],Tabel1[[#This Row],[% uren 2:]],Tabel1[[#This Row],[% uren 3:]]))</f>
        <v/>
      </c>
      <c r="Q549" s="127"/>
      <c r="R549" s="128"/>
      <c r="S549" s="44"/>
      <c r="T549" s="25"/>
    </row>
    <row r="550" spans="2:20" x14ac:dyDescent="0.25">
      <c r="B550" s="7"/>
      <c r="C550" s="10"/>
      <c r="D550" s="10"/>
      <c r="E550" s="72"/>
      <c r="F550" s="73"/>
      <c r="G550" s="72"/>
      <c r="H550" s="31"/>
      <c r="I550" s="85" t="str">
        <f>IF(Tabel1[[#This Row],[% uren 1:]]="","",Tabel1[[#This Row],[% uren 1:]]*Tabel1[[#This Row],[Totale uren:]])</f>
        <v/>
      </c>
      <c r="J550" s="68"/>
      <c r="K550" s="31"/>
      <c r="L550" s="86" t="str">
        <f>IF(Tabel1[[#This Row],[% uren 2:]]="","",Tabel1[[#This Row],[% uren 2:]]*Tabel1[[#This Row],[Totale uren:]])</f>
        <v/>
      </c>
      <c r="M550" s="72"/>
      <c r="N550" s="31"/>
      <c r="O550" s="85" t="str">
        <f>IF(Tabel1[[#This Row],[% uren 3:]]="","",Tabel1[[#This Row],[% uren 3:]]*Tabel1[[#This Row],[Totale uren:]])</f>
        <v/>
      </c>
      <c r="P550" s="138" t="str">
        <f>IF(Tabel1[[#This Row],[Ordernummer:]]="","",SUM(Tabel1[[#This Row],[% uren 1:]],Tabel1[[#This Row],[% uren 2:]],Tabel1[[#This Row],[% uren 3:]]))</f>
        <v/>
      </c>
      <c r="Q550" s="127"/>
      <c r="R550" s="128"/>
      <c r="S550" s="44"/>
      <c r="T550" s="25"/>
    </row>
    <row r="551" spans="2:20" x14ac:dyDescent="0.25">
      <c r="B551" s="7"/>
      <c r="C551" s="10"/>
      <c r="D551" s="10"/>
      <c r="E551" s="72"/>
      <c r="F551" s="73"/>
      <c r="G551" s="72"/>
      <c r="H551" s="31"/>
      <c r="I551" s="85" t="str">
        <f>IF(Tabel1[[#This Row],[% uren 1:]]="","",Tabel1[[#This Row],[% uren 1:]]*Tabel1[[#This Row],[Totale uren:]])</f>
        <v/>
      </c>
      <c r="J551" s="68"/>
      <c r="K551" s="31"/>
      <c r="L551" s="86" t="str">
        <f>IF(Tabel1[[#This Row],[% uren 2:]]="","",Tabel1[[#This Row],[% uren 2:]]*Tabel1[[#This Row],[Totale uren:]])</f>
        <v/>
      </c>
      <c r="M551" s="72"/>
      <c r="N551" s="31"/>
      <c r="O551" s="85" t="str">
        <f>IF(Tabel1[[#This Row],[% uren 3:]]="","",Tabel1[[#This Row],[% uren 3:]]*Tabel1[[#This Row],[Totale uren:]])</f>
        <v/>
      </c>
      <c r="P551" s="138" t="str">
        <f>IF(Tabel1[[#This Row],[Ordernummer:]]="","",SUM(Tabel1[[#This Row],[% uren 1:]],Tabel1[[#This Row],[% uren 2:]],Tabel1[[#This Row],[% uren 3:]]))</f>
        <v/>
      </c>
      <c r="Q551" s="127"/>
      <c r="R551" s="128"/>
      <c r="S551" s="44"/>
      <c r="T551" s="25"/>
    </row>
    <row r="552" spans="2:20" x14ac:dyDescent="0.25">
      <c r="B552" s="7"/>
      <c r="C552" s="10"/>
      <c r="D552" s="10"/>
      <c r="E552" s="72"/>
      <c r="F552" s="73"/>
      <c r="G552" s="72"/>
      <c r="H552" s="31"/>
      <c r="I552" s="85" t="str">
        <f>IF(Tabel1[[#This Row],[% uren 1:]]="","",Tabel1[[#This Row],[% uren 1:]]*Tabel1[[#This Row],[Totale uren:]])</f>
        <v/>
      </c>
      <c r="J552" s="68"/>
      <c r="K552" s="31"/>
      <c r="L552" s="86" t="str">
        <f>IF(Tabel1[[#This Row],[% uren 2:]]="","",Tabel1[[#This Row],[% uren 2:]]*Tabel1[[#This Row],[Totale uren:]])</f>
        <v/>
      </c>
      <c r="M552" s="72"/>
      <c r="N552" s="31"/>
      <c r="O552" s="85" t="str">
        <f>IF(Tabel1[[#This Row],[% uren 3:]]="","",Tabel1[[#This Row],[% uren 3:]]*Tabel1[[#This Row],[Totale uren:]])</f>
        <v/>
      </c>
      <c r="P552" s="138" t="str">
        <f>IF(Tabel1[[#This Row],[Ordernummer:]]="","",SUM(Tabel1[[#This Row],[% uren 1:]],Tabel1[[#This Row],[% uren 2:]],Tabel1[[#This Row],[% uren 3:]]))</f>
        <v/>
      </c>
      <c r="Q552" s="127"/>
      <c r="R552" s="128"/>
      <c r="S552" s="44"/>
      <c r="T552" s="25"/>
    </row>
    <row r="553" spans="2:20" x14ac:dyDescent="0.25">
      <c r="B553" s="7"/>
      <c r="C553" s="10"/>
      <c r="D553" s="10"/>
      <c r="E553" s="72"/>
      <c r="F553" s="73"/>
      <c r="G553" s="72"/>
      <c r="H553" s="31"/>
      <c r="I553" s="85" t="str">
        <f>IF(Tabel1[[#This Row],[% uren 1:]]="","",Tabel1[[#This Row],[% uren 1:]]*Tabel1[[#This Row],[Totale uren:]])</f>
        <v/>
      </c>
      <c r="J553" s="68"/>
      <c r="K553" s="31"/>
      <c r="L553" s="86" t="str">
        <f>IF(Tabel1[[#This Row],[% uren 2:]]="","",Tabel1[[#This Row],[% uren 2:]]*Tabel1[[#This Row],[Totale uren:]])</f>
        <v/>
      </c>
      <c r="M553" s="72"/>
      <c r="N553" s="31"/>
      <c r="O553" s="85" t="str">
        <f>IF(Tabel1[[#This Row],[% uren 3:]]="","",Tabel1[[#This Row],[% uren 3:]]*Tabel1[[#This Row],[Totale uren:]])</f>
        <v/>
      </c>
      <c r="P553" s="138" t="str">
        <f>IF(Tabel1[[#This Row],[Ordernummer:]]="","",SUM(Tabel1[[#This Row],[% uren 1:]],Tabel1[[#This Row],[% uren 2:]],Tabel1[[#This Row],[% uren 3:]]))</f>
        <v/>
      </c>
      <c r="Q553" s="127"/>
      <c r="R553" s="128"/>
      <c r="S553" s="44"/>
      <c r="T553" s="25"/>
    </row>
    <row r="554" spans="2:20" x14ac:dyDescent="0.25">
      <c r="B554" s="7"/>
      <c r="C554" s="10"/>
      <c r="D554" s="10"/>
      <c r="E554" s="72"/>
      <c r="F554" s="73"/>
      <c r="G554" s="72"/>
      <c r="H554" s="31"/>
      <c r="I554" s="85" t="str">
        <f>IF(Tabel1[[#This Row],[% uren 1:]]="","",Tabel1[[#This Row],[% uren 1:]]*Tabel1[[#This Row],[Totale uren:]])</f>
        <v/>
      </c>
      <c r="J554" s="68"/>
      <c r="K554" s="31"/>
      <c r="L554" s="86" t="str">
        <f>IF(Tabel1[[#This Row],[% uren 2:]]="","",Tabel1[[#This Row],[% uren 2:]]*Tabel1[[#This Row],[Totale uren:]])</f>
        <v/>
      </c>
      <c r="M554" s="72"/>
      <c r="N554" s="31"/>
      <c r="O554" s="85" t="str">
        <f>IF(Tabel1[[#This Row],[% uren 3:]]="","",Tabel1[[#This Row],[% uren 3:]]*Tabel1[[#This Row],[Totale uren:]])</f>
        <v/>
      </c>
      <c r="P554" s="138" t="str">
        <f>IF(Tabel1[[#This Row],[Ordernummer:]]="","",SUM(Tabel1[[#This Row],[% uren 1:]],Tabel1[[#This Row],[% uren 2:]],Tabel1[[#This Row],[% uren 3:]]))</f>
        <v/>
      </c>
      <c r="Q554" s="127"/>
      <c r="R554" s="128"/>
      <c r="S554" s="44"/>
      <c r="T554" s="25"/>
    </row>
    <row r="555" spans="2:20" x14ac:dyDescent="0.25">
      <c r="B555" s="7"/>
      <c r="C555" s="10"/>
      <c r="D555" s="10"/>
      <c r="E555" s="72"/>
      <c r="F555" s="73"/>
      <c r="G555" s="72"/>
      <c r="H555" s="31"/>
      <c r="I555" s="85" t="str">
        <f>IF(Tabel1[[#This Row],[% uren 1:]]="","",Tabel1[[#This Row],[% uren 1:]]*Tabel1[[#This Row],[Totale uren:]])</f>
        <v/>
      </c>
      <c r="J555" s="68"/>
      <c r="K555" s="31"/>
      <c r="L555" s="86" t="str">
        <f>IF(Tabel1[[#This Row],[% uren 2:]]="","",Tabel1[[#This Row],[% uren 2:]]*Tabel1[[#This Row],[Totale uren:]])</f>
        <v/>
      </c>
      <c r="M555" s="72"/>
      <c r="N555" s="31"/>
      <c r="O555" s="85" t="str">
        <f>IF(Tabel1[[#This Row],[% uren 3:]]="","",Tabel1[[#This Row],[% uren 3:]]*Tabel1[[#This Row],[Totale uren:]])</f>
        <v/>
      </c>
      <c r="P555" s="138" t="str">
        <f>IF(Tabel1[[#This Row],[Ordernummer:]]="","",SUM(Tabel1[[#This Row],[% uren 1:]],Tabel1[[#This Row],[% uren 2:]],Tabel1[[#This Row],[% uren 3:]]))</f>
        <v/>
      </c>
      <c r="Q555" s="127"/>
      <c r="R555" s="128"/>
      <c r="S555" s="44"/>
      <c r="T555" s="25"/>
    </row>
    <row r="556" spans="2:20" x14ac:dyDescent="0.25">
      <c r="B556" s="7"/>
      <c r="C556" s="10"/>
      <c r="D556" s="10"/>
      <c r="E556" s="72"/>
      <c r="F556" s="73"/>
      <c r="G556" s="72"/>
      <c r="H556" s="31"/>
      <c r="I556" s="85" t="str">
        <f>IF(Tabel1[[#This Row],[% uren 1:]]="","",Tabel1[[#This Row],[% uren 1:]]*Tabel1[[#This Row],[Totale uren:]])</f>
        <v/>
      </c>
      <c r="J556" s="68"/>
      <c r="K556" s="31"/>
      <c r="L556" s="86" t="str">
        <f>IF(Tabel1[[#This Row],[% uren 2:]]="","",Tabel1[[#This Row],[% uren 2:]]*Tabel1[[#This Row],[Totale uren:]])</f>
        <v/>
      </c>
      <c r="M556" s="72"/>
      <c r="N556" s="31"/>
      <c r="O556" s="85" t="str">
        <f>IF(Tabel1[[#This Row],[% uren 3:]]="","",Tabel1[[#This Row],[% uren 3:]]*Tabel1[[#This Row],[Totale uren:]])</f>
        <v/>
      </c>
      <c r="P556" s="138" t="str">
        <f>IF(Tabel1[[#This Row],[Ordernummer:]]="","",SUM(Tabel1[[#This Row],[% uren 1:]],Tabel1[[#This Row],[% uren 2:]],Tabel1[[#This Row],[% uren 3:]]))</f>
        <v/>
      </c>
      <c r="Q556" s="127"/>
      <c r="R556" s="128"/>
      <c r="S556" s="44"/>
      <c r="T556" s="25"/>
    </row>
    <row r="557" spans="2:20" x14ac:dyDescent="0.25">
      <c r="B557" s="7"/>
      <c r="C557" s="10"/>
      <c r="D557" s="10"/>
      <c r="E557" s="72"/>
      <c r="F557" s="73"/>
      <c r="G557" s="72"/>
      <c r="H557" s="31"/>
      <c r="I557" s="85" t="str">
        <f>IF(Tabel1[[#This Row],[% uren 1:]]="","",Tabel1[[#This Row],[% uren 1:]]*Tabel1[[#This Row],[Totale uren:]])</f>
        <v/>
      </c>
      <c r="J557" s="68"/>
      <c r="K557" s="31"/>
      <c r="L557" s="86" t="str">
        <f>IF(Tabel1[[#This Row],[% uren 2:]]="","",Tabel1[[#This Row],[% uren 2:]]*Tabel1[[#This Row],[Totale uren:]])</f>
        <v/>
      </c>
      <c r="M557" s="72"/>
      <c r="N557" s="31"/>
      <c r="O557" s="85" t="str">
        <f>IF(Tabel1[[#This Row],[% uren 3:]]="","",Tabel1[[#This Row],[% uren 3:]]*Tabel1[[#This Row],[Totale uren:]])</f>
        <v/>
      </c>
      <c r="P557" s="138" t="str">
        <f>IF(Tabel1[[#This Row],[Ordernummer:]]="","",SUM(Tabel1[[#This Row],[% uren 1:]],Tabel1[[#This Row],[% uren 2:]],Tabel1[[#This Row],[% uren 3:]]))</f>
        <v/>
      </c>
      <c r="Q557" s="127"/>
      <c r="R557" s="128"/>
      <c r="S557" s="44"/>
      <c r="T557" s="25"/>
    </row>
    <row r="558" spans="2:20" x14ac:dyDescent="0.25">
      <c r="B558" s="7"/>
      <c r="C558" s="10"/>
      <c r="D558" s="10"/>
      <c r="E558" s="72"/>
      <c r="F558" s="73"/>
      <c r="G558" s="72"/>
      <c r="H558" s="31"/>
      <c r="I558" s="85" t="str">
        <f>IF(Tabel1[[#This Row],[% uren 1:]]="","",Tabel1[[#This Row],[% uren 1:]]*Tabel1[[#This Row],[Totale uren:]])</f>
        <v/>
      </c>
      <c r="J558" s="68"/>
      <c r="K558" s="31"/>
      <c r="L558" s="86" t="str">
        <f>IF(Tabel1[[#This Row],[% uren 2:]]="","",Tabel1[[#This Row],[% uren 2:]]*Tabel1[[#This Row],[Totale uren:]])</f>
        <v/>
      </c>
      <c r="M558" s="72"/>
      <c r="N558" s="31"/>
      <c r="O558" s="85" t="str">
        <f>IF(Tabel1[[#This Row],[% uren 3:]]="","",Tabel1[[#This Row],[% uren 3:]]*Tabel1[[#This Row],[Totale uren:]])</f>
        <v/>
      </c>
      <c r="P558" s="138" t="str">
        <f>IF(Tabel1[[#This Row],[Ordernummer:]]="","",SUM(Tabel1[[#This Row],[% uren 1:]],Tabel1[[#This Row],[% uren 2:]],Tabel1[[#This Row],[% uren 3:]]))</f>
        <v/>
      </c>
      <c r="Q558" s="127"/>
      <c r="R558" s="128"/>
      <c r="S558" s="44"/>
      <c r="T558" s="25"/>
    </row>
    <row r="559" spans="2:20" x14ac:dyDescent="0.25">
      <c r="B559" s="7"/>
      <c r="C559" s="10"/>
      <c r="D559" s="10"/>
      <c r="E559" s="72"/>
      <c r="F559" s="73"/>
      <c r="G559" s="72"/>
      <c r="H559" s="31"/>
      <c r="I559" s="85" t="str">
        <f>IF(Tabel1[[#This Row],[% uren 1:]]="","",Tabel1[[#This Row],[% uren 1:]]*Tabel1[[#This Row],[Totale uren:]])</f>
        <v/>
      </c>
      <c r="J559" s="68"/>
      <c r="K559" s="31"/>
      <c r="L559" s="86" t="str">
        <f>IF(Tabel1[[#This Row],[% uren 2:]]="","",Tabel1[[#This Row],[% uren 2:]]*Tabel1[[#This Row],[Totale uren:]])</f>
        <v/>
      </c>
      <c r="M559" s="72"/>
      <c r="N559" s="31"/>
      <c r="O559" s="85" t="str">
        <f>IF(Tabel1[[#This Row],[% uren 3:]]="","",Tabel1[[#This Row],[% uren 3:]]*Tabel1[[#This Row],[Totale uren:]])</f>
        <v/>
      </c>
      <c r="P559" s="138" t="str">
        <f>IF(Tabel1[[#This Row],[Ordernummer:]]="","",SUM(Tabel1[[#This Row],[% uren 1:]],Tabel1[[#This Row],[% uren 2:]],Tabel1[[#This Row],[% uren 3:]]))</f>
        <v/>
      </c>
      <c r="Q559" s="127"/>
      <c r="R559" s="128"/>
      <c r="S559" s="44"/>
      <c r="T559" s="25"/>
    </row>
    <row r="560" spans="2:20" x14ac:dyDescent="0.25">
      <c r="B560" s="7"/>
      <c r="C560" s="10"/>
      <c r="D560" s="10"/>
      <c r="E560" s="72"/>
      <c r="F560" s="73"/>
      <c r="G560" s="72"/>
      <c r="H560" s="31"/>
      <c r="I560" s="85" t="str">
        <f>IF(Tabel1[[#This Row],[% uren 1:]]="","",Tabel1[[#This Row],[% uren 1:]]*Tabel1[[#This Row],[Totale uren:]])</f>
        <v/>
      </c>
      <c r="J560" s="68"/>
      <c r="K560" s="31"/>
      <c r="L560" s="86" t="str">
        <f>IF(Tabel1[[#This Row],[% uren 2:]]="","",Tabel1[[#This Row],[% uren 2:]]*Tabel1[[#This Row],[Totale uren:]])</f>
        <v/>
      </c>
      <c r="M560" s="72"/>
      <c r="N560" s="31"/>
      <c r="O560" s="85" t="str">
        <f>IF(Tabel1[[#This Row],[% uren 3:]]="","",Tabel1[[#This Row],[% uren 3:]]*Tabel1[[#This Row],[Totale uren:]])</f>
        <v/>
      </c>
      <c r="P560" s="138" t="str">
        <f>IF(Tabel1[[#This Row],[Ordernummer:]]="","",SUM(Tabel1[[#This Row],[% uren 1:]],Tabel1[[#This Row],[% uren 2:]],Tabel1[[#This Row],[% uren 3:]]))</f>
        <v/>
      </c>
      <c r="Q560" s="127"/>
      <c r="R560" s="128"/>
      <c r="S560" s="44"/>
      <c r="T560" s="25"/>
    </row>
    <row r="561" spans="2:20" x14ac:dyDescent="0.25">
      <c r="B561" s="7"/>
      <c r="C561" s="10"/>
      <c r="D561" s="10"/>
      <c r="E561" s="72"/>
      <c r="F561" s="73"/>
      <c r="G561" s="72"/>
      <c r="H561" s="31"/>
      <c r="I561" s="85" t="str">
        <f>IF(Tabel1[[#This Row],[% uren 1:]]="","",Tabel1[[#This Row],[% uren 1:]]*Tabel1[[#This Row],[Totale uren:]])</f>
        <v/>
      </c>
      <c r="J561" s="68"/>
      <c r="K561" s="31"/>
      <c r="L561" s="86" t="str">
        <f>IF(Tabel1[[#This Row],[% uren 2:]]="","",Tabel1[[#This Row],[% uren 2:]]*Tabel1[[#This Row],[Totale uren:]])</f>
        <v/>
      </c>
      <c r="M561" s="72"/>
      <c r="N561" s="31"/>
      <c r="O561" s="85" t="str">
        <f>IF(Tabel1[[#This Row],[% uren 3:]]="","",Tabel1[[#This Row],[% uren 3:]]*Tabel1[[#This Row],[Totale uren:]])</f>
        <v/>
      </c>
      <c r="P561" s="138" t="str">
        <f>IF(Tabel1[[#This Row],[Ordernummer:]]="","",SUM(Tabel1[[#This Row],[% uren 1:]],Tabel1[[#This Row],[% uren 2:]],Tabel1[[#This Row],[% uren 3:]]))</f>
        <v/>
      </c>
      <c r="Q561" s="127"/>
      <c r="R561" s="128"/>
      <c r="S561" s="44"/>
      <c r="T561" s="25"/>
    </row>
    <row r="562" spans="2:20" x14ac:dyDescent="0.25">
      <c r="B562" s="7"/>
      <c r="C562" s="10"/>
      <c r="D562" s="10"/>
      <c r="E562" s="72"/>
      <c r="F562" s="73"/>
      <c r="G562" s="72"/>
      <c r="H562" s="31"/>
      <c r="I562" s="85" t="str">
        <f>IF(Tabel1[[#This Row],[% uren 1:]]="","",Tabel1[[#This Row],[% uren 1:]]*Tabel1[[#This Row],[Totale uren:]])</f>
        <v/>
      </c>
      <c r="J562" s="68"/>
      <c r="K562" s="31"/>
      <c r="L562" s="86" t="str">
        <f>IF(Tabel1[[#This Row],[% uren 2:]]="","",Tabel1[[#This Row],[% uren 2:]]*Tabel1[[#This Row],[Totale uren:]])</f>
        <v/>
      </c>
      <c r="M562" s="72"/>
      <c r="N562" s="31"/>
      <c r="O562" s="85" t="str">
        <f>IF(Tabel1[[#This Row],[% uren 3:]]="","",Tabel1[[#This Row],[% uren 3:]]*Tabel1[[#This Row],[Totale uren:]])</f>
        <v/>
      </c>
      <c r="P562" s="138" t="str">
        <f>IF(Tabel1[[#This Row],[Ordernummer:]]="","",SUM(Tabel1[[#This Row],[% uren 1:]],Tabel1[[#This Row],[% uren 2:]],Tabel1[[#This Row],[% uren 3:]]))</f>
        <v/>
      </c>
      <c r="Q562" s="127"/>
      <c r="R562" s="128"/>
      <c r="S562" s="44"/>
      <c r="T562" s="25"/>
    </row>
    <row r="563" spans="2:20" x14ac:dyDescent="0.25">
      <c r="B563" s="7"/>
      <c r="C563" s="10"/>
      <c r="D563" s="10"/>
      <c r="E563" s="72"/>
      <c r="F563" s="73"/>
      <c r="G563" s="72"/>
      <c r="H563" s="31"/>
      <c r="I563" s="85" t="str">
        <f>IF(Tabel1[[#This Row],[% uren 1:]]="","",Tabel1[[#This Row],[% uren 1:]]*Tabel1[[#This Row],[Totale uren:]])</f>
        <v/>
      </c>
      <c r="J563" s="68"/>
      <c r="K563" s="31"/>
      <c r="L563" s="86" t="str">
        <f>IF(Tabel1[[#This Row],[% uren 2:]]="","",Tabel1[[#This Row],[% uren 2:]]*Tabel1[[#This Row],[Totale uren:]])</f>
        <v/>
      </c>
      <c r="M563" s="72"/>
      <c r="N563" s="31"/>
      <c r="O563" s="85" t="str">
        <f>IF(Tabel1[[#This Row],[% uren 3:]]="","",Tabel1[[#This Row],[% uren 3:]]*Tabel1[[#This Row],[Totale uren:]])</f>
        <v/>
      </c>
      <c r="P563" s="138" t="str">
        <f>IF(Tabel1[[#This Row],[Ordernummer:]]="","",SUM(Tabel1[[#This Row],[% uren 1:]],Tabel1[[#This Row],[% uren 2:]],Tabel1[[#This Row],[% uren 3:]]))</f>
        <v/>
      </c>
      <c r="Q563" s="127"/>
      <c r="R563" s="128"/>
      <c r="S563" s="44"/>
      <c r="T563" s="25"/>
    </row>
    <row r="564" spans="2:20" x14ac:dyDescent="0.25">
      <c r="B564" s="7"/>
      <c r="C564" s="10"/>
      <c r="D564" s="10"/>
      <c r="E564" s="72"/>
      <c r="F564" s="73"/>
      <c r="G564" s="72"/>
      <c r="H564" s="31"/>
      <c r="I564" s="85" t="str">
        <f>IF(Tabel1[[#This Row],[% uren 1:]]="","",Tabel1[[#This Row],[% uren 1:]]*Tabel1[[#This Row],[Totale uren:]])</f>
        <v/>
      </c>
      <c r="J564" s="68"/>
      <c r="K564" s="31"/>
      <c r="L564" s="86" t="str">
        <f>IF(Tabel1[[#This Row],[% uren 2:]]="","",Tabel1[[#This Row],[% uren 2:]]*Tabel1[[#This Row],[Totale uren:]])</f>
        <v/>
      </c>
      <c r="M564" s="72"/>
      <c r="N564" s="31"/>
      <c r="O564" s="85" t="str">
        <f>IF(Tabel1[[#This Row],[% uren 3:]]="","",Tabel1[[#This Row],[% uren 3:]]*Tabel1[[#This Row],[Totale uren:]])</f>
        <v/>
      </c>
      <c r="P564" s="138" t="str">
        <f>IF(Tabel1[[#This Row],[Ordernummer:]]="","",SUM(Tabel1[[#This Row],[% uren 1:]],Tabel1[[#This Row],[% uren 2:]],Tabel1[[#This Row],[% uren 3:]]))</f>
        <v/>
      </c>
      <c r="Q564" s="127"/>
      <c r="R564" s="128"/>
      <c r="S564" s="44"/>
      <c r="T564" s="25"/>
    </row>
    <row r="565" spans="2:20" x14ac:dyDescent="0.25">
      <c r="B565" s="7"/>
      <c r="C565" s="10"/>
      <c r="D565" s="10"/>
      <c r="E565" s="72"/>
      <c r="F565" s="73"/>
      <c r="G565" s="72"/>
      <c r="H565" s="31"/>
      <c r="I565" s="85" t="str">
        <f>IF(Tabel1[[#This Row],[% uren 1:]]="","",Tabel1[[#This Row],[% uren 1:]]*Tabel1[[#This Row],[Totale uren:]])</f>
        <v/>
      </c>
      <c r="J565" s="68"/>
      <c r="K565" s="31"/>
      <c r="L565" s="86" t="str">
        <f>IF(Tabel1[[#This Row],[% uren 2:]]="","",Tabel1[[#This Row],[% uren 2:]]*Tabel1[[#This Row],[Totale uren:]])</f>
        <v/>
      </c>
      <c r="M565" s="72"/>
      <c r="N565" s="31"/>
      <c r="O565" s="85" t="str">
        <f>IF(Tabel1[[#This Row],[% uren 3:]]="","",Tabel1[[#This Row],[% uren 3:]]*Tabel1[[#This Row],[Totale uren:]])</f>
        <v/>
      </c>
      <c r="P565" s="138" t="str">
        <f>IF(Tabel1[[#This Row],[Ordernummer:]]="","",SUM(Tabel1[[#This Row],[% uren 1:]],Tabel1[[#This Row],[% uren 2:]],Tabel1[[#This Row],[% uren 3:]]))</f>
        <v/>
      </c>
      <c r="Q565" s="127"/>
      <c r="R565" s="128"/>
      <c r="S565" s="44"/>
      <c r="T565" s="25"/>
    </row>
    <row r="566" spans="2:20" x14ac:dyDescent="0.25">
      <c r="B566" s="7"/>
      <c r="C566" s="10"/>
      <c r="D566" s="10"/>
      <c r="E566" s="72"/>
      <c r="F566" s="73"/>
      <c r="G566" s="72"/>
      <c r="H566" s="31"/>
      <c r="I566" s="85" t="str">
        <f>IF(Tabel1[[#This Row],[% uren 1:]]="","",Tabel1[[#This Row],[% uren 1:]]*Tabel1[[#This Row],[Totale uren:]])</f>
        <v/>
      </c>
      <c r="J566" s="68"/>
      <c r="K566" s="31"/>
      <c r="L566" s="86" t="str">
        <f>IF(Tabel1[[#This Row],[% uren 2:]]="","",Tabel1[[#This Row],[% uren 2:]]*Tabel1[[#This Row],[Totale uren:]])</f>
        <v/>
      </c>
      <c r="M566" s="72"/>
      <c r="N566" s="31"/>
      <c r="O566" s="85" t="str">
        <f>IF(Tabel1[[#This Row],[% uren 3:]]="","",Tabel1[[#This Row],[% uren 3:]]*Tabel1[[#This Row],[Totale uren:]])</f>
        <v/>
      </c>
      <c r="P566" s="138" t="str">
        <f>IF(Tabel1[[#This Row],[Ordernummer:]]="","",SUM(Tabel1[[#This Row],[% uren 1:]],Tabel1[[#This Row],[% uren 2:]],Tabel1[[#This Row],[% uren 3:]]))</f>
        <v/>
      </c>
      <c r="Q566" s="127"/>
      <c r="R566" s="128"/>
      <c r="S566" s="44"/>
      <c r="T566" s="25"/>
    </row>
    <row r="567" spans="2:20" x14ac:dyDescent="0.25">
      <c r="B567" s="7"/>
      <c r="C567" s="10"/>
      <c r="D567" s="10"/>
      <c r="E567" s="72"/>
      <c r="F567" s="73"/>
      <c r="G567" s="72"/>
      <c r="H567" s="31"/>
      <c r="I567" s="85" t="str">
        <f>IF(Tabel1[[#This Row],[% uren 1:]]="","",Tabel1[[#This Row],[% uren 1:]]*Tabel1[[#This Row],[Totale uren:]])</f>
        <v/>
      </c>
      <c r="J567" s="68"/>
      <c r="K567" s="31"/>
      <c r="L567" s="86" t="str">
        <f>IF(Tabel1[[#This Row],[% uren 2:]]="","",Tabel1[[#This Row],[% uren 2:]]*Tabel1[[#This Row],[Totale uren:]])</f>
        <v/>
      </c>
      <c r="M567" s="72"/>
      <c r="N567" s="31"/>
      <c r="O567" s="85" t="str">
        <f>IF(Tabel1[[#This Row],[% uren 3:]]="","",Tabel1[[#This Row],[% uren 3:]]*Tabel1[[#This Row],[Totale uren:]])</f>
        <v/>
      </c>
      <c r="P567" s="138" t="str">
        <f>IF(Tabel1[[#This Row],[Ordernummer:]]="","",SUM(Tabel1[[#This Row],[% uren 1:]],Tabel1[[#This Row],[% uren 2:]],Tabel1[[#This Row],[% uren 3:]]))</f>
        <v/>
      </c>
      <c r="Q567" s="127"/>
      <c r="R567" s="128"/>
      <c r="S567" s="44"/>
      <c r="T567" s="25"/>
    </row>
    <row r="568" spans="2:20" x14ac:dyDescent="0.25">
      <c r="B568" s="7"/>
      <c r="C568" s="10"/>
      <c r="D568" s="10"/>
      <c r="E568" s="72"/>
      <c r="F568" s="73"/>
      <c r="G568" s="72"/>
      <c r="H568" s="31"/>
      <c r="I568" s="85" t="str">
        <f>IF(Tabel1[[#This Row],[% uren 1:]]="","",Tabel1[[#This Row],[% uren 1:]]*Tabel1[[#This Row],[Totale uren:]])</f>
        <v/>
      </c>
      <c r="J568" s="68"/>
      <c r="K568" s="31"/>
      <c r="L568" s="86" t="str">
        <f>IF(Tabel1[[#This Row],[% uren 2:]]="","",Tabel1[[#This Row],[% uren 2:]]*Tabel1[[#This Row],[Totale uren:]])</f>
        <v/>
      </c>
      <c r="M568" s="72"/>
      <c r="N568" s="31"/>
      <c r="O568" s="85" t="str">
        <f>IF(Tabel1[[#This Row],[% uren 3:]]="","",Tabel1[[#This Row],[% uren 3:]]*Tabel1[[#This Row],[Totale uren:]])</f>
        <v/>
      </c>
      <c r="P568" s="138" t="str">
        <f>IF(Tabel1[[#This Row],[Ordernummer:]]="","",SUM(Tabel1[[#This Row],[% uren 1:]],Tabel1[[#This Row],[% uren 2:]],Tabel1[[#This Row],[% uren 3:]]))</f>
        <v/>
      </c>
      <c r="Q568" s="127"/>
      <c r="R568" s="128"/>
      <c r="S568" s="44"/>
      <c r="T568" s="25"/>
    </row>
    <row r="569" spans="2:20" x14ac:dyDescent="0.25">
      <c r="B569" s="7"/>
      <c r="C569" s="10"/>
      <c r="D569" s="10"/>
      <c r="E569" s="72"/>
      <c r="F569" s="73"/>
      <c r="G569" s="72"/>
      <c r="H569" s="31"/>
      <c r="I569" s="85" t="str">
        <f>IF(Tabel1[[#This Row],[% uren 1:]]="","",Tabel1[[#This Row],[% uren 1:]]*Tabel1[[#This Row],[Totale uren:]])</f>
        <v/>
      </c>
      <c r="J569" s="68"/>
      <c r="K569" s="31"/>
      <c r="L569" s="86" t="str">
        <f>IF(Tabel1[[#This Row],[% uren 2:]]="","",Tabel1[[#This Row],[% uren 2:]]*Tabel1[[#This Row],[Totale uren:]])</f>
        <v/>
      </c>
      <c r="M569" s="72"/>
      <c r="N569" s="31"/>
      <c r="O569" s="85" t="str">
        <f>IF(Tabel1[[#This Row],[% uren 3:]]="","",Tabel1[[#This Row],[% uren 3:]]*Tabel1[[#This Row],[Totale uren:]])</f>
        <v/>
      </c>
      <c r="P569" s="138" t="str">
        <f>IF(Tabel1[[#This Row],[Ordernummer:]]="","",SUM(Tabel1[[#This Row],[% uren 1:]],Tabel1[[#This Row],[% uren 2:]],Tabel1[[#This Row],[% uren 3:]]))</f>
        <v/>
      </c>
      <c r="Q569" s="127"/>
      <c r="R569" s="128"/>
      <c r="S569" s="44"/>
      <c r="T569" s="25"/>
    </row>
    <row r="570" spans="2:20" x14ac:dyDescent="0.25">
      <c r="B570" s="7"/>
      <c r="C570" s="10"/>
      <c r="D570" s="10"/>
      <c r="E570" s="72"/>
      <c r="F570" s="73"/>
      <c r="G570" s="72"/>
      <c r="H570" s="31"/>
      <c r="I570" s="85" t="str">
        <f>IF(Tabel1[[#This Row],[% uren 1:]]="","",Tabel1[[#This Row],[% uren 1:]]*Tabel1[[#This Row],[Totale uren:]])</f>
        <v/>
      </c>
      <c r="J570" s="68"/>
      <c r="K570" s="31"/>
      <c r="L570" s="86" t="str">
        <f>IF(Tabel1[[#This Row],[% uren 2:]]="","",Tabel1[[#This Row],[% uren 2:]]*Tabel1[[#This Row],[Totale uren:]])</f>
        <v/>
      </c>
      <c r="M570" s="72"/>
      <c r="N570" s="31"/>
      <c r="O570" s="85" t="str">
        <f>IF(Tabel1[[#This Row],[% uren 3:]]="","",Tabel1[[#This Row],[% uren 3:]]*Tabel1[[#This Row],[Totale uren:]])</f>
        <v/>
      </c>
      <c r="P570" s="138" t="str">
        <f>IF(Tabel1[[#This Row],[Ordernummer:]]="","",SUM(Tabel1[[#This Row],[% uren 1:]],Tabel1[[#This Row],[% uren 2:]],Tabel1[[#This Row],[% uren 3:]]))</f>
        <v/>
      </c>
      <c r="Q570" s="127"/>
      <c r="R570" s="128"/>
      <c r="S570" s="44"/>
      <c r="T570" s="25"/>
    </row>
    <row r="571" spans="2:20" x14ac:dyDescent="0.25">
      <c r="B571" s="7"/>
      <c r="C571" s="10"/>
      <c r="D571" s="10"/>
      <c r="E571" s="72"/>
      <c r="F571" s="73"/>
      <c r="G571" s="72"/>
      <c r="H571" s="31"/>
      <c r="I571" s="85" t="str">
        <f>IF(Tabel1[[#This Row],[% uren 1:]]="","",Tabel1[[#This Row],[% uren 1:]]*Tabel1[[#This Row],[Totale uren:]])</f>
        <v/>
      </c>
      <c r="J571" s="68"/>
      <c r="K571" s="31"/>
      <c r="L571" s="86" t="str">
        <f>IF(Tabel1[[#This Row],[% uren 2:]]="","",Tabel1[[#This Row],[% uren 2:]]*Tabel1[[#This Row],[Totale uren:]])</f>
        <v/>
      </c>
      <c r="M571" s="72"/>
      <c r="N571" s="31"/>
      <c r="O571" s="85" t="str">
        <f>IF(Tabel1[[#This Row],[% uren 3:]]="","",Tabel1[[#This Row],[% uren 3:]]*Tabel1[[#This Row],[Totale uren:]])</f>
        <v/>
      </c>
      <c r="P571" s="138" t="str">
        <f>IF(Tabel1[[#This Row],[Ordernummer:]]="","",SUM(Tabel1[[#This Row],[% uren 1:]],Tabel1[[#This Row],[% uren 2:]],Tabel1[[#This Row],[% uren 3:]]))</f>
        <v/>
      </c>
      <c r="Q571" s="127"/>
      <c r="R571" s="128"/>
      <c r="S571" s="44"/>
      <c r="T571" s="25"/>
    </row>
    <row r="572" spans="2:20" x14ac:dyDescent="0.25">
      <c r="B572" s="7"/>
      <c r="C572" s="10"/>
      <c r="D572" s="10"/>
      <c r="E572" s="72"/>
      <c r="F572" s="73"/>
      <c r="G572" s="72"/>
      <c r="H572" s="31"/>
      <c r="I572" s="85" t="str">
        <f>IF(Tabel1[[#This Row],[% uren 1:]]="","",Tabel1[[#This Row],[% uren 1:]]*Tabel1[[#This Row],[Totale uren:]])</f>
        <v/>
      </c>
      <c r="J572" s="68"/>
      <c r="K572" s="31"/>
      <c r="L572" s="86" t="str">
        <f>IF(Tabel1[[#This Row],[% uren 2:]]="","",Tabel1[[#This Row],[% uren 2:]]*Tabel1[[#This Row],[Totale uren:]])</f>
        <v/>
      </c>
      <c r="M572" s="72"/>
      <c r="N572" s="31"/>
      <c r="O572" s="85" t="str">
        <f>IF(Tabel1[[#This Row],[% uren 3:]]="","",Tabel1[[#This Row],[% uren 3:]]*Tabel1[[#This Row],[Totale uren:]])</f>
        <v/>
      </c>
      <c r="P572" s="138" t="str">
        <f>IF(Tabel1[[#This Row],[Ordernummer:]]="","",SUM(Tabel1[[#This Row],[% uren 1:]],Tabel1[[#This Row],[% uren 2:]],Tabel1[[#This Row],[% uren 3:]]))</f>
        <v/>
      </c>
      <c r="Q572" s="127"/>
      <c r="R572" s="128"/>
      <c r="S572" s="44"/>
      <c r="T572" s="25"/>
    </row>
    <row r="573" spans="2:20" x14ac:dyDescent="0.25">
      <c r="B573" s="7"/>
      <c r="C573" s="10"/>
      <c r="D573" s="10"/>
      <c r="E573" s="72"/>
      <c r="F573" s="73"/>
      <c r="G573" s="72"/>
      <c r="H573" s="31"/>
      <c r="I573" s="85" t="str">
        <f>IF(Tabel1[[#This Row],[% uren 1:]]="","",Tabel1[[#This Row],[% uren 1:]]*Tabel1[[#This Row],[Totale uren:]])</f>
        <v/>
      </c>
      <c r="J573" s="68"/>
      <c r="K573" s="31"/>
      <c r="L573" s="86" t="str">
        <f>IF(Tabel1[[#This Row],[% uren 2:]]="","",Tabel1[[#This Row],[% uren 2:]]*Tabel1[[#This Row],[Totale uren:]])</f>
        <v/>
      </c>
      <c r="M573" s="72"/>
      <c r="N573" s="31"/>
      <c r="O573" s="85" t="str">
        <f>IF(Tabel1[[#This Row],[% uren 3:]]="","",Tabel1[[#This Row],[% uren 3:]]*Tabel1[[#This Row],[Totale uren:]])</f>
        <v/>
      </c>
      <c r="P573" s="138" t="str">
        <f>IF(Tabel1[[#This Row],[Ordernummer:]]="","",SUM(Tabel1[[#This Row],[% uren 1:]],Tabel1[[#This Row],[% uren 2:]],Tabel1[[#This Row],[% uren 3:]]))</f>
        <v/>
      </c>
      <c r="Q573" s="127"/>
      <c r="R573" s="128"/>
      <c r="S573" s="44"/>
      <c r="T573" s="25"/>
    </row>
    <row r="574" spans="2:20" x14ac:dyDescent="0.25">
      <c r="B574" s="7"/>
      <c r="C574" s="10"/>
      <c r="D574" s="10"/>
      <c r="E574" s="72"/>
      <c r="F574" s="73"/>
      <c r="G574" s="72"/>
      <c r="H574" s="31"/>
      <c r="I574" s="85" t="str">
        <f>IF(Tabel1[[#This Row],[% uren 1:]]="","",Tabel1[[#This Row],[% uren 1:]]*Tabel1[[#This Row],[Totale uren:]])</f>
        <v/>
      </c>
      <c r="J574" s="68"/>
      <c r="K574" s="31"/>
      <c r="L574" s="86" t="str">
        <f>IF(Tabel1[[#This Row],[% uren 2:]]="","",Tabel1[[#This Row],[% uren 2:]]*Tabel1[[#This Row],[Totale uren:]])</f>
        <v/>
      </c>
      <c r="M574" s="72"/>
      <c r="N574" s="31"/>
      <c r="O574" s="85" t="str">
        <f>IF(Tabel1[[#This Row],[% uren 3:]]="","",Tabel1[[#This Row],[% uren 3:]]*Tabel1[[#This Row],[Totale uren:]])</f>
        <v/>
      </c>
      <c r="P574" s="138" t="str">
        <f>IF(Tabel1[[#This Row],[Ordernummer:]]="","",SUM(Tabel1[[#This Row],[% uren 1:]],Tabel1[[#This Row],[% uren 2:]],Tabel1[[#This Row],[% uren 3:]]))</f>
        <v/>
      </c>
      <c r="Q574" s="127"/>
      <c r="R574" s="128"/>
      <c r="S574" s="44"/>
      <c r="T574" s="25"/>
    </row>
    <row r="575" spans="2:20" x14ac:dyDescent="0.25">
      <c r="B575" s="7"/>
      <c r="C575" s="10"/>
      <c r="D575" s="10"/>
      <c r="E575" s="72"/>
      <c r="F575" s="73"/>
      <c r="G575" s="72"/>
      <c r="H575" s="31"/>
      <c r="I575" s="85" t="str">
        <f>IF(Tabel1[[#This Row],[% uren 1:]]="","",Tabel1[[#This Row],[% uren 1:]]*Tabel1[[#This Row],[Totale uren:]])</f>
        <v/>
      </c>
      <c r="J575" s="68"/>
      <c r="K575" s="31"/>
      <c r="L575" s="86" t="str">
        <f>IF(Tabel1[[#This Row],[% uren 2:]]="","",Tabel1[[#This Row],[% uren 2:]]*Tabel1[[#This Row],[Totale uren:]])</f>
        <v/>
      </c>
      <c r="M575" s="72"/>
      <c r="N575" s="31"/>
      <c r="O575" s="85" t="str">
        <f>IF(Tabel1[[#This Row],[% uren 3:]]="","",Tabel1[[#This Row],[% uren 3:]]*Tabel1[[#This Row],[Totale uren:]])</f>
        <v/>
      </c>
      <c r="P575" s="138" t="str">
        <f>IF(Tabel1[[#This Row],[Ordernummer:]]="","",SUM(Tabel1[[#This Row],[% uren 1:]],Tabel1[[#This Row],[% uren 2:]],Tabel1[[#This Row],[% uren 3:]]))</f>
        <v/>
      </c>
      <c r="Q575" s="127"/>
      <c r="R575" s="128"/>
      <c r="S575" s="44"/>
      <c r="T575" s="25"/>
    </row>
    <row r="576" spans="2:20" x14ac:dyDescent="0.25">
      <c r="B576" s="7"/>
      <c r="C576" s="10"/>
      <c r="D576" s="10"/>
      <c r="E576" s="72"/>
      <c r="F576" s="73"/>
      <c r="G576" s="72"/>
      <c r="H576" s="31"/>
      <c r="I576" s="85" t="str">
        <f>IF(Tabel1[[#This Row],[% uren 1:]]="","",Tabel1[[#This Row],[% uren 1:]]*Tabel1[[#This Row],[Totale uren:]])</f>
        <v/>
      </c>
      <c r="J576" s="68"/>
      <c r="K576" s="31"/>
      <c r="L576" s="86" t="str">
        <f>IF(Tabel1[[#This Row],[% uren 2:]]="","",Tabel1[[#This Row],[% uren 2:]]*Tabel1[[#This Row],[Totale uren:]])</f>
        <v/>
      </c>
      <c r="M576" s="72"/>
      <c r="N576" s="31"/>
      <c r="O576" s="85" t="str">
        <f>IF(Tabel1[[#This Row],[% uren 3:]]="","",Tabel1[[#This Row],[% uren 3:]]*Tabel1[[#This Row],[Totale uren:]])</f>
        <v/>
      </c>
      <c r="P576" s="138" t="str">
        <f>IF(Tabel1[[#This Row],[Ordernummer:]]="","",SUM(Tabel1[[#This Row],[% uren 1:]],Tabel1[[#This Row],[% uren 2:]],Tabel1[[#This Row],[% uren 3:]]))</f>
        <v/>
      </c>
      <c r="Q576" s="127"/>
      <c r="R576" s="128"/>
      <c r="S576" s="44"/>
      <c r="T576" s="25"/>
    </row>
    <row r="577" spans="2:20" x14ac:dyDescent="0.25">
      <c r="B577" s="7"/>
      <c r="C577" s="10"/>
      <c r="D577" s="10"/>
      <c r="E577" s="72"/>
      <c r="F577" s="73"/>
      <c r="G577" s="72"/>
      <c r="H577" s="31"/>
      <c r="I577" s="85" t="str">
        <f>IF(Tabel1[[#This Row],[% uren 1:]]="","",Tabel1[[#This Row],[% uren 1:]]*Tabel1[[#This Row],[Totale uren:]])</f>
        <v/>
      </c>
      <c r="J577" s="68"/>
      <c r="K577" s="31"/>
      <c r="L577" s="86" t="str">
        <f>IF(Tabel1[[#This Row],[% uren 2:]]="","",Tabel1[[#This Row],[% uren 2:]]*Tabel1[[#This Row],[Totale uren:]])</f>
        <v/>
      </c>
      <c r="M577" s="72"/>
      <c r="N577" s="31"/>
      <c r="O577" s="85" t="str">
        <f>IF(Tabel1[[#This Row],[% uren 3:]]="","",Tabel1[[#This Row],[% uren 3:]]*Tabel1[[#This Row],[Totale uren:]])</f>
        <v/>
      </c>
      <c r="P577" s="138" t="str">
        <f>IF(Tabel1[[#This Row],[Ordernummer:]]="","",SUM(Tabel1[[#This Row],[% uren 1:]],Tabel1[[#This Row],[% uren 2:]],Tabel1[[#This Row],[% uren 3:]]))</f>
        <v/>
      </c>
      <c r="Q577" s="127"/>
      <c r="R577" s="128"/>
      <c r="S577" s="44"/>
      <c r="T577" s="25"/>
    </row>
    <row r="578" spans="2:20" x14ac:dyDescent="0.25">
      <c r="B578" s="7"/>
      <c r="C578" s="10"/>
      <c r="D578" s="10"/>
      <c r="E578" s="72"/>
      <c r="F578" s="73"/>
      <c r="G578" s="72"/>
      <c r="H578" s="31"/>
      <c r="I578" s="85" t="str">
        <f>IF(Tabel1[[#This Row],[% uren 1:]]="","",Tabel1[[#This Row],[% uren 1:]]*Tabel1[[#This Row],[Totale uren:]])</f>
        <v/>
      </c>
      <c r="J578" s="68"/>
      <c r="K578" s="31"/>
      <c r="L578" s="86" t="str">
        <f>IF(Tabel1[[#This Row],[% uren 2:]]="","",Tabel1[[#This Row],[% uren 2:]]*Tabel1[[#This Row],[Totale uren:]])</f>
        <v/>
      </c>
      <c r="M578" s="72"/>
      <c r="N578" s="31"/>
      <c r="O578" s="85" t="str">
        <f>IF(Tabel1[[#This Row],[% uren 3:]]="","",Tabel1[[#This Row],[% uren 3:]]*Tabel1[[#This Row],[Totale uren:]])</f>
        <v/>
      </c>
      <c r="P578" s="138" t="str">
        <f>IF(Tabel1[[#This Row],[Ordernummer:]]="","",SUM(Tabel1[[#This Row],[% uren 1:]],Tabel1[[#This Row],[% uren 2:]],Tabel1[[#This Row],[% uren 3:]]))</f>
        <v/>
      </c>
      <c r="Q578" s="127"/>
      <c r="R578" s="128"/>
      <c r="S578" s="44"/>
      <c r="T578" s="25"/>
    </row>
    <row r="579" spans="2:20" x14ac:dyDescent="0.25">
      <c r="B579" s="7"/>
      <c r="C579" s="10"/>
      <c r="D579" s="10"/>
      <c r="E579" s="72"/>
      <c r="F579" s="73"/>
      <c r="G579" s="72"/>
      <c r="H579" s="31"/>
      <c r="I579" s="85" t="str">
        <f>IF(Tabel1[[#This Row],[% uren 1:]]="","",Tabel1[[#This Row],[% uren 1:]]*Tabel1[[#This Row],[Totale uren:]])</f>
        <v/>
      </c>
      <c r="J579" s="68"/>
      <c r="K579" s="31"/>
      <c r="L579" s="86" t="str">
        <f>IF(Tabel1[[#This Row],[% uren 2:]]="","",Tabel1[[#This Row],[% uren 2:]]*Tabel1[[#This Row],[Totale uren:]])</f>
        <v/>
      </c>
      <c r="M579" s="72"/>
      <c r="N579" s="31"/>
      <c r="O579" s="85" t="str">
        <f>IF(Tabel1[[#This Row],[% uren 3:]]="","",Tabel1[[#This Row],[% uren 3:]]*Tabel1[[#This Row],[Totale uren:]])</f>
        <v/>
      </c>
      <c r="P579" s="138" t="str">
        <f>IF(Tabel1[[#This Row],[Ordernummer:]]="","",SUM(Tabel1[[#This Row],[% uren 1:]],Tabel1[[#This Row],[% uren 2:]],Tabel1[[#This Row],[% uren 3:]]))</f>
        <v/>
      </c>
      <c r="Q579" s="127"/>
      <c r="R579" s="128"/>
      <c r="S579" s="44"/>
      <c r="T579" s="25"/>
    </row>
    <row r="580" spans="2:20" x14ac:dyDescent="0.25">
      <c r="B580" s="7"/>
      <c r="C580" s="10"/>
      <c r="D580" s="10"/>
      <c r="E580" s="72"/>
      <c r="F580" s="73"/>
      <c r="G580" s="72"/>
      <c r="H580" s="31"/>
      <c r="I580" s="85" t="str">
        <f>IF(Tabel1[[#This Row],[% uren 1:]]="","",Tabel1[[#This Row],[% uren 1:]]*Tabel1[[#This Row],[Totale uren:]])</f>
        <v/>
      </c>
      <c r="J580" s="68"/>
      <c r="K580" s="31"/>
      <c r="L580" s="86" t="str">
        <f>IF(Tabel1[[#This Row],[% uren 2:]]="","",Tabel1[[#This Row],[% uren 2:]]*Tabel1[[#This Row],[Totale uren:]])</f>
        <v/>
      </c>
      <c r="M580" s="72"/>
      <c r="N580" s="31"/>
      <c r="O580" s="85" t="str">
        <f>IF(Tabel1[[#This Row],[% uren 3:]]="","",Tabel1[[#This Row],[% uren 3:]]*Tabel1[[#This Row],[Totale uren:]])</f>
        <v/>
      </c>
      <c r="P580" s="138" t="str">
        <f>IF(Tabel1[[#This Row],[Ordernummer:]]="","",SUM(Tabel1[[#This Row],[% uren 1:]],Tabel1[[#This Row],[% uren 2:]],Tabel1[[#This Row],[% uren 3:]]))</f>
        <v/>
      </c>
      <c r="Q580" s="127"/>
      <c r="R580" s="128"/>
      <c r="S580" s="44"/>
      <c r="T580" s="25"/>
    </row>
    <row r="581" spans="2:20" x14ac:dyDescent="0.25">
      <c r="B581" s="7"/>
      <c r="C581" s="10"/>
      <c r="D581" s="10"/>
      <c r="E581" s="72"/>
      <c r="F581" s="73"/>
      <c r="G581" s="72"/>
      <c r="H581" s="31"/>
      <c r="I581" s="85" t="str">
        <f>IF(Tabel1[[#This Row],[% uren 1:]]="","",Tabel1[[#This Row],[% uren 1:]]*Tabel1[[#This Row],[Totale uren:]])</f>
        <v/>
      </c>
      <c r="J581" s="68"/>
      <c r="K581" s="31"/>
      <c r="L581" s="86" t="str">
        <f>IF(Tabel1[[#This Row],[% uren 2:]]="","",Tabel1[[#This Row],[% uren 2:]]*Tabel1[[#This Row],[Totale uren:]])</f>
        <v/>
      </c>
      <c r="M581" s="72"/>
      <c r="N581" s="31"/>
      <c r="O581" s="85" t="str">
        <f>IF(Tabel1[[#This Row],[% uren 3:]]="","",Tabel1[[#This Row],[% uren 3:]]*Tabel1[[#This Row],[Totale uren:]])</f>
        <v/>
      </c>
      <c r="P581" s="138" t="str">
        <f>IF(Tabel1[[#This Row],[Ordernummer:]]="","",SUM(Tabel1[[#This Row],[% uren 1:]],Tabel1[[#This Row],[% uren 2:]],Tabel1[[#This Row],[% uren 3:]]))</f>
        <v/>
      </c>
      <c r="Q581" s="127"/>
      <c r="R581" s="128"/>
      <c r="S581" s="44"/>
      <c r="T581" s="25"/>
    </row>
    <row r="582" spans="2:20" x14ac:dyDescent="0.25">
      <c r="B582" s="7"/>
      <c r="C582" s="10"/>
      <c r="D582" s="10"/>
      <c r="E582" s="72"/>
      <c r="F582" s="73"/>
      <c r="G582" s="72"/>
      <c r="H582" s="31"/>
      <c r="I582" s="85" t="str">
        <f>IF(Tabel1[[#This Row],[% uren 1:]]="","",Tabel1[[#This Row],[% uren 1:]]*Tabel1[[#This Row],[Totale uren:]])</f>
        <v/>
      </c>
      <c r="J582" s="68"/>
      <c r="K582" s="31"/>
      <c r="L582" s="86" t="str">
        <f>IF(Tabel1[[#This Row],[% uren 2:]]="","",Tabel1[[#This Row],[% uren 2:]]*Tabel1[[#This Row],[Totale uren:]])</f>
        <v/>
      </c>
      <c r="M582" s="72"/>
      <c r="N582" s="31"/>
      <c r="O582" s="85" t="str">
        <f>IF(Tabel1[[#This Row],[% uren 3:]]="","",Tabel1[[#This Row],[% uren 3:]]*Tabel1[[#This Row],[Totale uren:]])</f>
        <v/>
      </c>
      <c r="P582" s="138" t="str">
        <f>IF(Tabel1[[#This Row],[Ordernummer:]]="","",SUM(Tabel1[[#This Row],[% uren 1:]],Tabel1[[#This Row],[% uren 2:]],Tabel1[[#This Row],[% uren 3:]]))</f>
        <v/>
      </c>
      <c r="Q582" s="127"/>
      <c r="R582" s="128"/>
      <c r="S582" s="44"/>
      <c r="T582" s="25"/>
    </row>
    <row r="583" spans="2:20" x14ac:dyDescent="0.25">
      <c r="B583" s="7"/>
      <c r="C583" s="10"/>
      <c r="D583" s="10"/>
      <c r="E583" s="72"/>
      <c r="F583" s="73"/>
      <c r="G583" s="72"/>
      <c r="H583" s="31"/>
      <c r="I583" s="85" t="str">
        <f>IF(Tabel1[[#This Row],[% uren 1:]]="","",Tabel1[[#This Row],[% uren 1:]]*Tabel1[[#This Row],[Totale uren:]])</f>
        <v/>
      </c>
      <c r="J583" s="68"/>
      <c r="K583" s="31"/>
      <c r="L583" s="86" t="str">
        <f>IF(Tabel1[[#This Row],[% uren 2:]]="","",Tabel1[[#This Row],[% uren 2:]]*Tabel1[[#This Row],[Totale uren:]])</f>
        <v/>
      </c>
      <c r="M583" s="72"/>
      <c r="N583" s="31"/>
      <c r="O583" s="85" t="str">
        <f>IF(Tabel1[[#This Row],[% uren 3:]]="","",Tabel1[[#This Row],[% uren 3:]]*Tabel1[[#This Row],[Totale uren:]])</f>
        <v/>
      </c>
      <c r="P583" s="138" t="str">
        <f>IF(Tabel1[[#This Row],[Ordernummer:]]="","",SUM(Tabel1[[#This Row],[% uren 1:]],Tabel1[[#This Row],[% uren 2:]],Tabel1[[#This Row],[% uren 3:]]))</f>
        <v/>
      </c>
      <c r="Q583" s="127"/>
      <c r="R583" s="128"/>
      <c r="S583" s="44"/>
      <c r="T583" s="25"/>
    </row>
    <row r="584" spans="2:20" x14ac:dyDescent="0.25">
      <c r="B584" s="7"/>
      <c r="C584" s="10"/>
      <c r="D584" s="10"/>
      <c r="E584" s="72"/>
      <c r="F584" s="73"/>
      <c r="G584" s="72"/>
      <c r="H584" s="31"/>
      <c r="I584" s="85" t="str">
        <f>IF(Tabel1[[#This Row],[% uren 1:]]="","",Tabel1[[#This Row],[% uren 1:]]*Tabel1[[#This Row],[Totale uren:]])</f>
        <v/>
      </c>
      <c r="J584" s="68"/>
      <c r="K584" s="31"/>
      <c r="L584" s="86" t="str">
        <f>IF(Tabel1[[#This Row],[% uren 2:]]="","",Tabel1[[#This Row],[% uren 2:]]*Tabel1[[#This Row],[Totale uren:]])</f>
        <v/>
      </c>
      <c r="M584" s="72"/>
      <c r="N584" s="31"/>
      <c r="O584" s="85" t="str">
        <f>IF(Tabel1[[#This Row],[% uren 3:]]="","",Tabel1[[#This Row],[% uren 3:]]*Tabel1[[#This Row],[Totale uren:]])</f>
        <v/>
      </c>
      <c r="P584" s="138" t="str">
        <f>IF(Tabel1[[#This Row],[Ordernummer:]]="","",SUM(Tabel1[[#This Row],[% uren 1:]],Tabel1[[#This Row],[% uren 2:]],Tabel1[[#This Row],[% uren 3:]]))</f>
        <v/>
      </c>
      <c r="Q584" s="127"/>
      <c r="R584" s="128"/>
      <c r="S584" s="44"/>
      <c r="T584" s="25"/>
    </row>
    <row r="585" spans="2:20" x14ac:dyDescent="0.25">
      <c r="B585" s="7"/>
      <c r="C585" s="10"/>
      <c r="D585" s="10"/>
      <c r="E585" s="72"/>
      <c r="F585" s="73"/>
      <c r="G585" s="72"/>
      <c r="H585" s="31"/>
      <c r="I585" s="85" t="str">
        <f>IF(Tabel1[[#This Row],[% uren 1:]]="","",Tabel1[[#This Row],[% uren 1:]]*Tabel1[[#This Row],[Totale uren:]])</f>
        <v/>
      </c>
      <c r="J585" s="68"/>
      <c r="K585" s="31"/>
      <c r="L585" s="86" t="str">
        <f>IF(Tabel1[[#This Row],[% uren 2:]]="","",Tabel1[[#This Row],[% uren 2:]]*Tabel1[[#This Row],[Totale uren:]])</f>
        <v/>
      </c>
      <c r="M585" s="72"/>
      <c r="N585" s="31"/>
      <c r="O585" s="85" t="str">
        <f>IF(Tabel1[[#This Row],[% uren 3:]]="","",Tabel1[[#This Row],[% uren 3:]]*Tabel1[[#This Row],[Totale uren:]])</f>
        <v/>
      </c>
      <c r="P585" s="138" t="str">
        <f>IF(Tabel1[[#This Row],[Ordernummer:]]="","",SUM(Tabel1[[#This Row],[% uren 1:]],Tabel1[[#This Row],[% uren 2:]],Tabel1[[#This Row],[% uren 3:]]))</f>
        <v/>
      </c>
      <c r="Q585" s="127"/>
      <c r="R585" s="128"/>
      <c r="S585" s="44"/>
      <c r="T585" s="25"/>
    </row>
    <row r="586" spans="2:20" x14ac:dyDescent="0.25">
      <c r="B586" s="7"/>
      <c r="C586" s="10"/>
      <c r="D586" s="10"/>
      <c r="E586" s="72"/>
      <c r="F586" s="73"/>
      <c r="G586" s="72"/>
      <c r="H586" s="31"/>
      <c r="I586" s="85" t="str">
        <f>IF(Tabel1[[#This Row],[% uren 1:]]="","",Tabel1[[#This Row],[% uren 1:]]*Tabel1[[#This Row],[Totale uren:]])</f>
        <v/>
      </c>
      <c r="J586" s="68"/>
      <c r="K586" s="31"/>
      <c r="L586" s="86" t="str">
        <f>IF(Tabel1[[#This Row],[% uren 2:]]="","",Tabel1[[#This Row],[% uren 2:]]*Tabel1[[#This Row],[Totale uren:]])</f>
        <v/>
      </c>
      <c r="M586" s="72"/>
      <c r="N586" s="31"/>
      <c r="O586" s="85" t="str">
        <f>IF(Tabel1[[#This Row],[% uren 3:]]="","",Tabel1[[#This Row],[% uren 3:]]*Tabel1[[#This Row],[Totale uren:]])</f>
        <v/>
      </c>
      <c r="P586" s="138" t="str">
        <f>IF(Tabel1[[#This Row],[Ordernummer:]]="","",SUM(Tabel1[[#This Row],[% uren 1:]],Tabel1[[#This Row],[% uren 2:]],Tabel1[[#This Row],[% uren 3:]]))</f>
        <v/>
      </c>
      <c r="Q586" s="127"/>
      <c r="R586" s="128"/>
      <c r="S586" s="44"/>
      <c r="T586" s="25"/>
    </row>
    <row r="587" spans="2:20" x14ac:dyDescent="0.25">
      <c r="B587" s="7"/>
      <c r="C587" s="10"/>
      <c r="D587" s="10"/>
      <c r="E587" s="72"/>
      <c r="F587" s="73"/>
      <c r="G587" s="72"/>
      <c r="H587" s="31"/>
      <c r="I587" s="85" t="str">
        <f>IF(Tabel1[[#This Row],[% uren 1:]]="","",Tabel1[[#This Row],[% uren 1:]]*Tabel1[[#This Row],[Totale uren:]])</f>
        <v/>
      </c>
      <c r="J587" s="68"/>
      <c r="K587" s="31"/>
      <c r="L587" s="86" t="str">
        <f>IF(Tabel1[[#This Row],[% uren 2:]]="","",Tabel1[[#This Row],[% uren 2:]]*Tabel1[[#This Row],[Totale uren:]])</f>
        <v/>
      </c>
      <c r="M587" s="72"/>
      <c r="N587" s="31"/>
      <c r="O587" s="85" t="str">
        <f>IF(Tabel1[[#This Row],[% uren 3:]]="","",Tabel1[[#This Row],[% uren 3:]]*Tabel1[[#This Row],[Totale uren:]])</f>
        <v/>
      </c>
      <c r="P587" s="138" t="str">
        <f>IF(Tabel1[[#This Row],[Ordernummer:]]="","",SUM(Tabel1[[#This Row],[% uren 1:]],Tabel1[[#This Row],[% uren 2:]],Tabel1[[#This Row],[% uren 3:]]))</f>
        <v/>
      </c>
      <c r="Q587" s="127"/>
      <c r="R587" s="128"/>
      <c r="S587" s="44"/>
      <c r="T587" s="25"/>
    </row>
    <row r="588" spans="2:20" x14ac:dyDescent="0.25">
      <c r="B588" s="7"/>
      <c r="C588" s="10"/>
      <c r="D588" s="10"/>
      <c r="E588" s="72"/>
      <c r="F588" s="73"/>
      <c r="G588" s="72"/>
      <c r="H588" s="31"/>
      <c r="I588" s="85" t="str">
        <f>IF(Tabel1[[#This Row],[% uren 1:]]="","",Tabel1[[#This Row],[% uren 1:]]*Tabel1[[#This Row],[Totale uren:]])</f>
        <v/>
      </c>
      <c r="J588" s="68"/>
      <c r="K588" s="31"/>
      <c r="L588" s="86" t="str">
        <f>IF(Tabel1[[#This Row],[% uren 2:]]="","",Tabel1[[#This Row],[% uren 2:]]*Tabel1[[#This Row],[Totale uren:]])</f>
        <v/>
      </c>
      <c r="M588" s="72"/>
      <c r="N588" s="31"/>
      <c r="O588" s="85" t="str">
        <f>IF(Tabel1[[#This Row],[% uren 3:]]="","",Tabel1[[#This Row],[% uren 3:]]*Tabel1[[#This Row],[Totale uren:]])</f>
        <v/>
      </c>
      <c r="P588" s="138" t="str">
        <f>IF(Tabel1[[#This Row],[Ordernummer:]]="","",SUM(Tabel1[[#This Row],[% uren 1:]],Tabel1[[#This Row],[% uren 2:]],Tabel1[[#This Row],[% uren 3:]]))</f>
        <v/>
      </c>
      <c r="Q588" s="127"/>
      <c r="R588" s="128"/>
      <c r="S588" s="44"/>
      <c r="T588" s="25"/>
    </row>
    <row r="589" spans="2:20" x14ac:dyDescent="0.25">
      <c r="B589" s="7"/>
      <c r="C589" s="10"/>
      <c r="D589" s="10"/>
      <c r="E589" s="72"/>
      <c r="F589" s="73"/>
      <c r="G589" s="72"/>
      <c r="H589" s="31"/>
      <c r="I589" s="85" t="str">
        <f>IF(Tabel1[[#This Row],[% uren 1:]]="","",Tabel1[[#This Row],[% uren 1:]]*Tabel1[[#This Row],[Totale uren:]])</f>
        <v/>
      </c>
      <c r="J589" s="68"/>
      <c r="K589" s="31"/>
      <c r="L589" s="86" t="str">
        <f>IF(Tabel1[[#This Row],[% uren 2:]]="","",Tabel1[[#This Row],[% uren 2:]]*Tabel1[[#This Row],[Totale uren:]])</f>
        <v/>
      </c>
      <c r="M589" s="72"/>
      <c r="N589" s="31"/>
      <c r="O589" s="85" t="str">
        <f>IF(Tabel1[[#This Row],[% uren 3:]]="","",Tabel1[[#This Row],[% uren 3:]]*Tabel1[[#This Row],[Totale uren:]])</f>
        <v/>
      </c>
      <c r="P589" s="138" t="str">
        <f>IF(Tabel1[[#This Row],[Ordernummer:]]="","",SUM(Tabel1[[#This Row],[% uren 1:]],Tabel1[[#This Row],[% uren 2:]],Tabel1[[#This Row],[% uren 3:]]))</f>
        <v/>
      </c>
      <c r="Q589" s="127"/>
      <c r="R589" s="128"/>
      <c r="S589" s="44"/>
      <c r="T589" s="25"/>
    </row>
    <row r="590" spans="2:20" x14ac:dyDescent="0.25">
      <c r="B590" s="7"/>
      <c r="C590" s="10"/>
      <c r="D590" s="10"/>
      <c r="E590" s="72"/>
      <c r="F590" s="73"/>
      <c r="G590" s="72"/>
      <c r="H590" s="31"/>
      <c r="I590" s="85" t="str">
        <f>IF(Tabel1[[#This Row],[% uren 1:]]="","",Tabel1[[#This Row],[% uren 1:]]*Tabel1[[#This Row],[Totale uren:]])</f>
        <v/>
      </c>
      <c r="J590" s="68"/>
      <c r="K590" s="31"/>
      <c r="L590" s="86" t="str">
        <f>IF(Tabel1[[#This Row],[% uren 2:]]="","",Tabel1[[#This Row],[% uren 2:]]*Tabel1[[#This Row],[Totale uren:]])</f>
        <v/>
      </c>
      <c r="M590" s="72"/>
      <c r="N590" s="31"/>
      <c r="O590" s="85" t="str">
        <f>IF(Tabel1[[#This Row],[% uren 3:]]="","",Tabel1[[#This Row],[% uren 3:]]*Tabel1[[#This Row],[Totale uren:]])</f>
        <v/>
      </c>
      <c r="P590" s="138" t="str">
        <f>IF(Tabel1[[#This Row],[Ordernummer:]]="","",SUM(Tabel1[[#This Row],[% uren 1:]],Tabel1[[#This Row],[% uren 2:]],Tabel1[[#This Row],[% uren 3:]]))</f>
        <v/>
      </c>
      <c r="Q590" s="127"/>
      <c r="R590" s="128"/>
      <c r="S590" s="44"/>
      <c r="T590" s="25"/>
    </row>
    <row r="591" spans="2:20" x14ac:dyDescent="0.25">
      <c r="B591" s="7"/>
      <c r="C591" s="10"/>
      <c r="D591" s="10"/>
      <c r="E591" s="72"/>
      <c r="F591" s="73"/>
      <c r="G591" s="72"/>
      <c r="H591" s="31"/>
      <c r="I591" s="85" t="str">
        <f>IF(Tabel1[[#This Row],[% uren 1:]]="","",Tabel1[[#This Row],[% uren 1:]]*Tabel1[[#This Row],[Totale uren:]])</f>
        <v/>
      </c>
      <c r="J591" s="68"/>
      <c r="K591" s="31"/>
      <c r="L591" s="86" t="str">
        <f>IF(Tabel1[[#This Row],[% uren 2:]]="","",Tabel1[[#This Row],[% uren 2:]]*Tabel1[[#This Row],[Totale uren:]])</f>
        <v/>
      </c>
      <c r="M591" s="72"/>
      <c r="N591" s="31"/>
      <c r="O591" s="85" t="str">
        <f>IF(Tabel1[[#This Row],[% uren 3:]]="","",Tabel1[[#This Row],[% uren 3:]]*Tabel1[[#This Row],[Totale uren:]])</f>
        <v/>
      </c>
      <c r="P591" s="138" t="str">
        <f>IF(Tabel1[[#This Row],[Ordernummer:]]="","",SUM(Tabel1[[#This Row],[% uren 1:]],Tabel1[[#This Row],[% uren 2:]],Tabel1[[#This Row],[% uren 3:]]))</f>
        <v/>
      </c>
      <c r="Q591" s="127"/>
      <c r="R591" s="128"/>
      <c r="S591" s="44"/>
      <c r="T591" s="25"/>
    </row>
    <row r="592" spans="2:20" x14ac:dyDescent="0.25">
      <c r="B592" s="7"/>
      <c r="C592" s="10"/>
      <c r="D592" s="10"/>
      <c r="E592" s="72"/>
      <c r="F592" s="73"/>
      <c r="G592" s="72"/>
      <c r="H592" s="31"/>
      <c r="I592" s="85" t="str">
        <f>IF(Tabel1[[#This Row],[% uren 1:]]="","",Tabel1[[#This Row],[% uren 1:]]*Tabel1[[#This Row],[Totale uren:]])</f>
        <v/>
      </c>
      <c r="J592" s="68"/>
      <c r="K592" s="31"/>
      <c r="L592" s="86" t="str">
        <f>IF(Tabel1[[#This Row],[% uren 2:]]="","",Tabel1[[#This Row],[% uren 2:]]*Tabel1[[#This Row],[Totale uren:]])</f>
        <v/>
      </c>
      <c r="M592" s="72"/>
      <c r="N592" s="31"/>
      <c r="O592" s="85" t="str">
        <f>IF(Tabel1[[#This Row],[% uren 3:]]="","",Tabel1[[#This Row],[% uren 3:]]*Tabel1[[#This Row],[Totale uren:]])</f>
        <v/>
      </c>
      <c r="P592" s="138" t="str">
        <f>IF(Tabel1[[#This Row],[Ordernummer:]]="","",SUM(Tabel1[[#This Row],[% uren 1:]],Tabel1[[#This Row],[% uren 2:]],Tabel1[[#This Row],[% uren 3:]]))</f>
        <v/>
      </c>
      <c r="Q592" s="127"/>
      <c r="R592" s="128"/>
      <c r="S592" s="44"/>
      <c r="T592" s="25"/>
    </row>
    <row r="593" spans="2:20" x14ac:dyDescent="0.25">
      <c r="B593" s="7"/>
      <c r="C593" s="10"/>
      <c r="D593" s="10"/>
      <c r="E593" s="72"/>
      <c r="F593" s="73"/>
      <c r="G593" s="72"/>
      <c r="H593" s="31"/>
      <c r="I593" s="85" t="str">
        <f>IF(Tabel1[[#This Row],[% uren 1:]]="","",Tabel1[[#This Row],[% uren 1:]]*Tabel1[[#This Row],[Totale uren:]])</f>
        <v/>
      </c>
      <c r="J593" s="68"/>
      <c r="K593" s="31"/>
      <c r="L593" s="86" t="str">
        <f>IF(Tabel1[[#This Row],[% uren 2:]]="","",Tabel1[[#This Row],[% uren 2:]]*Tabel1[[#This Row],[Totale uren:]])</f>
        <v/>
      </c>
      <c r="M593" s="72"/>
      <c r="N593" s="31"/>
      <c r="O593" s="85" t="str">
        <f>IF(Tabel1[[#This Row],[% uren 3:]]="","",Tabel1[[#This Row],[% uren 3:]]*Tabel1[[#This Row],[Totale uren:]])</f>
        <v/>
      </c>
      <c r="P593" s="138" t="str">
        <f>IF(Tabel1[[#This Row],[Ordernummer:]]="","",SUM(Tabel1[[#This Row],[% uren 1:]],Tabel1[[#This Row],[% uren 2:]],Tabel1[[#This Row],[% uren 3:]]))</f>
        <v/>
      </c>
      <c r="Q593" s="127"/>
      <c r="R593" s="128"/>
      <c r="S593" s="44"/>
      <c r="T593" s="25"/>
    </row>
    <row r="594" spans="2:20" x14ac:dyDescent="0.25">
      <c r="B594" s="7"/>
      <c r="C594" s="10"/>
      <c r="D594" s="10"/>
      <c r="E594" s="72"/>
      <c r="F594" s="73"/>
      <c r="G594" s="72"/>
      <c r="H594" s="31"/>
      <c r="I594" s="85" t="str">
        <f>IF(Tabel1[[#This Row],[% uren 1:]]="","",Tabel1[[#This Row],[% uren 1:]]*Tabel1[[#This Row],[Totale uren:]])</f>
        <v/>
      </c>
      <c r="J594" s="68"/>
      <c r="K594" s="31"/>
      <c r="L594" s="86" t="str">
        <f>IF(Tabel1[[#This Row],[% uren 2:]]="","",Tabel1[[#This Row],[% uren 2:]]*Tabel1[[#This Row],[Totale uren:]])</f>
        <v/>
      </c>
      <c r="M594" s="72"/>
      <c r="N594" s="31"/>
      <c r="O594" s="85" t="str">
        <f>IF(Tabel1[[#This Row],[% uren 3:]]="","",Tabel1[[#This Row],[% uren 3:]]*Tabel1[[#This Row],[Totale uren:]])</f>
        <v/>
      </c>
      <c r="P594" s="138" t="str">
        <f>IF(Tabel1[[#This Row],[Ordernummer:]]="","",SUM(Tabel1[[#This Row],[% uren 1:]],Tabel1[[#This Row],[% uren 2:]],Tabel1[[#This Row],[% uren 3:]]))</f>
        <v/>
      </c>
      <c r="Q594" s="127"/>
      <c r="R594" s="128"/>
      <c r="S594" s="44"/>
      <c r="T594" s="25"/>
    </row>
    <row r="595" spans="2:20" x14ac:dyDescent="0.25">
      <c r="B595" s="7"/>
      <c r="C595" s="10"/>
      <c r="D595" s="10"/>
      <c r="E595" s="72"/>
      <c r="F595" s="73"/>
      <c r="G595" s="72"/>
      <c r="H595" s="31"/>
      <c r="I595" s="85" t="str">
        <f>IF(Tabel1[[#This Row],[% uren 1:]]="","",Tabel1[[#This Row],[% uren 1:]]*Tabel1[[#This Row],[Totale uren:]])</f>
        <v/>
      </c>
      <c r="J595" s="68"/>
      <c r="K595" s="31"/>
      <c r="L595" s="86" t="str">
        <f>IF(Tabel1[[#This Row],[% uren 2:]]="","",Tabel1[[#This Row],[% uren 2:]]*Tabel1[[#This Row],[Totale uren:]])</f>
        <v/>
      </c>
      <c r="M595" s="72"/>
      <c r="N595" s="31"/>
      <c r="O595" s="85" t="str">
        <f>IF(Tabel1[[#This Row],[% uren 3:]]="","",Tabel1[[#This Row],[% uren 3:]]*Tabel1[[#This Row],[Totale uren:]])</f>
        <v/>
      </c>
      <c r="P595" s="138" t="str">
        <f>IF(Tabel1[[#This Row],[Ordernummer:]]="","",SUM(Tabel1[[#This Row],[% uren 1:]],Tabel1[[#This Row],[% uren 2:]],Tabel1[[#This Row],[% uren 3:]]))</f>
        <v/>
      </c>
      <c r="Q595" s="127"/>
      <c r="R595" s="128"/>
      <c r="S595" s="44"/>
      <c r="T595" s="25"/>
    </row>
    <row r="596" spans="2:20" x14ac:dyDescent="0.25">
      <c r="B596" s="7"/>
      <c r="C596" s="10"/>
      <c r="D596" s="10"/>
      <c r="E596" s="72"/>
      <c r="F596" s="73"/>
      <c r="G596" s="72"/>
      <c r="H596" s="31"/>
      <c r="I596" s="85" t="str">
        <f>IF(Tabel1[[#This Row],[% uren 1:]]="","",Tabel1[[#This Row],[% uren 1:]]*Tabel1[[#This Row],[Totale uren:]])</f>
        <v/>
      </c>
      <c r="J596" s="68"/>
      <c r="K596" s="31"/>
      <c r="L596" s="86" t="str">
        <f>IF(Tabel1[[#This Row],[% uren 2:]]="","",Tabel1[[#This Row],[% uren 2:]]*Tabel1[[#This Row],[Totale uren:]])</f>
        <v/>
      </c>
      <c r="M596" s="72"/>
      <c r="N596" s="31"/>
      <c r="O596" s="85" t="str">
        <f>IF(Tabel1[[#This Row],[% uren 3:]]="","",Tabel1[[#This Row],[% uren 3:]]*Tabel1[[#This Row],[Totale uren:]])</f>
        <v/>
      </c>
      <c r="P596" s="138" t="str">
        <f>IF(Tabel1[[#This Row],[Ordernummer:]]="","",SUM(Tabel1[[#This Row],[% uren 1:]],Tabel1[[#This Row],[% uren 2:]],Tabel1[[#This Row],[% uren 3:]]))</f>
        <v/>
      </c>
      <c r="Q596" s="127"/>
      <c r="R596" s="128"/>
      <c r="S596" s="44"/>
      <c r="T596" s="25"/>
    </row>
    <row r="597" spans="2:20" x14ac:dyDescent="0.25">
      <c r="B597" s="7"/>
      <c r="C597" s="10"/>
      <c r="D597" s="10"/>
      <c r="E597" s="72"/>
      <c r="F597" s="73"/>
      <c r="G597" s="72"/>
      <c r="H597" s="31"/>
      <c r="I597" s="85" t="str">
        <f>IF(Tabel1[[#This Row],[% uren 1:]]="","",Tabel1[[#This Row],[% uren 1:]]*Tabel1[[#This Row],[Totale uren:]])</f>
        <v/>
      </c>
      <c r="J597" s="68"/>
      <c r="K597" s="31"/>
      <c r="L597" s="86" t="str">
        <f>IF(Tabel1[[#This Row],[% uren 2:]]="","",Tabel1[[#This Row],[% uren 2:]]*Tabel1[[#This Row],[Totale uren:]])</f>
        <v/>
      </c>
      <c r="M597" s="72"/>
      <c r="N597" s="31"/>
      <c r="O597" s="85" t="str">
        <f>IF(Tabel1[[#This Row],[% uren 3:]]="","",Tabel1[[#This Row],[% uren 3:]]*Tabel1[[#This Row],[Totale uren:]])</f>
        <v/>
      </c>
      <c r="P597" s="138" t="str">
        <f>IF(Tabel1[[#This Row],[Ordernummer:]]="","",SUM(Tabel1[[#This Row],[% uren 1:]],Tabel1[[#This Row],[% uren 2:]],Tabel1[[#This Row],[% uren 3:]]))</f>
        <v/>
      </c>
      <c r="Q597" s="127"/>
      <c r="R597" s="128"/>
      <c r="S597" s="44"/>
      <c r="T597" s="25"/>
    </row>
    <row r="598" spans="2:20" x14ac:dyDescent="0.25">
      <c r="B598" s="7"/>
      <c r="C598" s="10"/>
      <c r="D598" s="10"/>
      <c r="E598" s="72"/>
      <c r="F598" s="73"/>
      <c r="G598" s="72"/>
      <c r="H598" s="31"/>
      <c r="I598" s="85" t="str">
        <f>IF(Tabel1[[#This Row],[% uren 1:]]="","",Tabel1[[#This Row],[% uren 1:]]*Tabel1[[#This Row],[Totale uren:]])</f>
        <v/>
      </c>
      <c r="J598" s="68"/>
      <c r="K598" s="31"/>
      <c r="L598" s="86" t="str">
        <f>IF(Tabel1[[#This Row],[% uren 2:]]="","",Tabel1[[#This Row],[% uren 2:]]*Tabel1[[#This Row],[Totale uren:]])</f>
        <v/>
      </c>
      <c r="M598" s="72"/>
      <c r="N598" s="31"/>
      <c r="O598" s="85" t="str">
        <f>IF(Tabel1[[#This Row],[% uren 3:]]="","",Tabel1[[#This Row],[% uren 3:]]*Tabel1[[#This Row],[Totale uren:]])</f>
        <v/>
      </c>
      <c r="P598" s="138" t="str">
        <f>IF(Tabel1[[#This Row],[Ordernummer:]]="","",SUM(Tabel1[[#This Row],[% uren 1:]],Tabel1[[#This Row],[% uren 2:]],Tabel1[[#This Row],[% uren 3:]]))</f>
        <v/>
      </c>
      <c r="Q598" s="127"/>
      <c r="R598" s="128"/>
      <c r="S598" s="44"/>
      <c r="T598" s="25"/>
    </row>
    <row r="599" spans="2:20" x14ac:dyDescent="0.25">
      <c r="B599" s="7"/>
      <c r="C599" s="10"/>
      <c r="D599" s="10"/>
      <c r="E599" s="72"/>
      <c r="F599" s="73"/>
      <c r="G599" s="72"/>
      <c r="H599" s="31"/>
      <c r="I599" s="85" t="str">
        <f>IF(Tabel1[[#This Row],[% uren 1:]]="","",Tabel1[[#This Row],[% uren 1:]]*Tabel1[[#This Row],[Totale uren:]])</f>
        <v/>
      </c>
      <c r="J599" s="68"/>
      <c r="K599" s="31"/>
      <c r="L599" s="86" t="str">
        <f>IF(Tabel1[[#This Row],[% uren 2:]]="","",Tabel1[[#This Row],[% uren 2:]]*Tabel1[[#This Row],[Totale uren:]])</f>
        <v/>
      </c>
      <c r="M599" s="72"/>
      <c r="N599" s="31"/>
      <c r="O599" s="85" t="str">
        <f>IF(Tabel1[[#This Row],[% uren 3:]]="","",Tabel1[[#This Row],[% uren 3:]]*Tabel1[[#This Row],[Totale uren:]])</f>
        <v/>
      </c>
      <c r="P599" s="138" t="str">
        <f>IF(Tabel1[[#This Row],[Ordernummer:]]="","",SUM(Tabel1[[#This Row],[% uren 1:]],Tabel1[[#This Row],[% uren 2:]],Tabel1[[#This Row],[% uren 3:]]))</f>
        <v/>
      </c>
      <c r="Q599" s="127"/>
      <c r="R599" s="128"/>
      <c r="S599" s="44"/>
      <c r="T599" s="25"/>
    </row>
    <row r="600" spans="2:20" x14ac:dyDescent="0.25">
      <c r="B600" s="7"/>
      <c r="C600" s="10"/>
      <c r="D600" s="10"/>
      <c r="E600" s="72"/>
      <c r="F600" s="73"/>
      <c r="G600" s="72"/>
      <c r="H600" s="31"/>
      <c r="I600" s="85" t="str">
        <f>IF(Tabel1[[#This Row],[% uren 1:]]="","",Tabel1[[#This Row],[% uren 1:]]*Tabel1[[#This Row],[Totale uren:]])</f>
        <v/>
      </c>
      <c r="J600" s="68"/>
      <c r="K600" s="31"/>
      <c r="L600" s="86" t="str">
        <f>IF(Tabel1[[#This Row],[% uren 2:]]="","",Tabel1[[#This Row],[% uren 2:]]*Tabel1[[#This Row],[Totale uren:]])</f>
        <v/>
      </c>
      <c r="M600" s="72"/>
      <c r="N600" s="31"/>
      <c r="O600" s="85" t="str">
        <f>IF(Tabel1[[#This Row],[% uren 3:]]="","",Tabel1[[#This Row],[% uren 3:]]*Tabel1[[#This Row],[Totale uren:]])</f>
        <v/>
      </c>
      <c r="P600" s="138" t="str">
        <f>IF(Tabel1[[#This Row],[Ordernummer:]]="","",SUM(Tabel1[[#This Row],[% uren 1:]],Tabel1[[#This Row],[% uren 2:]],Tabel1[[#This Row],[% uren 3:]]))</f>
        <v/>
      </c>
      <c r="Q600" s="127"/>
      <c r="R600" s="128"/>
      <c r="S600" s="44"/>
      <c r="T600" s="25"/>
    </row>
    <row r="601" spans="2:20" x14ac:dyDescent="0.25">
      <c r="B601" s="7"/>
      <c r="C601" s="10"/>
      <c r="D601" s="10"/>
      <c r="E601" s="72"/>
      <c r="F601" s="73"/>
      <c r="G601" s="72"/>
      <c r="H601" s="31"/>
      <c r="I601" s="85" t="str">
        <f>IF(Tabel1[[#This Row],[% uren 1:]]="","",Tabel1[[#This Row],[% uren 1:]]*Tabel1[[#This Row],[Totale uren:]])</f>
        <v/>
      </c>
      <c r="J601" s="68"/>
      <c r="K601" s="31"/>
      <c r="L601" s="86" t="str">
        <f>IF(Tabel1[[#This Row],[% uren 2:]]="","",Tabel1[[#This Row],[% uren 2:]]*Tabel1[[#This Row],[Totale uren:]])</f>
        <v/>
      </c>
      <c r="M601" s="72"/>
      <c r="N601" s="31"/>
      <c r="O601" s="85" t="str">
        <f>IF(Tabel1[[#This Row],[% uren 3:]]="","",Tabel1[[#This Row],[% uren 3:]]*Tabel1[[#This Row],[Totale uren:]])</f>
        <v/>
      </c>
      <c r="P601" s="138" t="str">
        <f>IF(Tabel1[[#This Row],[Ordernummer:]]="","",SUM(Tabel1[[#This Row],[% uren 1:]],Tabel1[[#This Row],[% uren 2:]],Tabel1[[#This Row],[% uren 3:]]))</f>
        <v/>
      </c>
      <c r="Q601" s="127"/>
      <c r="R601" s="128"/>
      <c r="S601" s="44"/>
      <c r="T601" s="25"/>
    </row>
    <row r="602" spans="2:20" x14ac:dyDescent="0.25">
      <c r="B602" s="7"/>
      <c r="C602" s="10"/>
      <c r="D602" s="10"/>
      <c r="E602" s="72"/>
      <c r="F602" s="73"/>
      <c r="G602" s="72"/>
      <c r="H602" s="31"/>
      <c r="I602" s="85" t="str">
        <f>IF(Tabel1[[#This Row],[% uren 1:]]="","",Tabel1[[#This Row],[% uren 1:]]*Tabel1[[#This Row],[Totale uren:]])</f>
        <v/>
      </c>
      <c r="J602" s="68"/>
      <c r="K602" s="31"/>
      <c r="L602" s="86" t="str">
        <f>IF(Tabel1[[#This Row],[% uren 2:]]="","",Tabel1[[#This Row],[% uren 2:]]*Tabel1[[#This Row],[Totale uren:]])</f>
        <v/>
      </c>
      <c r="M602" s="72"/>
      <c r="N602" s="31"/>
      <c r="O602" s="85" t="str">
        <f>IF(Tabel1[[#This Row],[% uren 3:]]="","",Tabel1[[#This Row],[% uren 3:]]*Tabel1[[#This Row],[Totale uren:]])</f>
        <v/>
      </c>
      <c r="P602" s="138" t="str">
        <f>IF(Tabel1[[#This Row],[Ordernummer:]]="","",SUM(Tabel1[[#This Row],[% uren 1:]],Tabel1[[#This Row],[% uren 2:]],Tabel1[[#This Row],[% uren 3:]]))</f>
        <v/>
      </c>
      <c r="Q602" s="127"/>
      <c r="R602" s="128"/>
      <c r="S602" s="44"/>
      <c r="T602" s="25"/>
    </row>
    <row r="603" spans="2:20" x14ac:dyDescent="0.25">
      <c r="B603" s="7"/>
      <c r="C603" s="10"/>
      <c r="D603" s="10"/>
      <c r="E603" s="72"/>
      <c r="F603" s="73"/>
      <c r="G603" s="72"/>
      <c r="H603" s="31"/>
      <c r="I603" s="85" t="str">
        <f>IF(Tabel1[[#This Row],[% uren 1:]]="","",Tabel1[[#This Row],[% uren 1:]]*Tabel1[[#This Row],[Totale uren:]])</f>
        <v/>
      </c>
      <c r="J603" s="68"/>
      <c r="K603" s="31"/>
      <c r="L603" s="86" t="str">
        <f>IF(Tabel1[[#This Row],[% uren 2:]]="","",Tabel1[[#This Row],[% uren 2:]]*Tabel1[[#This Row],[Totale uren:]])</f>
        <v/>
      </c>
      <c r="M603" s="72"/>
      <c r="N603" s="31"/>
      <c r="O603" s="85" t="str">
        <f>IF(Tabel1[[#This Row],[% uren 3:]]="","",Tabel1[[#This Row],[% uren 3:]]*Tabel1[[#This Row],[Totale uren:]])</f>
        <v/>
      </c>
      <c r="P603" s="138" t="str">
        <f>IF(Tabel1[[#This Row],[Ordernummer:]]="","",SUM(Tabel1[[#This Row],[% uren 1:]],Tabel1[[#This Row],[% uren 2:]],Tabel1[[#This Row],[% uren 3:]]))</f>
        <v/>
      </c>
      <c r="Q603" s="127"/>
      <c r="R603" s="128"/>
      <c r="S603" s="44"/>
      <c r="T603" s="25"/>
    </row>
    <row r="604" spans="2:20" x14ac:dyDescent="0.25">
      <c r="B604" s="7"/>
      <c r="C604" s="10"/>
      <c r="D604" s="10"/>
      <c r="E604" s="72"/>
      <c r="F604" s="73"/>
      <c r="G604" s="72"/>
      <c r="H604" s="31"/>
      <c r="I604" s="85" t="str">
        <f>IF(Tabel1[[#This Row],[% uren 1:]]="","",Tabel1[[#This Row],[% uren 1:]]*Tabel1[[#This Row],[Totale uren:]])</f>
        <v/>
      </c>
      <c r="J604" s="68"/>
      <c r="K604" s="31"/>
      <c r="L604" s="86" t="str">
        <f>IF(Tabel1[[#This Row],[% uren 2:]]="","",Tabel1[[#This Row],[% uren 2:]]*Tabel1[[#This Row],[Totale uren:]])</f>
        <v/>
      </c>
      <c r="M604" s="72"/>
      <c r="N604" s="31"/>
      <c r="O604" s="85" t="str">
        <f>IF(Tabel1[[#This Row],[% uren 3:]]="","",Tabel1[[#This Row],[% uren 3:]]*Tabel1[[#This Row],[Totale uren:]])</f>
        <v/>
      </c>
      <c r="P604" s="138" t="str">
        <f>IF(Tabel1[[#This Row],[Ordernummer:]]="","",SUM(Tabel1[[#This Row],[% uren 1:]],Tabel1[[#This Row],[% uren 2:]],Tabel1[[#This Row],[% uren 3:]]))</f>
        <v/>
      </c>
      <c r="Q604" s="127"/>
      <c r="R604" s="128"/>
      <c r="S604" s="44"/>
      <c r="T604" s="25"/>
    </row>
    <row r="605" spans="2:20" x14ac:dyDescent="0.25">
      <c r="B605" s="7"/>
      <c r="C605" s="10"/>
      <c r="D605" s="10"/>
      <c r="E605" s="72"/>
      <c r="F605" s="73"/>
      <c r="G605" s="72"/>
      <c r="H605" s="31"/>
      <c r="I605" s="85" t="str">
        <f>IF(Tabel1[[#This Row],[% uren 1:]]="","",Tabel1[[#This Row],[% uren 1:]]*Tabel1[[#This Row],[Totale uren:]])</f>
        <v/>
      </c>
      <c r="J605" s="68"/>
      <c r="K605" s="31"/>
      <c r="L605" s="86" t="str">
        <f>IF(Tabel1[[#This Row],[% uren 2:]]="","",Tabel1[[#This Row],[% uren 2:]]*Tabel1[[#This Row],[Totale uren:]])</f>
        <v/>
      </c>
      <c r="M605" s="72"/>
      <c r="N605" s="31"/>
      <c r="O605" s="85" t="str">
        <f>IF(Tabel1[[#This Row],[% uren 3:]]="","",Tabel1[[#This Row],[% uren 3:]]*Tabel1[[#This Row],[Totale uren:]])</f>
        <v/>
      </c>
      <c r="P605" s="138" t="str">
        <f>IF(Tabel1[[#This Row],[Ordernummer:]]="","",SUM(Tabel1[[#This Row],[% uren 1:]],Tabel1[[#This Row],[% uren 2:]],Tabel1[[#This Row],[% uren 3:]]))</f>
        <v/>
      </c>
      <c r="Q605" s="127"/>
      <c r="R605" s="128"/>
      <c r="S605" s="44"/>
      <c r="T605" s="25"/>
    </row>
    <row r="606" spans="2:20" x14ac:dyDescent="0.25">
      <c r="B606" s="7"/>
      <c r="C606" s="10"/>
      <c r="D606" s="10"/>
      <c r="E606" s="72"/>
      <c r="F606" s="73"/>
      <c r="G606" s="72"/>
      <c r="H606" s="31"/>
      <c r="I606" s="85" t="str">
        <f>IF(Tabel1[[#This Row],[% uren 1:]]="","",Tabel1[[#This Row],[% uren 1:]]*Tabel1[[#This Row],[Totale uren:]])</f>
        <v/>
      </c>
      <c r="J606" s="68"/>
      <c r="K606" s="31"/>
      <c r="L606" s="86" t="str">
        <f>IF(Tabel1[[#This Row],[% uren 2:]]="","",Tabel1[[#This Row],[% uren 2:]]*Tabel1[[#This Row],[Totale uren:]])</f>
        <v/>
      </c>
      <c r="M606" s="72"/>
      <c r="N606" s="31"/>
      <c r="O606" s="85" t="str">
        <f>IF(Tabel1[[#This Row],[% uren 3:]]="","",Tabel1[[#This Row],[% uren 3:]]*Tabel1[[#This Row],[Totale uren:]])</f>
        <v/>
      </c>
      <c r="P606" s="138" t="str">
        <f>IF(Tabel1[[#This Row],[Ordernummer:]]="","",SUM(Tabel1[[#This Row],[% uren 1:]],Tabel1[[#This Row],[% uren 2:]],Tabel1[[#This Row],[% uren 3:]]))</f>
        <v/>
      </c>
      <c r="Q606" s="127"/>
      <c r="R606" s="128"/>
      <c r="S606" s="44"/>
      <c r="T606" s="25"/>
    </row>
    <row r="607" spans="2:20" x14ac:dyDescent="0.25">
      <c r="B607" s="7"/>
      <c r="C607" s="10"/>
      <c r="D607" s="10"/>
      <c r="E607" s="72"/>
      <c r="F607" s="73"/>
      <c r="G607" s="72"/>
      <c r="H607" s="31"/>
      <c r="I607" s="85" t="str">
        <f>IF(Tabel1[[#This Row],[% uren 1:]]="","",Tabel1[[#This Row],[% uren 1:]]*Tabel1[[#This Row],[Totale uren:]])</f>
        <v/>
      </c>
      <c r="J607" s="68"/>
      <c r="K607" s="31"/>
      <c r="L607" s="86" t="str">
        <f>IF(Tabel1[[#This Row],[% uren 2:]]="","",Tabel1[[#This Row],[% uren 2:]]*Tabel1[[#This Row],[Totale uren:]])</f>
        <v/>
      </c>
      <c r="M607" s="72"/>
      <c r="N607" s="31"/>
      <c r="O607" s="85" t="str">
        <f>IF(Tabel1[[#This Row],[% uren 3:]]="","",Tabel1[[#This Row],[% uren 3:]]*Tabel1[[#This Row],[Totale uren:]])</f>
        <v/>
      </c>
      <c r="P607" s="138" t="str">
        <f>IF(Tabel1[[#This Row],[Ordernummer:]]="","",SUM(Tabel1[[#This Row],[% uren 1:]],Tabel1[[#This Row],[% uren 2:]],Tabel1[[#This Row],[% uren 3:]]))</f>
        <v/>
      </c>
      <c r="Q607" s="127"/>
      <c r="R607" s="128"/>
      <c r="S607" s="44"/>
      <c r="T607" s="25"/>
    </row>
    <row r="608" spans="2:20" x14ac:dyDescent="0.25">
      <c r="B608" s="7"/>
      <c r="C608" s="10"/>
      <c r="D608" s="10"/>
      <c r="E608" s="72"/>
      <c r="F608" s="73"/>
      <c r="G608" s="72"/>
      <c r="H608" s="31"/>
      <c r="I608" s="85" t="str">
        <f>IF(Tabel1[[#This Row],[% uren 1:]]="","",Tabel1[[#This Row],[% uren 1:]]*Tabel1[[#This Row],[Totale uren:]])</f>
        <v/>
      </c>
      <c r="J608" s="68"/>
      <c r="K608" s="31"/>
      <c r="L608" s="86" t="str">
        <f>IF(Tabel1[[#This Row],[% uren 2:]]="","",Tabel1[[#This Row],[% uren 2:]]*Tabel1[[#This Row],[Totale uren:]])</f>
        <v/>
      </c>
      <c r="M608" s="72"/>
      <c r="N608" s="31"/>
      <c r="O608" s="85" t="str">
        <f>IF(Tabel1[[#This Row],[% uren 3:]]="","",Tabel1[[#This Row],[% uren 3:]]*Tabel1[[#This Row],[Totale uren:]])</f>
        <v/>
      </c>
      <c r="P608" s="138" t="str">
        <f>IF(Tabel1[[#This Row],[Ordernummer:]]="","",SUM(Tabel1[[#This Row],[% uren 1:]],Tabel1[[#This Row],[% uren 2:]],Tabel1[[#This Row],[% uren 3:]]))</f>
        <v/>
      </c>
      <c r="Q608" s="127"/>
      <c r="R608" s="128"/>
      <c r="S608" s="44"/>
      <c r="T608" s="25"/>
    </row>
    <row r="609" spans="2:20" x14ac:dyDescent="0.25">
      <c r="B609" s="7"/>
      <c r="C609" s="10"/>
      <c r="D609" s="10"/>
      <c r="E609" s="72"/>
      <c r="F609" s="73"/>
      <c r="G609" s="72"/>
      <c r="H609" s="31"/>
      <c r="I609" s="85" t="str">
        <f>IF(Tabel1[[#This Row],[% uren 1:]]="","",Tabel1[[#This Row],[% uren 1:]]*Tabel1[[#This Row],[Totale uren:]])</f>
        <v/>
      </c>
      <c r="J609" s="68"/>
      <c r="K609" s="31"/>
      <c r="L609" s="86" t="str">
        <f>IF(Tabel1[[#This Row],[% uren 2:]]="","",Tabel1[[#This Row],[% uren 2:]]*Tabel1[[#This Row],[Totale uren:]])</f>
        <v/>
      </c>
      <c r="M609" s="72"/>
      <c r="N609" s="31"/>
      <c r="O609" s="85" t="str">
        <f>IF(Tabel1[[#This Row],[% uren 3:]]="","",Tabel1[[#This Row],[% uren 3:]]*Tabel1[[#This Row],[Totale uren:]])</f>
        <v/>
      </c>
      <c r="P609" s="138" t="str">
        <f>IF(Tabel1[[#This Row],[Ordernummer:]]="","",SUM(Tabel1[[#This Row],[% uren 1:]],Tabel1[[#This Row],[% uren 2:]],Tabel1[[#This Row],[% uren 3:]]))</f>
        <v/>
      </c>
      <c r="Q609" s="127"/>
      <c r="R609" s="128"/>
      <c r="S609" s="44"/>
      <c r="T609" s="25"/>
    </row>
    <row r="610" spans="2:20" x14ac:dyDescent="0.25">
      <c r="B610" s="7"/>
      <c r="C610" s="10"/>
      <c r="D610" s="10"/>
      <c r="E610" s="72"/>
      <c r="F610" s="73"/>
      <c r="G610" s="72"/>
      <c r="H610" s="31"/>
      <c r="I610" s="85" t="str">
        <f>IF(Tabel1[[#This Row],[% uren 1:]]="","",Tabel1[[#This Row],[% uren 1:]]*Tabel1[[#This Row],[Totale uren:]])</f>
        <v/>
      </c>
      <c r="J610" s="68"/>
      <c r="K610" s="31"/>
      <c r="L610" s="86" t="str">
        <f>IF(Tabel1[[#This Row],[% uren 2:]]="","",Tabel1[[#This Row],[% uren 2:]]*Tabel1[[#This Row],[Totale uren:]])</f>
        <v/>
      </c>
      <c r="M610" s="72"/>
      <c r="N610" s="31"/>
      <c r="O610" s="85" t="str">
        <f>IF(Tabel1[[#This Row],[% uren 3:]]="","",Tabel1[[#This Row],[% uren 3:]]*Tabel1[[#This Row],[Totale uren:]])</f>
        <v/>
      </c>
      <c r="P610" s="138" t="str">
        <f>IF(Tabel1[[#This Row],[Ordernummer:]]="","",SUM(Tabel1[[#This Row],[% uren 1:]],Tabel1[[#This Row],[% uren 2:]],Tabel1[[#This Row],[% uren 3:]]))</f>
        <v/>
      </c>
      <c r="Q610" s="127"/>
      <c r="R610" s="128"/>
      <c r="S610" s="44"/>
      <c r="T610" s="25"/>
    </row>
    <row r="611" spans="2:20" x14ac:dyDescent="0.25">
      <c r="B611" s="7"/>
      <c r="C611" s="10"/>
      <c r="D611" s="10"/>
      <c r="E611" s="72"/>
      <c r="F611" s="73"/>
      <c r="G611" s="72"/>
      <c r="H611" s="31"/>
      <c r="I611" s="85" t="str">
        <f>IF(Tabel1[[#This Row],[% uren 1:]]="","",Tabel1[[#This Row],[% uren 1:]]*Tabel1[[#This Row],[Totale uren:]])</f>
        <v/>
      </c>
      <c r="J611" s="68"/>
      <c r="K611" s="31"/>
      <c r="L611" s="86" t="str">
        <f>IF(Tabel1[[#This Row],[% uren 2:]]="","",Tabel1[[#This Row],[% uren 2:]]*Tabel1[[#This Row],[Totale uren:]])</f>
        <v/>
      </c>
      <c r="M611" s="72"/>
      <c r="N611" s="31"/>
      <c r="O611" s="85" t="str">
        <f>IF(Tabel1[[#This Row],[% uren 3:]]="","",Tabel1[[#This Row],[% uren 3:]]*Tabel1[[#This Row],[Totale uren:]])</f>
        <v/>
      </c>
      <c r="P611" s="138" t="str">
        <f>IF(Tabel1[[#This Row],[Ordernummer:]]="","",SUM(Tabel1[[#This Row],[% uren 1:]],Tabel1[[#This Row],[% uren 2:]],Tabel1[[#This Row],[% uren 3:]]))</f>
        <v/>
      </c>
      <c r="Q611" s="127"/>
      <c r="R611" s="128"/>
      <c r="S611" s="44"/>
      <c r="T611" s="25"/>
    </row>
    <row r="612" spans="2:20" x14ac:dyDescent="0.25">
      <c r="B612" s="7"/>
      <c r="C612" s="10"/>
      <c r="D612" s="10"/>
      <c r="E612" s="72"/>
      <c r="F612" s="73"/>
      <c r="G612" s="72"/>
      <c r="H612" s="31"/>
      <c r="I612" s="85" t="str">
        <f>IF(Tabel1[[#This Row],[% uren 1:]]="","",Tabel1[[#This Row],[% uren 1:]]*Tabel1[[#This Row],[Totale uren:]])</f>
        <v/>
      </c>
      <c r="J612" s="68"/>
      <c r="K612" s="31"/>
      <c r="L612" s="86" t="str">
        <f>IF(Tabel1[[#This Row],[% uren 2:]]="","",Tabel1[[#This Row],[% uren 2:]]*Tabel1[[#This Row],[Totale uren:]])</f>
        <v/>
      </c>
      <c r="M612" s="72"/>
      <c r="N612" s="31"/>
      <c r="O612" s="85" t="str">
        <f>IF(Tabel1[[#This Row],[% uren 3:]]="","",Tabel1[[#This Row],[% uren 3:]]*Tabel1[[#This Row],[Totale uren:]])</f>
        <v/>
      </c>
      <c r="P612" s="138" t="str">
        <f>IF(Tabel1[[#This Row],[Ordernummer:]]="","",SUM(Tabel1[[#This Row],[% uren 1:]],Tabel1[[#This Row],[% uren 2:]],Tabel1[[#This Row],[% uren 3:]]))</f>
        <v/>
      </c>
      <c r="Q612" s="127"/>
      <c r="R612" s="128"/>
      <c r="S612" s="44"/>
      <c r="T612" s="25"/>
    </row>
    <row r="613" spans="2:20" x14ac:dyDescent="0.25">
      <c r="B613" s="7"/>
      <c r="C613" s="10"/>
      <c r="D613" s="10"/>
      <c r="E613" s="72"/>
      <c r="F613" s="73"/>
      <c r="G613" s="72"/>
      <c r="H613" s="31"/>
      <c r="I613" s="85" t="str">
        <f>IF(Tabel1[[#This Row],[% uren 1:]]="","",Tabel1[[#This Row],[% uren 1:]]*Tabel1[[#This Row],[Totale uren:]])</f>
        <v/>
      </c>
      <c r="J613" s="68"/>
      <c r="K613" s="31"/>
      <c r="L613" s="86" t="str">
        <f>IF(Tabel1[[#This Row],[% uren 2:]]="","",Tabel1[[#This Row],[% uren 2:]]*Tabel1[[#This Row],[Totale uren:]])</f>
        <v/>
      </c>
      <c r="M613" s="72"/>
      <c r="N613" s="31"/>
      <c r="O613" s="85" t="str">
        <f>IF(Tabel1[[#This Row],[% uren 3:]]="","",Tabel1[[#This Row],[% uren 3:]]*Tabel1[[#This Row],[Totale uren:]])</f>
        <v/>
      </c>
      <c r="P613" s="138" t="str">
        <f>IF(Tabel1[[#This Row],[Ordernummer:]]="","",SUM(Tabel1[[#This Row],[% uren 1:]],Tabel1[[#This Row],[% uren 2:]],Tabel1[[#This Row],[% uren 3:]]))</f>
        <v/>
      </c>
      <c r="Q613" s="127"/>
      <c r="R613" s="128"/>
      <c r="S613" s="44"/>
      <c r="T613" s="25"/>
    </row>
    <row r="614" spans="2:20" x14ac:dyDescent="0.25">
      <c r="B614" s="7"/>
      <c r="C614" s="10"/>
      <c r="D614" s="10"/>
      <c r="E614" s="72"/>
      <c r="F614" s="73"/>
      <c r="G614" s="72"/>
      <c r="H614" s="31"/>
      <c r="I614" s="85" t="str">
        <f>IF(Tabel1[[#This Row],[% uren 1:]]="","",Tabel1[[#This Row],[% uren 1:]]*Tabel1[[#This Row],[Totale uren:]])</f>
        <v/>
      </c>
      <c r="J614" s="68"/>
      <c r="K614" s="31"/>
      <c r="L614" s="86" t="str">
        <f>IF(Tabel1[[#This Row],[% uren 2:]]="","",Tabel1[[#This Row],[% uren 2:]]*Tabel1[[#This Row],[Totale uren:]])</f>
        <v/>
      </c>
      <c r="M614" s="72"/>
      <c r="N614" s="31"/>
      <c r="O614" s="85" t="str">
        <f>IF(Tabel1[[#This Row],[% uren 3:]]="","",Tabel1[[#This Row],[% uren 3:]]*Tabel1[[#This Row],[Totale uren:]])</f>
        <v/>
      </c>
      <c r="P614" s="138" t="str">
        <f>IF(Tabel1[[#This Row],[Ordernummer:]]="","",SUM(Tabel1[[#This Row],[% uren 1:]],Tabel1[[#This Row],[% uren 2:]],Tabel1[[#This Row],[% uren 3:]]))</f>
        <v/>
      </c>
      <c r="Q614" s="127"/>
      <c r="R614" s="128"/>
      <c r="S614" s="44"/>
      <c r="T614" s="25"/>
    </row>
    <row r="615" spans="2:20" x14ac:dyDescent="0.25">
      <c r="B615" s="7"/>
      <c r="C615" s="10"/>
      <c r="D615" s="10"/>
      <c r="E615" s="72"/>
      <c r="F615" s="73"/>
      <c r="G615" s="72"/>
      <c r="H615" s="31"/>
      <c r="I615" s="85" t="str">
        <f>IF(Tabel1[[#This Row],[% uren 1:]]="","",Tabel1[[#This Row],[% uren 1:]]*Tabel1[[#This Row],[Totale uren:]])</f>
        <v/>
      </c>
      <c r="J615" s="68"/>
      <c r="K615" s="31"/>
      <c r="L615" s="86" t="str">
        <f>IF(Tabel1[[#This Row],[% uren 2:]]="","",Tabel1[[#This Row],[% uren 2:]]*Tabel1[[#This Row],[Totale uren:]])</f>
        <v/>
      </c>
      <c r="M615" s="72"/>
      <c r="N615" s="31"/>
      <c r="O615" s="85" t="str">
        <f>IF(Tabel1[[#This Row],[% uren 3:]]="","",Tabel1[[#This Row],[% uren 3:]]*Tabel1[[#This Row],[Totale uren:]])</f>
        <v/>
      </c>
      <c r="P615" s="138" t="str">
        <f>IF(Tabel1[[#This Row],[Ordernummer:]]="","",SUM(Tabel1[[#This Row],[% uren 1:]],Tabel1[[#This Row],[% uren 2:]],Tabel1[[#This Row],[% uren 3:]]))</f>
        <v/>
      </c>
      <c r="Q615" s="127"/>
      <c r="R615" s="128"/>
      <c r="S615" s="44"/>
      <c r="T615" s="25"/>
    </row>
    <row r="616" spans="2:20" x14ac:dyDescent="0.25">
      <c r="B616" s="7"/>
      <c r="C616" s="10"/>
      <c r="D616" s="10"/>
      <c r="E616" s="72"/>
      <c r="F616" s="73"/>
      <c r="G616" s="72"/>
      <c r="H616" s="31"/>
      <c r="I616" s="85" t="str">
        <f>IF(Tabel1[[#This Row],[% uren 1:]]="","",Tabel1[[#This Row],[% uren 1:]]*Tabel1[[#This Row],[Totale uren:]])</f>
        <v/>
      </c>
      <c r="J616" s="68"/>
      <c r="K616" s="31"/>
      <c r="L616" s="86" t="str">
        <f>IF(Tabel1[[#This Row],[% uren 2:]]="","",Tabel1[[#This Row],[% uren 2:]]*Tabel1[[#This Row],[Totale uren:]])</f>
        <v/>
      </c>
      <c r="M616" s="72"/>
      <c r="N616" s="31"/>
      <c r="O616" s="85" t="str">
        <f>IF(Tabel1[[#This Row],[% uren 3:]]="","",Tabel1[[#This Row],[% uren 3:]]*Tabel1[[#This Row],[Totale uren:]])</f>
        <v/>
      </c>
      <c r="P616" s="138" t="str">
        <f>IF(Tabel1[[#This Row],[Ordernummer:]]="","",SUM(Tabel1[[#This Row],[% uren 1:]],Tabel1[[#This Row],[% uren 2:]],Tabel1[[#This Row],[% uren 3:]]))</f>
        <v/>
      </c>
      <c r="Q616" s="127"/>
      <c r="R616" s="128"/>
      <c r="S616" s="44"/>
      <c r="T616" s="25"/>
    </row>
    <row r="617" spans="2:20" x14ac:dyDescent="0.25">
      <c r="B617" s="7"/>
      <c r="C617" s="10"/>
      <c r="D617" s="10"/>
      <c r="E617" s="72"/>
      <c r="F617" s="73"/>
      <c r="G617" s="72"/>
      <c r="H617" s="31"/>
      <c r="I617" s="85" t="str">
        <f>IF(Tabel1[[#This Row],[% uren 1:]]="","",Tabel1[[#This Row],[% uren 1:]]*Tabel1[[#This Row],[Totale uren:]])</f>
        <v/>
      </c>
      <c r="J617" s="68"/>
      <c r="K617" s="31"/>
      <c r="L617" s="86" t="str">
        <f>IF(Tabel1[[#This Row],[% uren 2:]]="","",Tabel1[[#This Row],[% uren 2:]]*Tabel1[[#This Row],[Totale uren:]])</f>
        <v/>
      </c>
      <c r="M617" s="72"/>
      <c r="N617" s="31"/>
      <c r="O617" s="85" t="str">
        <f>IF(Tabel1[[#This Row],[% uren 3:]]="","",Tabel1[[#This Row],[% uren 3:]]*Tabel1[[#This Row],[Totale uren:]])</f>
        <v/>
      </c>
      <c r="P617" s="138" t="str">
        <f>IF(Tabel1[[#This Row],[Ordernummer:]]="","",SUM(Tabel1[[#This Row],[% uren 1:]],Tabel1[[#This Row],[% uren 2:]],Tabel1[[#This Row],[% uren 3:]]))</f>
        <v/>
      </c>
      <c r="Q617" s="127"/>
      <c r="R617" s="128"/>
      <c r="S617" s="44"/>
      <c r="T617" s="25"/>
    </row>
    <row r="618" spans="2:20" x14ac:dyDescent="0.25">
      <c r="B618" s="7"/>
      <c r="C618" s="10"/>
      <c r="D618" s="10"/>
      <c r="E618" s="72"/>
      <c r="F618" s="73"/>
      <c r="G618" s="72"/>
      <c r="H618" s="31"/>
      <c r="I618" s="85" t="str">
        <f>IF(Tabel1[[#This Row],[% uren 1:]]="","",Tabel1[[#This Row],[% uren 1:]]*Tabel1[[#This Row],[Totale uren:]])</f>
        <v/>
      </c>
      <c r="J618" s="68"/>
      <c r="K618" s="31"/>
      <c r="L618" s="86" t="str">
        <f>IF(Tabel1[[#This Row],[% uren 2:]]="","",Tabel1[[#This Row],[% uren 2:]]*Tabel1[[#This Row],[Totale uren:]])</f>
        <v/>
      </c>
      <c r="M618" s="72"/>
      <c r="N618" s="31"/>
      <c r="O618" s="85" t="str">
        <f>IF(Tabel1[[#This Row],[% uren 3:]]="","",Tabel1[[#This Row],[% uren 3:]]*Tabel1[[#This Row],[Totale uren:]])</f>
        <v/>
      </c>
      <c r="P618" s="138" t="str">
        <f>IF(Tabel1[[#This Row],[Ordernummer:]]="","",SUM(Tabel1[[#This Row],[% uren 1:]],Tabel1[[#This Row],[% uren 2:]],Tabel1[[#This Row],[% uren 3:]]))</f>
        <v/>
      </c>
      <c r="Q618" s="127"/>
      <c r="R618" s="128"/>
      <c r="S618" s="44"/>
      <c r="T618" s="25"/>
    </row>
    <row r="619" spans="2:20" x14ac:dyDescent="0.25">
      <c r="B619" s="7"/>
      <c r="C619" s="10"/>
      <c r="D619" s="10"/>
      <c r="E619" s="72"/>
      <c r="F619" s="73"/>
      <c r="G619" s="72"/>
      <c r="H619" s="31"/>
      <c r="I619" s="85" t="str">
        <f>IF(Tabel1[[#This Row],[% uren 1:]]="","",Tabel1[[#This Row],[% uren 1:]]*Tabel1[[#This Row],[Totale uren:]])</f>
        <v/>
      </c>
      <c r="J619" s="68"/>
      <c r="K619" s="31"/>
      <c r="L619" s="86" t="str">
        <f>IF(Tabel1[[#This Row],[% uren 2:]]="","",Tabel1[[#This Row],[% uren 2:]]*Tabel1[[#This Row],[Totale uren:]])</f>
        <v/>
      </c>
      <c r="M619" s="72"/>
      <c r="N619" s="31"/>
      <c r="O619" s="85" t="str">
        <f>IF(Tabel1[[#This Row],[% uren 3:]]="","",Tabel1[[#This Row],[% uren 3:]]*Tabel1[[#This Row],[Totale uren:]])</f>
        <v/>
      </c>
      <c r="P619" s="138" t="str">
        <f>IF(Tabel1[[#This Row],[Ordernummer:]]="","",SUM(Tabel1[[#This Row],[% uren 1:]],Tabel1[[#This Row],[% uren 2:]],Tabel1[[#This Row],[% uren 3:]]))</f>
        <v/>
      </c>
      <c r="Q619" s="127"/>
      <c r="R619" s="128"/>
      <c r="S619" s="44"/>
      <c r="T619" s="25"/>
    </row>
    <row r="620" spans="2:20" x14ac:dyDescent="0.25">
      <c r="B620" s="7"/>
      <c r="C620" s="10"/>
      <c r="D620" s="10"/>
      <c r="E620" s="72"/>
      <c r="F620" s="73"/>
      <c r="G620" s="72"/>
      <c r="H620" s="31"/>
      <c r="I620" s="85" t="str">
        <f>IF(Tabel1[[#This Row],[% uren 1:]]="","",Tabel1[[#This Row],[% uren 1:]]*Tabel1[[#This Row],[Totale uren:]])</f>
        <v/>
      </c>
      <c r="J620" s="68"/>
      <c r="K620" s="31"/>
      <c r="L620" s="86" t="str">
        <f>IF(Tabel1[[#This Row],[% uren 2:]]="","",Tabel1[[#This Row],[% uren 2:]]*Tabel1[[#This Row],[Totale uren:]])</f>
        <v/>
      </c>
      <c r="M620" s="72"/>
      <c r="N620" s="31"/>
      <c r="O620" s="85" t="str">
        <f>IF(Tabel1[[#This Row],[% uren 3:]]="","",Tabel1[[#This Row],[% uren 3:]]*Tabel1[[#This Row],[Totale uren:]])</f>
        <v/>
      </c>
      <c r="P620" s="138" t="str">
        <f>IF(Tabel1[[#This Row],[Ordernummer:]]="","",SUM(Tabel1[[#This Row],[% uren 1:]],Tabel1[[#This Row],[% uren 2:]],Tabel1[[#This Row],[% uren 3:]]))</f>
        <v/>
      </c>
      <c r="Q620" s="127"/>
      <c r="R620" s="128"/>
      <c r="S620" s="44"/>
      <c r="T620" s="25"/>
    </row>
    <row r="621" spans="2:20" x14ac:dyDescent="0.25">
      <c r="B621" s="7"/>
      <c r="C621" s="10"/>
      <c r="D621" s="10"/>
      <c r="E621" s="72"/>
      <c r="F621" s="73"/>
      <c r="G621" s="72"/>
      <c r="H621" s="31"/>
      <c r="I621" s="85" t="str">
        <f>IF(Tabel1[[#This Row],[% uren 1:]]="","",Tabel1[[#This Row],[% uren 1:]]*Tabel1[[#This Row],[Totale uren:]])</f>
        <v/>
      </c>
      <c r="J621" s="68"/>
      <c r="K621" s="31"/>
      <c r="L621" s="86" t="str">
        <f>IF(Tabel1[[#This Row],[% uren 2:]]="","",Tabel1[[#This Row],[% uren 2:]]*Tabel1[[#This Row],[Totale uren:]])</f>
        <v/>
      </c>
      <c r="M621" s="72"/>
      <c r="N621" s="31"/>
      <c r="O621" s="85" t="str">
        <f>IF(Tabel1[[#This Row],[% uren 3:]]="","",Tabel1[[#This Row],[% uren 3:]]*Tabel1[[#This Row],[Totale uren:]])</f>
        <v/>
      </c>
      <c r="P621" s="138" t="str">
        <f>IF(Tabel1[[#This Row],[Ordernummer:]]="","",SUM(Tabel1[[#This Row],[% uren 1:]],Tabel1[[#This Row],[% uren 2:]],Tabel1[[#This Row],[% uren 3:]]))</f>
        <v/>
      </c>
      <c r="Q621" s="127"/>
      <c r="R621" s="128"/>
      <c r="S621" s="44"/>
      <c r="T621" s="25"/>
    </row>
    <row r="622" spans="2:20" x14ac:dyDescent="0.25">
      <c r="B622" s="7"/>
      <c r="C622" s="10"/>
      <c r="D622" s="10"/>
      <c r="E622" s="72"/>
      <c r="F622" s="73"/>
      <c r="G622" s="72"/>
      <c r="H622" s="31"/>
      <c r="I622" s="85" t="str">
        <f>IF(Tabel1[[#This Row],[% uren 1:]]="","",Tabel1[[#This Row],[% uren 1:]]*Tabel1[[#This Row],[Totale uren:]])</f>
        <v/>
      </c>
      <c r="J622" s="68"/>
      <c r="K622" s="31"/>
      <c r="L622" s="86" t="str">
        <f>IF(Tabel1[[#This Row],[% uren 2:]]="","",Tabel1[[#This Row],[% uren 2:]]*Tabel1[[#This Row],[Totale uren:]])</f>
        <v/>
      </c>
      <c r="M622" s="72"/>
      <c r="N622" s="31"/>
      <c r="O622" s="85" t="str">
        <f>IF(Tabel1[[#This Row],[% uren 3:]]="","",Tabel1[[#This Row],[% uren 3:]]*Tabel1[[#This Row],[Totale uren:]])</f>
        <v/>
      </c>
      <c r="P622" s="138" t="str">
        <f>IF(Tabel1[[#This Row],[Ordernummer:]]="","",SUM(Tabel1[[#This Row],[% uren 1:]],Tabel1[[#This Row],[% uren 2:]],Tabel1[[#This Row],[% uren 3:]]))</f>
        <v/>
      </c>
      <c r="Q622" s="127"/>
      <c r="R622" s="128"/>
      <c r="S622" s="44"/>
      <c r="T622" s="25"/>
    </row>
    <row r="623" spans="2:20" x14ac:dyDescent="0.25">
      <c r="B623" s="7"/>
      <c r="C623" s="10"/>
      <c r="D623" s="10"/>
      <c r="E623" s="72"/>
      <c r="F623" s="73"/>
      <c r="G623" s="72"/>
      <c r="H623" s="31"/>
      <c r="I623" s="85" t="str">
        <f>IF(Tabel1[[#This Row],[% uren 1:]]="","",Tabel1[[#This Row],[% uren 1:]]*Tabel1[[#This Row],[Totale uren:]])</f>
        <v/>
      </c>
      <c r="J623" s="68"/>
      <c r="K623" s="31"/>
      <c r="L623" s="86" t="str">
        <f>IF(Tabel1[[#This Row],[% uren 2:]]="","",Tabel1[[#This Row],[% uren 2:]]*Tabel1[[#This Row],[Totale uren:]])</f>
        <v/>
      </c>
      <c r="M623" s="72"/>
      <c r="N623" s="31"/>
      <c r="O623" s="85" t="str">
        <f>IF(Tabel1[[#This Row],[% uren 3:]]="","",Tabel1[[#This Row],[% uren 3:]]*Tabel1[[#This Row],[Totale uren:]])</f>
        <v/>
      </c>
      <c r="P623" s="138" t="str">
        <f>IF(Tabel1[[#This Row],[Ordernummer:]]="","",SUM(Tabel1[[#This Row],[% uren 1:]],Tabel1[[#This Row],[% uren 2:]],Tabel1[[#This Row],[% uren 3:]]))</f>
        <v/>
      </c>
      <c r="Q623" s="127"/>
      <c r="R623" s="128"/>
      <c r="S623" s="44"/>
      <c r="T623" s="25"/>
    </row>
    <row r="624" spans="2:20" x14ac:dyDescent="0.25">
      <c r="B624" s="7"/>
      <c r="C624" s="10"/>
      <c r="D624" s="10"/>
      <c r="E624" s="72"/>
      <c r="F624" s="73"/>
      <c r="G624" s="72"/>
      <c r="H624" s="31"/>
      <c r="I624" s="85" t="str">
        <f>IF(Tabel1[[#This Row],[% uren 1:]]="","",Tabel1[[#This Row],[% uren 1:]]*Tabel1[[#This Row],[Totale uren:]])</f>
        <v/>
      </c>
      <c r="J624" s="68"/>
      <c r="K624" s="31"/>
      <c r="L624" s="86" t="str">
        <f>IF(Tabel1[[#This Row],[% uren 2:]]="","",Tabel1[[#This Row],[% uren 2:]]*Tabel1[[#This Row],[Totale uren:]])</f>
        <v/>
      </c>
      <c r="M624" s="72"/>
      <c r="N624" s="31"/>
      <c r="O624" s="85" t="str">
        <f>IF(Tabel1[[#This Row],[% uren 3:]]="","",Tabel1[[#This Row],[% uren 3:]]*Tabel1[[#This Row],[Totale uren:]])</f>
        <v/>
      </c>
      <c r="P624" s="138" t="str">
        <f>IF(Tabel1[[#This Row],[Ordernummer:]]="","",SUM(Tabel1[[#This Row],[% uren 1:]],Tabel1[[#This Row],[% uren 2:]],Tabel1[[#This Row],[% uren 3:]]))</f>
        <v/>
      </c>
      <c r="Q624" s="127"/>
      <c r="R624" s="128"/>
      <c r="S624" s="44"/>
      <c r="T624" s="25"/>
    </row>
    <row r="625" spans="2:20" x14ac:dyDescent="0.25">
      <c r="B625" s="7"/>
      <c r="C625" s="10"/>
      <c r="D625" s="10"/>
      <c r="E625" s="72"/>
      <c r="F625" s="73"/>
      <c r="G625" s="72"/>
      <c r="H625" s="31"/>
      <c r="I625" s="85" t="str">
        <f>IF(Tabel1[[#This Row],[% uren 1:]]="","",Tabel1[[#This Row],[% uren 1:]]*Tabel1[[#This Row],[Totale uren:]])</f>
        <v/>
      </c>
      <c r="J625" s="68"/>
      <c r="K625" s="31"/>
      <c r="L625" s="86" t="str">
        <f>IF(Tabel1[[#This Row],[% uren 2:]]="","",Tabel1[[#This Row],[% uren 2:]]*Tabel1[[#This Row],[Totale uren:]])</f>
        <v/>
      </c>
      <c r="M625" s="72"/>
      <c r="N625" s="31"/>
      <c r="O625" s="85" t="str">
        <f>IF(Tabel1[[#This Row],[% uren 3:]]="","",Tabel1[[#This Row],[% uren 3:]]*Tabel1[[#This Row],[Totale uren:]])</f>
        <v/>
      </c>
      <c r="P625" s="138" t="str">
        <f>IF(Tabel1[[#This Row],[Ordernummer:]]="","",SUM(Tabel1[[#This Row],[% uren 1:]],Tabel1[[#This Row],[% uren 2:]],Tabel1[[#This Row],[% uren 3:]]))</f>
        <v/>
      </c>
      <c r="Q625" s="127"/>
      <c r="R625" s="128"/>
      <c r="S625" s="44"/>
      <c r="T625" s="25"/>
    </row>
    <row r="626" spans="2:20" x14ac:dyDescent="0.25">
      <c r="B626" s="7"/>
      <c r="C626" s="10"/>
      <c r="D626" s="10"/>
      <c r="E626" s="72"/>
      <c r="F626" s="73"/>
      <c r="G626" s="72"/>
      <c r="H626" s="31"/>
      <c r="I626" s="85" t="str">
        <f>IF(Tabel1[[#This Row],[% uren 1:]]="","",Tabel1[[#This Row],[% uren 1:]]*Tabel1[[#This Row],[Totale uren:]])</f>
        <v/>
      </c>
      <c r="J626" s="68"/>
      <c r="K626" s="31"/>
      <c r="L626" s="86" t="str">
        <f>IF(Tabel1[[#This Row],[% uren 2:]]="","",Tabel1[[#This Row],[% uren 2:]]*Tabel1[[#This Row],[Totale uren:]])</f>
        <v/>
      </c>
      <c r="M626" s="72"/>
      <c r="N626" s="31"/>
      <c r="O626" s="85" t="str">
        <f>IF(Tabel1[[#This Row],[% uren 3:]]="","",Tabel1[[#This Row],[% uren 3:]]*Tabel1[[#This Row],[Totale uren:]])</f>
        <v/>
      </c>
      <c r="P626" s="138" t="str">
        <f>IF(Tabel1[[#This Row],[Ordernummer:]]="","",SUM(Tabel1[[#This Row],[% uren 1:]],Tabel1[[#This Row],[% uren 2:]],Tabel1[[#This Row],[% uren 3:]]))</f>
        <v/>
      </c>
      <c r="Q626" s="127"/>
      <c r="R626" s="128"/>
      <c r="S626" s="44"/>
      <c r="T626" s="25"/>
    </row>
    <row r="627" spans="2:20" x14ac:dyDescent="0.25">
      <c r="B627" s="7"/>
      <c r="C627" s="10"/>
      <c r="D627" s="10"/>
      <c r="E627" s="72"/>
      <c r="F627" s="73"/>
      <c r="G627" s="72"/>
      <c r="H627" s="31"/>
      <c r="I627" s="85" t="str">
        <f>IF(Tabel1[[#This Row],[% uren 1:]]="","",Tabel1[[#This Row],[% uren 1:]]*Tabel1[[#This Row],[Totale uren:]])</f>
        <v/>
      </c>
      <c r="J627" s="68"/>
      <c r="K627" s="31"/>
      <c r="L627" s="86" t="str">
        <f>IF(Tabel1[[#This Row],[% uren 2:]]="","",Tabel1[[#This Row],[% uren 2:]]*Tabel1[[#This Row],[Totale uren:]])</f>
        <v/>
      </c>
      <c r="M627" s="72"/>
      <c r="N627" s="31"/>
      <c r="O627" s="85" t="str">
        <f>IF(Tabel1[[#This Row],[% uren 3:]]="","",Tabel1[[#This Row],[% uren 3:]]*Tabel1[[#This Row],[Totale uren:]])</f>
        <v/>
      </c>
      <c r="P627" s="138" t="str">
        <f>IF(Tabel1[[#This Row],[Ordernummer:]]="","",SUM(Tabel1[[#This Row],[% uren 1:]],Tabel1[[#This Row],[% uren 2:]],Tabel1[[#This Row],[% uren 3:]]))</f>
        <v/>
      </c>
      <c r="Q627" s="127"/>
      <c r="R627" s="128"/>
      <c r="S627" s="44"/>
      <c r="T627" s="25"/>
    </row>
    <row r="628" spans="2:20" x14ac:dyDescent="0.25">
      <c r="B628" s="7"/>
      <c r="C628" s="10"/>
      <c r="D628" s="10"/>
      <c r="E628" s="72"/>
      <c r="F628" s="73"/>
      <c r="G628" s="72"/>
      <c r="H628" s="31"/>
      <c r="I628" s="85" t="str">
        <f>IF(Tabel1[[#This Row],[% uren 1:]]="","",Tabel1[[#This Row],[% uren 1:]]*Tabel1[[#This Row],[Totale uren:]])</f>
        <v/>
      </c>
      <c r="J628" s="68"/>
      <c r="K628" s="31"/>
      <c r="L628" s="86" t="str">
        <f>IF(Tabel1[[#This Row],[% uren 2:]]="","",Tabel1[[#This Row],[% uren 2:]]*Tabel1[[#This Row],[Totale uren:]])</f>
        <v/>
      </c>
      <c r="M628" s="72"/>
      <c r="N628" s="31"/>
      <c r="O628" s="85" t="str">
        <f>IF(Tabel1[[#This Row],[% uren 3:]]="","",Tabel1[[#This Row],[% uren 3:]]*Tabel1[[#This Row],[Totale uren:]])</f>
        <v/>
      </c>
      <c r="P628" s="138" t="str">
        <f>IF(Tabel1[[#This Row],[Ordernummer:]]="","",SUM(Tabel1[[#This Row],[% uren 1:]],Tabel1[[#This Row],[% uren 2:]],Tabel1[[#This Row],[% uren 3:]]))</f>
        <v/>
      </c>
      <c r="Q628" s="127"/>
      <c r="R628" s="128"/>
      <c r="S628" s="44"/>
      <c r="T628" s="25"/>
    </row>
    <row r="629" spans="2:20" x14ac:dyDescent="0.25">
      <c r="B629" s="7"/>
      <c r="C629" s="10"/>
      <c r="D629" s="10"/>
      <c r="E629" s="72"/>
      <c r="F629" s="73"/>
      <c r="G629" s="72"/>
      <c r="H629" s="31"/>
      <c r="I629" s="85" t="str">
        <f>IF(Tabel1[[#This Row],[% uren 1:]]="","",Tabel1[[#This Row],[% uren 1:]]*Tabel1[[#This Row],[Totale uren:]])</f>
        <v/>
      </c>
      <c r="J629" s="68"/>
      <c r="K629" s="31"/>
      <c r="L629" s="86" t="str">
        <f>IF(Tabel1[[#This Row],[% uren 2:]]="","",Tabel1[[#This Row],[% uren 2:]]*Tabel1[[#This Row],[Totale uren:]])</f>
        <v/>
      </c>
      <c r="M629" s="72"/>
      <c r="N629" s="31"/>
      <c r="O629" s="85" t="str">
        <f>IF(Tabel1[[#This Row],[% uren 3:]]="","",Tabel1[[#This Row],[% uren 3:]]*Tabel1[[#This Row],[Totale uren:]])</f>
        <v/>
      </c>
      <c r="P629" s="138" t="str">
        <f>IF(Tabel1[[#This Row],[Ordernummer:]]="","",SUM(Tabel1[[#This Row],[% uren 1:]],Tabel1[[#This Row],[% uren 2:]],Tabel1[[#This Row],[% uren 3:]]))</f>
        <v/>
      </c>
      <c r="Q629" s="127"/>
      <c r="R629" s="128"/>
      <c r="S629" s="44"/>
      <c r="T629" s="25"/>
    </row>
    <row r="630" spans="2:20" x14ac:dyDescent="0.25">
      <c r="B630" s="7"/>
      <c r="C630" s="10"/>
      <c r="D630" s="10"/>
      <c r="E630" s="72"/>
      <c r="F630" s="73"/>
      <c r="G630" s="72"/>
      <c r="H630" s="31"/>
      <c r="I630" s="85" t="str">
        <f>IF(Tabel1[[#This Row],[% uren 1:]]="","",Tabel1[[#This Row],[% uren 1:]]*Tabel1[[#This Row],[Totale uren:]])</f>
        <v/>
      </c>
      <c r="J630" s="68"/>
      <c r="K630" s="31"/>
      <c r="L630" s="86" t="str">
        <f>IF(Tabel1[[#This Row],[% uren 2:]]="","",Tabel1[[#This Row],[% uren 2:]]*Tabel1[[#This Row],[Totale uren:]])</f>
        <v/>
      </c>
      <c r="M630" s="72"/>
      <c r="N630" s="31"/>
      <c r="O630" s="85" t="str">
        <f>IF(Tabel1[[#This Row],[% uren 3:]]="","",Tabel1[[#This Row],[% uren 3:]]*Tabel1[[#This Row],[Totale uren:]])</f>
        <v/>
      </c>
      <c r="P630" s="138" t="str">
        <f>IF(Tabel1[[#This Row],[Ordernummer:]]="","",SUM(Tabel1[[#This Row],[% uren 1:]],Tabel1[[#This Row],[% uren 2:]],Tabel1[[#This Row],[% uren 3:]]))</f>
        <v/>
      </c>
      <c r="Q630" s="127"/>
      <c r="R630" s="128"/>
      <c r="S630" s="44"/>
      <c r="T630" s="25"/>
    </row>
    <row r="631" spans="2:20" x14ac:dyDescent="0.25">
      <c r="B631" s="7"/>
      <c r="C631" s="10"/>
      <c r="D631" s="10"/>
      <c r="E631" s="72"/>
      <c r="F631" s="73"/>
      <c r="G631" s="72"/>
      <c r="H631" s="31"/>
      <c r="I631" s="85" t="str">
        <f>IF(Tabel1[[#This Row],[% uren 1:]]="","",Tabel1[[#This Row],[% uren 1:]]*Tabel1[[#This Row],[Totale uren:]])</f>
        <v/>
      </c>
      <c r="J631" s="68"/>
      <c r="K631" s="31"/>
      <c r="L631" s="86" t="str">
        <f>IF(Tabel1[[#This Row],[% uren 2:]]="","",Tabel1[[#This Row],[% uren 2:]]*Tabel1[[#This Row],[Totale uren:]])</f>
        <v/>
      </c>
      <c r="M631" s="72"/>
      <c r="N631" s="31"/>
      <c r="O631" s="85" t="str">
        <f>IF(Tabel1[[#This Row],[% uren 3:]]="","",Tabel1[[#This Row],[% uren 3:]]*Tabel1[[#This Row],[Totale uren:]])</f>
        <v/>
      </c>
      <c r="P631" s="138" t="str">
        <f>IF(Tabel1[[#This Row],[Ordernummer:]]="","",SUM(Tabel1[[#This Row],[% uren 1:]],Tabel1[[#This Row],[% uren 2:]],Tabel1[[#This Row],[% uren 3:]]))</f>
        <v/>
      </c>
      <c r="Q631" s="127"/>
      <c r="R631" s="128"/>
      <c r="S631" s="44"/>
      <c r="T631" s="25"/>
    </row>
    <row r="632" spans="2:20" x14ac:dyDescent="0.25">
      <c r="B632" s="7"/>
      <c r="C632" s="10"/>
      <c r="D632" s="10"/>
      <c r="E632" s="72"/>
      <c r="F632" s="73"/>
      <c r="G632" s="72"/>
      <c r="H632" s="31"/>
      <c r="I632" s="85" t="str">
        <f>IF(Tabel1[[#This Row],[% uren 1:]]="","",Tabel1[[#This Row],[% uren 1:]]*Tabel1[[#This Row],[Totale uren:]])</f>
        <v/>
      </c>
      <c r="J632" s="68"/>
      <c r="K632" s="31"/>
      <c r="L632" s="86" t="str">
        <f>IF(Tabel1[[#This Row],[% uren 2:]]="","",Tabel1[[#This Row],[% uren 2:]]*Tabel1[[#This Row],[Totale uren:]])</f>
        <v/>
      </c>
      <c r="M632" s="72"/>
      <c r="N632" s="31"/>
      <c r="O632" s="85" t="str">
        <f>IF(Tabel1[[#This Row],[% uren 3:]]="","",Tabel1[[#This Row],[% uren 3:]]*Tabel1[[#This Row],[Totale uren:]])</f>
        <v/>
      </c>
      <c r="P632" s="138" t="str">
        <f>IF(Tabel1[[#This Row],[Ordernummer:]]="","",SUM(Tabel1[[#This Row],[% uren 1:]],Tabel1[[#This Row],[% uren 2:]],Tabel1[[#This Row],[% uren 3:]]))</f>
        <v/>
      </c>
      <c r="Q632" s="127"/>
      <c r="R632" s="128"/>
      <c r="S632" s="44"/>
      <c r="T632" s="25"/>
    </row>
    <row r="633" spans="2:20" x14ac:dyDescent="0.25">
      <c r="B633" s="7"/>
      <c r="C633" s="10"/>
      <c r="D633" s="10"/>
      <c r="E633" s="72"/>
      <c r="F633" s="73"/>
      <c r="G633" s="72"/>
      <c r="H633" s="31"/>
      <c r="I633" s="85" t="str">
        <f>IF(Tabel1[[#This Row],[% uren 1:]]="","",Tabel1[[#This Row],[% uren 1:]]*Tabel1[[#This Row],[Totale uren:]])</f>
        <v/>
      </c>
      <c r="J633" s="68"/>
      <c r="K633" s="31"/>
      <c r="L633" s="86" t="str">
        <f>IF(Tabel1[[#This Row],[% uren 2:]]="","",Tabel1[[#This Row],[% uren 2:]]*Tabel1[[#This Row],[Totale uren:]])</f>
        <v/>
      </c>
      <c r="M633" s="72"/>
      <c r="N633" s="31"/>
      <c r="O633" s="85" t="str">
        <f>IF(Tabel1[[#This Row],[% uren 3:]]="","",Tabel1[[#This Row],[% uren 3:]]*Tabel1[[#This Row],[Totale uren:]])</f>
        <v/>
      </c>
      <c r="P633" s="138" t="str">
        <f>IF(Tabel1[[#This Row],[Ordernummer:]]="","",SUM(Tabel1[[#This Row],[% uren 1:]],Tabel1[[#This Row],[% uren 2:]],Tabel1[[#This Row],[% uren 3:]]))</f>
        <v/>
      </c>
      <c r="Q633" s="127"/>
      <c r="R633" s="128"/>
      <c r="S633" s="44"/>
      <c r="T633" s="25"/>
    </row>
    <row r="634" spans="2:20" x14ac:dyDescent="0.25">
      <c r="B634" s="7"/>
      <c r="C634" s="10"/>
      <c r="D634" s="10"/>
      <c r="E634" s="72"/>
      <c r="F634" s="73"/>
      <c r="G634" s="72"/>
      <c r="H634" s="31"/>
      <c r="I634" s="85" t="str">
        <f>IF(Tabel1[[#This Row],[% uren 1:]]="","",Tabel1[[#This Row],[% uren 1:]]*Tabel1[[#This Row],[Totale uren:]])</f>
        <v/>
      </c>
      <c r="J634" s="68"/>
      <c r="K634" s="31"/>
      <c r="L634" s="86" t="str">
        <f>IF(Tabel1[[#This Row],[% uren 2:]]="","",Tabel1[[#This Row],[% uren 2:]]*Tabel1[[#This Row],[Totale uren:]])</f>
        <v/>
      </c>
      <c r="M634" s="72"/>
      <c r="N634" s="31"/>
      <c r="O634" s="85" t="str">
        <f>IF(Tabel1[[#This Row],[% uren 3:]]="","",Tabel1[[#This Row],[% uren 3:]]*Tabel1[[#This Row],[Totale uren:]])</f>
        <v/>
      </c>
      <c r="P634" s="138" t="str">
        <f>IF(Tabel1[[#This Row],[Ordernummer:]]="","",SUM(Tabel1[[#This Row],[% uren 1:]],Tabel1[[#This Row],[% uren 2:]],Tabel1[[#This Row],[% uren 3:]]))</f>
        <v/>
      </c>
      <c r="Q634" s="127"/>
      <c r="R634" s="128"/>
      <c r="S634" s="44"/>
      <c r="T634" s="25"/>
    </row>
    <row r="635" spans="2:20" x14ac:dyDescent="0.25">
      <c r="B635" s="7"/>
      <c r="C635" s="10"/>
      <c r="D635" s="10"/>
      <c r="E635" s="72"/>
      <c r="F635" s="73"/>
      <c r="G635" s="72"/>
      <c r="H635" s="31"/>
      <c r="I635" s="85" t="str">
        <f>IF(Tabel1[[#This Row],[% uren 1:]]="","",Tabel1[[#This Row],[% uren 1:]]*Tabel1[[#This Row],[Totale uren:]])</f>
        <v/>
      </c>
      <c r="J635" s="68"/>
      <c r="K635" s="31"/>
      <c r="L635" s="86" t="str">
        <f>IF(Tabel1[[#This Row],[% uren 2:]]="","",Tabel1[[#This Row],[% uren 2:]]*Tabel1[[#This Row],[Totale uren:]])</f>
        <v/>
      </c>
      <c r="M635" s="72"/>
      <c r="N635" s="31"/>
      <c r="O635" s="85" t="str">
        <f>IF(Tabel1[[#This Row],[% uren 3:]]="","",Tabel1[[#This Row],[% uren 3:]]*Tabel1[[#This Row],[Totale uren:]])</f>
        <v/>
      </c>
      <c r="P635" s="138" t="str">
        <f>IF(Tabel1[[#This Row],[Ordernummer:]]="","",SUM(Tabel1[[#This Row],[% uren 1:]],Tabel1[[#This Row],[% uren 2:]],Tabel1[[#This Row],[% uren 3:]]))</f>
        <v/>
      </c>
      <c r="Q635" s="127"/>
      <c r="R635" s="128"/>
      <c r="S635" s="44"/>
      <c r="T635" s="25"/>
    </row>
    <row r="636" spans="2:20" x14ac:dyDescent="0.25">
      <c r="B636" s="7"/>
      <c r="C636" s="10"/>
      <c r="D636" s="10"/>
      <c r="E636" s="72"/>
      <c r="F636" s="73"/>
      <c r="G636" s="72"/>
      <c r="H636" s="31"/>
      <c r="I636" s="85" t="str">
        <f>IF(Tabel1[[#This Row],[% uren 1:]]="","",Tabel1[[#This Row],[% uren 1:]]*Tabel1[[#This Row],[Totale uren:]])</f>
        <v/>
      </c>
      <c r="J636" s="68"/>
      <c r="K636" s="31"/>
      <c r="L636" s="86" t="str">
        <f>IF(Tabel1[[#This Row],[% uren 2:]]="","",Tabel1[[#This Row],[% uren 2:]]*Tabel1[[#This Row],[Totale uren:]])</f>
        <v/>
      </c>
      <c r="M636" s="72"/>
      <c r="N636" s="31"/>
      <c r="O636" s="85" t="str">
        <f>IF(Tabel1[[#This Row],[% uren 3:]]="","",Tabel1[[#This Row],[% uren 3:]]*Tabel1[[#This Row],[Totale uren:]])</f>
        <v/>
      </c>
      <c r="P636" s="138" t="str">
        <f>IF(Tabel1[[#This Row],[Ordernummer:]]="","",SUM(Tabel1[[#This Row],[% uren 1:]],Tabel1[[#This Row],[% uren 2:]],Tabel1[[#This Row],[% uren 3:]]))</f>
        <v/>
      </c>
      <c r="Q636" s="127"/>
      <c r="R636" s="128"/>
      <c r="S636" s="44"/>
      <c r="T636" s="25"/>
    </row>
    <row r="637" spans="2:20" x14ac:dyDescent="0.25">
      <c r="B637" s="7"/>
      <c r="C637" s="10"/>
      <c r="D637" s="10"/>
      <c r="E637" s="72"/>
      <c r="F637" s="73"/>
      <c r="G637" s="72"/>
      <c r="H637" s="31"/>
      <c r="I637" s="85" t="str">
        <f>IF(Tabel1[[#This Row],[% uren 1:]]="","",Tabel1[[#This Row],[% uren 1:]]*Tabel1[[#This Row],[Totale uren:]])</f>
        <v/>
      </c>
      <c r="J637" s="68"/>
      <c r="K637" s="31"/>
      <c r="L637" s="86" t="str">
        <f>IF(Tabel1[[#This Row],[% uren 2:]]="","",Tabel1[[#This Row],[% uren 2:]]*Tabel1[[#This Row],[Totale uren:]])</f>
        <v/>
      </c>
      <c r="M637" s="72"/>
      <c r="N637" s="31"/>
      <c r="O637" s="85" t="str">
        <f>IF(Tabel1[[#This Row],[% uren 3:]]="","",Tabel1[[#This Row],[% uren 3:]]*Tabel1[[#This Row],[Totale uren:]])</f>
        <v/>
      </c>
      <c r="P637" s="138" t="str">
        <f>IF(Tabel1[[#This Row],[Ordernummer:]]="","",SUM(Tabel1[[#This Row],[% uren 1:]],Tabel1[[#This Row],[% uren 2:]],Tabel1[[#This Row],[% uren 3:]]))</f>
        <v/>
      </c>
      <c r="Q637" s="127"/>
      <c r="R637" s="128"/>
      <c r="S637" s="44"/>
      <c r="T637" s="25"/>
    </row>
    <row r="638" spans="2:20" x14ac:dyDescent="0.25">
      <c r="B638" s="7"/>
      <c r="C638" s="10"/>
      <c r="D638" s="10"/>
      <c r="E638" s="72"/>
      <c r="F638" s="73"/>
      <c r="G638" s="72"/>
      <c r="H638" s="31"/>
      <c r="I638" s="85" t="str">
        <f>IF(Tabel1[[#This Row],[% uren 1:]]="","",Tabel1[[#This Row],[% uren 1:]]*Tabel1[[#This Row],[Totale uren:]])</f>
        <v/>
      </c>
      <c r="J638" s="68"/>
      <c r="K638" s="31"/>
      <c r="L638" s="86" t="str">
        <f>IF(Tabel1[[#This Row],[% uren 2:]]="","",Tabel1[[#This Row],[% uren 2:]]*Tabel1[[#This Row],[Totale uren:]])</f>
        <v/>
      </c>
      <c r="M638" s="72"/>
      <c r="N638" s="31"/>
      <c r="O638" s="85" t="str">
        <f>IF(Tabel1[[#This Row],[% uren 3:]]="","",Tabel1[[#This Row],[% uren 3:]]*Tabel1[[#This Row],[Totale uren:]])</f>
        <v/>
      </c>
      <c r="P638" s="138" t="str">
        <f>IF(Tabel1[[#This Row],[Ordernummer:]]="","",SUM(Tabel1[[#This Row],[% uren 1:]],Tabel1[[#This Row],[% uren 2:]],Tabel1[[#This Row],[% uren 3:]]))</f>
        <v/>
      </c>
      <c r="Q638" s="127"/>
      <c r="R638" s="128"/>
      <c r="S638" s="44"/>
      <c r="T638" s="25"/>
    </row>
    <row r="639" spans="2:20" x14ac:dyDescent="0.25">
      <c r="B639" s="7"/>
      <c r="C639" s="10"/>
      <c r="D639" s="10"/>
      <c r="E639" s="72"/>
      <c r="F639" s="73"/>
      <c r="G639" s="72"/>
      <c r="H639" s="31"/>
      <c r="I639" s="85" t="str">
        <f>IF(Tabel1[[#This Row],[% uren 1:]]="","",Tabel1[[#This Row],[% uren 1:]]*Tabel1[[#This Row],[Totale uren:]])</f>
        <v/>
      </c>
      <c r="J639" s="68"/>
      <c r="K639" s="31"/>
      <c r="L639" s="86" t="str">
        <f>IF(Tabel1[[#This Row],[% uren 2:]]="","",Tabel1[[#This Row],[% uren 2:]]*Tabel1[[#This Row],[Totale uren:]])</f>
        <v/>
      </c>
      <c r="M639" s="72"/>
      <c r="N639" s="31"/>
      <c r="O639" s="85" t="str">
        <f>IF(Tabel1[[#This Row],[% uren 3:]]="","",Tabel1[[#This Row],[% uren 3:]]*Tabel1[[#This Row],[Totale uren:]])</f>
        <v/>
      </c>
      <c r="P639" s="138" t="str">
        <f>IF(Tabel1[[#This Row],[Ordernummer:]]="","",SUM(Tabel1[[#This Row],[% uren 1:]],Tabel1[[#This Row],[% uren 2:]],Tabel1[[#This Row],[% uren 3:]]))</f>
        <v/>
      </c>
      <c r="Q639" s="127"/>
      <c r="R639" s="128"/>
      <c r="S639" s="44"/>
      <c r="T639" s="25"/>
    </row>
    <row r="640" spans="2:20" x14ac:dyDescent="0.25">
      <c r="B640" s="7"/>
      <c r="C640" s="10"/>
      <c r="D640" s="10"/>
      <c r="E640" s="72"/>
      <c r="F640" s="73"/>
      <c r="G640" s="72"/>
      <c r="H640" s="31"/>
      <c r="I640" s="85" t="str">
        <f>IF(Tabel1[[#This Row],[% uren 1:]]="","",Tabel1[[#This Row],[% uren 1:]]*Tabel1[[#This Row],[Totale uren:]])</f>
        <v/>
      </c>
      <c r="J640" s="68"/>
      <c r="K640" s="31"/>
      <c r="L640" s="86" t="str">
        <f>IF(Tabel1[[#This Row],[% uren 2:]]="","",Tabel1[[#This Row],[% uren 2:]]*Tabel1[[#This Row],[Totale uren:]])</f>
        <v/>
      </c>
      <c r="M640" s="72"/>
      <c r="N640" s="31"/>
      <c r="O640" s="85" t="str">
        <f>IF(Tabel1[[#This Row],[% uren 3:]]="","",Tabel1[[#This Row],[% uren 3:]]*Tabel1[[#This Row],[Totale uren:]])</f>
        <v/>
      </c>
      <c r="P640" s="138" t="str">
        <f>IF(Tabel1[[#This Row],[Ordernummer:]]="","",SUM(Tabel1[[#This Row],[% uren 1:]],Tabel1[[#This Row],[% uren 2:]],Tabel1[[#This Row],[% uren 3:]]))</f>
        <v/>
      </c>
      <c r="Q640" s="127"/>
      <c r="R640" s="128"/>
      <c r="S640" s="44"/>
      <c r="T640" s="25"/>
    </row>
    <row r="641" spans="2:20" x14ac:dyDescent="0.25">
      <c r="B641" s="7"/>
      <c r="C641" s="10"/>
      <c r="D641" s="10"/>
      <c r="E641" s="72"/>
      <c r="F641" s="73"/>
      <c r="G641" s="72"/>
      <c r="H641" s="31"/>
      <c r="I641" s="85" t="str">
        <f>IF(Tabel1[[#This Row],[% uren 1:]]="","",Tabel1[[#This Row],[% uren 1:]]*Tabel1[[#This Row],[Totale uren:]])</f>
        <v/>
      </c>
      <c r="J641" s="68"/>
      <c r="K641" s="31"/>
      <c r="L641" s="86" t="str">
        <f>IF(Tabel1[[#This Row],[% uren 2:]]="","",Tabel1[[#This Row],[% uren 2:]]*Tabel1[[#This Row],[Totale uren:]])</f>
        <v/>
      </c>
      <c r="M641" s="72"/>
      <c r="N641" s="31"/>
      <c r="O641" s="85" t="str">
        <f>IF(Tabel1[[#This Row],[% uren 3:]]="","",Tabel1[[#This Row],[% uren 3:]]*Tabel1[[#This Row],[Totale uren:]])</f>
        <v/>
      </c>
      <c r="P641" s="138" t="str">
        <f>IF(Tabel1[[#This Row],[Ordernummer:]]="","",SUM(Tabel1[[#This Row],[% uren 1:]],Tabel1[[#This Row],[% uren 2:]],Tabel1[[#This Row],[% uren 3:]]))</f>
        <v/>
      </c>
      <c r="Q641" s="127"/>
      <c r="R641" s="128"/>
      <c r="S641" s="44"/>
      <c r="T641" s="25"/>
    </row>
    <row r="642" spans="2:20" x14ac:dyDescent="0.25">
      <c r="B642" s="7"/>
      <c r="C642" s="10"/>
      <c r="D642" s="10"/>
      <c r="E642" s="72"/>
      <c r="F642" s="73"/>
      <c r="G642" s="72"/>
      <c r="H642" s="31"/>
      <c r="I642" s="85" t="str">
        <f>IF(Tabel1[[#This Row],[% uren 1:]]="","",Tabel1[[#This Row],[% uren 1:]]*Tabel1[[#This Row],[Totale uren:]])</f>
        <v/>
      </c>
      <c r="J642" s="68"/>
      <c r="K642" s="31"/>
      <c r="L642" s="86" t="str">
        <f>IF(Tabel1[[#This Row],[% uren 2:]]="","",Tabel1[[#This Row],[% uren 2:]]*Tabel1[[#This Row],[Totale uren:]])</f>
        <v/>
      </c>
      <c r="M642" s="72"/>
      <c r="N642" s="31"/>
      <c r="O642" s="85" t="str">
        <f>IF(Tabel1[[#This Row],[% uren 3:]]="","",Tabel1[[#This Row],[% uren 3:]]*Tabel1[[#This Row],[Totale uren:]])</f>
        <v/>
      </c>
      <c r="P642" s="138" t="str">
        <f>IF(Tabel1[[#This Row],[Ordernummer:]]="","",SUM(Tabel1[[#This Row],[% uren 1:]],Tabel1[[#This Row],[% uren 2:]],Tabel1[[#This Row],[% uren 3:]]))</f>
        <v/>
      </c>
      <c r="Q642" s="127"/>
      <c r="R642" s="128"/>
      <c r="S642" s="44"/>
      <c r="T642" s="25"/>
    </row>
    <row r="643" spans="2:20" x14ac:dyDescent="0.25">
      <c r="B643" s="7"/>
      <c r="C643" s="10"/>
      <c r="D643" s="10"/>
      <c r="E643" s="72"/>
      <c r="F643" s="73"/>
      <c r="G643" s="72"/>
      <c r="H643" s="31"/>
      <c r="I643" s="85" t="str">
        <f>IF(Tabel1[[#This Row],[% uren 1:]]="","",Tabel1[[#This Row],[% uren 1:]]*Tabel1[[#This Row],[Totale uren:]])</f>
        <v/>
      </c>
      <c r="J643" s="68"/>
      <c r="K643" s="31"/>
      <c r="L643" s="86" t="str">
        <f>IF(Tabel1[[#This Row],[% uren 2:]]="","",Tabel1[[#This Row],[% uren 2:]]*Tabel1[[#This Row],[Totale uren:]])</f>
        <v/>
      </c>
      <c r="M643" s="72"/>
      <c r="N643" s="31"/>
      <c r="O643" s="85" t="str">
        <f>IF(Tabel1[[#This Row],[% uren 3:]]="","",Tabel1[[#This Row],[% uren 3:]]*Tabel1[[#This Row],[Totale uren:]])</f>
        <v/>
      </c>
      <c r="P643" s="138" t="str">
        <f>IF(Tabel1[[#This Row],[Ordernummer:]]="","",SUM(Tabel1[[#This Row],[% uren 1:]],Tabel1[[#This Row],[% uren 2:]],Tabel1[[#This Row],[% uren 3:]]))</f>
        <v/>
      </c>
      <c r="Q643" s="127"/>
      <c r="R643" s="128"/>
      <c r="S643" s="44"/>
      <c r="T643" s="25"/>
    </row>
    <row r="644" spans="2:20" x14ac:dyDescent="0.25">
      <c r="B644" s="7"/>
      <c r="C644" s="10"/>
      <c r="D644" s="10"/>
      <c r="E644" s="72"/>
      <c r="F644" s="73"/>
      <c r="G644" s="72"/>
      <c r="H644" s="31"/>
      <c r="I644" s="85" t="str">
        <f>IF(Tabel1[[#This Row],[% uren 1:]]="","",Tabel1[[#This Row],[% uren 1:]]*Tabel1[[#This Row],[Totale uren:]])</f>
        <v/>
      </c>
      <c r="J644" s="68"/>
      <c r="K644" s="31"/>
      <c r="L644" s="86" t="str">
        <f>IF(Tabel1[[#This Row],[% uren 2:]]="","",Tabel1[[#This Row],[% uren 2:]]*Tabel1[[#This Row],[Totale uren:]])</f>
        <v/>
      </c>
      <c r="M644" s="72"/>
      <c r="N644" s="31"/>
      <c r="O644" s="85" t="str">
        <f>IF(Tabel1[[#This Row],[% uren 3:]]="","",Tabel1[[#This Row],[% uren 3:]]*Tabel1[[#This Row],[Totale uren:]])</f>
        <v/>
      </c>
      <c r="P644" s="138" t="str">
        <f>IF(Tabel1[[#This Row],[Ordernummer:]]="","",SUM(Tabel1[[#This Row],[% uren 1:]],Tabel1[[#This Row],[% uren 2:]],Tabel1[[#This Row],[% uren 3:]]))</f>
        <v/>
      </c>
      <c r="Q644" s="127"/>
      <c r="R644" s="128"/>
      <c r="S644" s="44"/>
      <c r="T644" s="25"/>
    </row>
    <row r="645" spans="2:20" x14ac:dyDescent="0.25">
      <c r="B645" s="7"/>
      <c r="C645" s="10"/>
      <c r="D645" s="10"/>
      <c r="E645" s="72"/>
      <c r="F645" s="73"/>
      <c r="G645" s="72"/>
      <c r="H645" s="31"/>
      <c r="I645" s="85" t="str">
        <f>IF(Tabel1[[#This Row],[% uren 1:]]="","",Tabel1[[#This Row],[% uren 1:]]*Tabel1[[#This Row],[Totale uren:]])</f>
        <v/>
      </c>
      <c r="J645" s="68"/>
      <c r="K645" s="31"/>
      <c r="L645" s="86" t="str">
        <f>IF(Tabel1[[#This Row],[% uren 2:]]="","",Tabel1[[#This Row],[% uren 2:]]*Tabel1[[#This Row],[Totale uren:]])</f>
        <v/>
      </c>
      <c r="M645" s="72"/>
      <c r="N645" s="31"/>
      <c r="O645" s="85" t="str">
        <f>IF(Tabel1[[#This Row],[% uren 3:]]="","",Tabel1[[#This Row],[% uren 3:]]*Tabel1[[#This Row],[Totale uren:]])</f>
        <v/>
      </c>
      <c r="P645" s="138" t="str">
        <f>IF(Tabel1[[#This Row],[Ordernummer:]]="","",SUM(Tabel1[[#This Row],[% uren 1:]],Tabel1[[#This Row],[% uren 2:]],Tabel1[[#This Row],[% uren 3:]]))</f>
        <v/>
      </c>
      <c r="Q645" s="127"/>
      <c r="R645" s="128"/>
      <c r="S645" s="44"/>
      <c r="T645" s="25"/>
    </row>
    <row r="646" spans="2:20" x14ac:dyDescent="0.25">
      <c r="B646" s="7"/>
      <c r="C646" s="10"/>
      <c r="D646" s="10"/>
      <c r="E646" s="72"/>
      <c r="F646" s="73"/>
      <c r="G646" s="72"/>
      <c r="H646" s="31"/>
      <c r="I646" s="85" t="str">
        <f>IF(Tabel1[[#This Row],[% uren 1:]]="","",Tabel1[[#This Row],[% uren 1:]]*Tabel1[[#This Row],[Totale uren:]])</f>
        <v/>
      </c>
      <c r="J646" s="68"/>
      <c r="K646" s="31"/>
      <c r="L646" s="86" t="str">
        <f>IF(Tabel1[[#This Row],[% uren 2:]]="","",Tabel1[[#This Row],[% uren 2:]]*Tabel1[[#This Row],[Totale uren:]])</f>
        <v/>
      </c>
      <c r="M646" s="72"/>
      <c r="N646" s="31"/>
      <c r="O646" s="85" t="str">
        <f>IF(Tabel1[[#This Row],[% uren 3:]]="","",Tabel1[[#This Row],[% uren 3:]]*Tabel1[[#This Row],[Totale uren:]])</f>
        <v/>
      </c>
      <c r="P646" s="138" t="str">
        <f>IF(Tabel1[[#This Row],[Ordernummer:]]="","",SUM(Tabel1[[#This Row],[% uren 1:]],Tabel1[[#This Row],[% uren 2:]],Tabel1[[#This Row],[% uren 3:]]))</f>
        <v/>
      </c>
      <c r="Q646" s="127"/>
      <c r="R646" s="128"/>
      <c r="S646" s="44"/>
      <c r="T646" s="25"/>
    </row>
    <row r="647" spans="2:20" x14ac:dyDescent="0.25">
      <c r="B647" s="7"/>
      <c r="C647" s="10"/>
      <c r="D647" s="10"/>
      <c r="E647" s="72"/>
      <c r="F647" s="73"/>
      <c r="G647" s="72"/>
      <c r="H647" s="31"/>
      <c r="I647" s="85" t="str">
        <f>IF(Tabel1[[#This Row],[% uren 1:]]="","",Tabel1[[#This Row],[% uren 1:]]*Tabel1[[#This Row],[Totale uren:]])</f>
        <v/>
      </c>
      <c r="J647" s="68"/>
      <c r="K647" s="31"/>
      <c r="L647" s="86" t="str">
        <f>IF(Tabel1[[#This Row],[% uren 2:]]="","",Tabel1[[#This Row],[% uren 2:]]*Tabel1[[#This Row],[Totale uren:]])</f>
        <v/>
      </c>
      <c r="M647" s="72"/>
      <c r="N647" s="31"/>
      <c r="O647" s="85" t="str">
        <f>IF(Tabel1[[#This Row],[% uren 3:]]="","",Tabel1[[#This Row],[% uren 3:]]*Tabel1[[#This Row],[Totale uren:]])</f>
        <v/>
      </c>
      <c r="P647" s="138" t="str">
        <f>IF(Tabel1[[#This Row],[Ordernummer:]]="","",SUM(Tabel1[[#This Row],[% uren 1:]],Tabel1[[#This Row],[% uren 2:]],Tabel1[[#This Row],[% uren 3:]]))</f>
        <v/>
      </c>
      <c r="Q647" s="127"/>
      <c r="R647" s="128"/>
      <c r="S647" s="44"/>
      <c r="T647" s="25"/>
    </row>
    <row r="648" spans="2:20" x14ac:dyDescent="0.25">
      <c r="B648" s="7"/>
      <c r="C648" s="10"/>
      <c r="D648" s="10"/>
      <c r="E648" s="72"/>
      <c r="F648" s="73"/>
      <c r="G648" s="72"/>
      <c r="H648" s="31"/>
      <c r="I648" s="85" t="str">
        <f>IF(Tabel1[[#This Row],[% uren 1:]]="","",Tabel1[[#This Row],[% uren 1:]]*Tabel1[[#This Row],[Totale uren:]])</f>
        <v/>
      </c>
      <c r="J648" s="68"/>
      <c r="K648" s="31"/>
      <c r="L648" s="86" t="str">
        <f>IF(Tabel1[[#This Row],[% uren 2:]]="","",Tabel1[[#This Row],[% uren 2:]]*Tabel1[[#This Row],[Totale uren:]])</f>
        <v/>
      </c>
      <c r="M648" s="72"/>
      <c r="N648" s="31"/>
      <c r="O648" s="85" t="str">
        <f>IF(Tabel1[[#This Row],[% uren 3:]]="","",Tabel1[[#This Row],[% uren 3:]]*Tabel1[[#This Row],[Totale uren:]])</f>
        <v/>
      </c>
      <c r="P648" s="138" t="str">
        <f>IF(Tabel1[[#This Row],[Ordernummer:]]="","",SUM(Tabel1[[#This Row],[% uren 1:]],Tabel1[[#This Row],[% uren 2:]],Tabel1[[#This Row],[% uren 3:]]))</f>
        <v/>
      </c>
      <c r="Q648" s="127"/>
      <c r="R648" s="128"/>
      <c r="S648" s="44"/>
      <c r="T648" s="25"/>
    </row>
    <row r="649" spans="2:20" x14ac:dyDescent="0.25">
      <c r="B649" s="7"/>
      <c r="C649" s="10"/>
      <c r="D649" s="10"/>
      <c r="E649" s="72"/>
      <c r="F649" s="73"/>
      <c r="G649" s="72"/>
      <c r="H649" s="31"/>
      <c r="I649" s="85" t="str">
        <f>IF(Tabel1[[#This Row],[% uren 1:]]="","",Tabel1[[#This Row],[% uren 1:]]*Tabel1[[#This Row],[Totale uren:]])</f>
        <v/>
      </c>
      <c r="J649" s="68"/>
      <c r="K649" s="31"/>
      <c r="L649" s="86" t="str">
        <f>IF(Tabel1[[#This Row],[% uren 2:]]="","",Tabel1[[#This Row],[% uren 2:]]*Tabel1[[#This Row],[Totale uren:]])</f>
        <v/>
      </c>
      <c r="M649" s="72"/>
      <c r="N649" s="31"/>
      <c r="O649" s="85" t="str">
        <f>IF(Tabel1[[#This Row],[% uren 3:]]="","",Tabel1[[#This Row],[% uren 3:]]*Tabel1[[#This Row],[Totale uren:]])</f>
        <v/>
      </c>
      <c r="P649" s="138" t="str">
        <f>IF(Tabel1[[#This Row],[Ordernummer:]]="","",SUM(Tabel1[[#This Row],[% uren 1:]],Tabel1[[#This Row],[% uren 2:]],Tabel1[[#This Row],[% uren 3:]]))</f>
        <v/>
      </c>
      <c r="Q649" s="127"/>
      <c r="R649" s="128"/>
      <c r="S649" s="44"/>
      <c r="T649" s="25"/>
    </row>
    <row r="650" spans="2:20" x14ac:dyDescent="0.25">
      <c r="B650" s="7"/>
      <c r="C650" s="10"/>
      <c r="D650" s="10"/>
      <c r="E650" s="72"/>
      <c r="F650" s="73"/>
      <c r="G650" s="72"/>
      <c r="H650" s="31"/>
      <c r="I650" s="85" t="str">
        <f>IF(Tabel1[[#This Row],[% uren 1:]]="","",Tabel1[[#This Row],[% uren 1:]]*Tabel1[[#This Row],[Totale uren:]])</f>
        <v/>
      </c>
      <c r="J650" s="68"/>
      <c r="K650" s="31"/>
      <c r="L650" s="86" t="str">
        <f>IF(Tabel1[[#This Row],[% uren 2:]]="","",Tabel1[[#This Row],[% uren 2:]]*Tabel1[[#This Row],[Totale uren:]])</f>
        <v/>
      </c>
      <c r="M650" s="72"/>
      <c r="N650" s="31"/>
      <c r="O650" s="85" t="str">
        <f>IF(Tabel1[[#This Row],[% uren 3:]]="","",Tabel1[[#This Row],[% uren 3:]]*Tabel1[[#This Row],[Totale uren:]])</f>
        <v/>
      </c>
      <c r="P650" s="138" t="str">
        <f>IF(Tabel1[[#This Row],[Ordernummer:]]="","",SUM(Tabel1[[#This Row],[% uren 1:]],Tabel1[[#This Row],[% uren 2:]],Tabel1[[#This Row],[% uren 3:]]))</f>
        <v/>
      </c>
      <c r="Q650" s="127"/>
      <c r="R650" s="128"/>
      <c r="S650" s="44"/>
      <c r="T650" s="25"/>
    </row>
    <row r="651" spans="2:20" x14ac:dyDescent="0.25">
      <c r="B651" s="7"/>
      <c r="C651" s="10"/>
      <c r="D651" s="10"/>
      <c r="E651" s="72"/>
      <c r="F651" s="73"/>
      <c r="G651" s="72"/>
      <c r="H651" s="31"/>
      <c r="I651" s="85" t="str">
        <f>IF(Tabel1[[#This Row],[% uren 1:]]="","",Tabel1[[#This Row],[% uren 1:]]*Tabel1[[#This Row],[Totale uren:]])</f>
        <v/>
      </c>
      <c r="J651" s="68"/>
      <c r="K651" s="31"/>
      <c r="L651" s="86" t="str">
        <f>IF(Tabel1[[#This Row],[% uren 2:]]="","",Tabel1[[#This Row],[% uren 2:]]*Tabel1[[#This Row],[Totale uren:]])</f>
        <v/>
      </c>
      <c r="M651" s="72"/>
      <c r="N651" s="31"/>
      <c r="O651" s="85" t="str">
        <f>IF(Tabel1[[#This Row],[% uren 3:]]="","",Tabel1[[#This Row],[% uren 3:]]*Tabel1[[#This Row],[Totale uren:]])</f>
        <v/>
      </c>
      <c r="P651" s="138" t="str">
        <f>IF(Tabel1[[#This Row],[Ordernummer:]]="","",SUM(Tabel1[[#This Row],[% uren 1:]],Tabel1[[#This Row],[% uren 2:]],Tabel1[[#This Row],[% uren 3:]]))</f>
        <v/>
      </c>
      <c r="Q651" s="127"/>
      <c r="R651" s="128"/>
      <c r="S651" s="44"/>
      <c r="T651" s="25"/>
    </row>
    <row r="652" spans="2:20" x14ac:dyDescent="0.25">
      <c r="B652" s="7"/>
      <c r="C652" s="10"/>
      <c r="D652" s="10"/>
      <c r="E652" s="72"/>
      <c r="F652" s="73"/>
      <c r="G652" s="72"/>
      <c r="H652" s="31"/>
      <c r="I652" s="85" t="str">
        <f>IF(Tabel1[[#This Row],[% uren 1:]]="","",Tabel1[[#This Row],[% uren 1:]]*Tabel1[[#This Row],[Totale uren:]])</f>
        <v/>
      </c>
      <c r="J652" s="68"/>
      <c r="K652" s="31"/>
      <c r="L652" s="86" t="str">
        <f>IF(Tabel1[[#This Row],[% uren 2:]]="","",Tabel1[[#This Row],[% uren 2:]]*Tabel1[[#This Row],[Totale uren:]])</f>
        <v/>
      </c>
      <c r="M652" s="72"/>
      <c r="N652" s="31"/>
      <c r="O652" s="85" t="str">
        <f>IF(Tabel1[[#This Row],[% uren 3:]]="","",Tabel1[[#This Row],[% uren 3:]]*Tabel1[[#This Row],[Totale uren:]])</f>
        <v/>
      </c>
      <c r="P652" s="138" t="str">
        <f>IF(Tabel1[[#This Row],[Ordernummer:]]="","",SUM(Tabel1[[#This Row],[% uren 1:]],Tabel1[[#This Row],[% uren 2:]],Tabel1[[#This Row],[% uren 3:]]))</f>
        <v/>
      </c>
      <c r="Q652" s="127"/>
      <c r="R652" s="128"/>
      <c r="S652" s="44"/>
      <c r="T652" s="25"/>
    </row>
    <row r="653" spans="2:20" x14ac:dyDescent="0.25">
      <c r="B653" s="7"/>
      <c r="C653" s="10"/>
      <c r="D653" s="10"/>
      <c r="E653" s="72"/>
      <c r="F653" s="73"/>
      <c r="G653" s="72"/>
      <c r="H653" s="31"/>
      <c r="I653" s="85" t="str">
        <f>IF(Tabel1[[#This Row],[% uren 1:]]="","",Tabel1[[#This Row],[% uren 1:]]*Tabel1[[#This Row],[Totale uren:]])</f>
        <v/>
      </c>
      <c r="J653" s="68"/>
      <c r="K653" s="31"/>
      <c r="L653" s="86" t="str">
        <f>IF(Tabel1[[#This Row],[% uren 2:]]="","",Tabel1[[#This Row],[% uren 2:]]*Tabel1[[#This Row],[Totale uren:]])</f>
        <v/>
      </c>
      <c r="M653" s="72"/>
      <c r="N653" s="31"/>
      <c r="O653" s="85" t="str">
        <f>IF(Tabel1[[#This Row],[% uren 3:]]="","",Tabel1[[#This Row],[% uren 3:]]*Tabel1[[#This Row],[Totale uren:]])</f>
        <v/>
      </c>
      <c r="P653" s="138" t="str">
        <f>IF(Tabel1[[#This Row],[Ordernummer:]]="","",SUM(Tabel1[[#This Row],[% uren 1:]],Tabel1[[#This Row],[% uren 2:]],Tabel1[[#This Row],[% uren 3:]]))</f>
        <v/>
      </c>
      <c r="Q653" s="127"/>
      <c r="R653" s="128"/>
      <c r="S653" s="44"/>
      <c r="T653" s="25"/>
    </row>
    <row r="654" spans="2:20" x14ac:dyDescent="0.25">
      <c r="B654" s="7"/>
      <c r="C654" s="10"/>
      <c r="D654" s="10"/>
      <c r="E654" s="72"/>
      <c r="F654" s="73"/>
      <c r="G654" s="72"/>
      <c r="H654" s="31"/>
      <c r="I654" s="85" t="str">
        <f>IF(Tabel1[[#This Row],[% uren 1:]]="","",Tabel1[[#This Row],[% uren 1:]]*Tabel1[[#This Row],[Totale uren:]])</f>
        <v/>
      </c>
      <c r="J654" s="68"/>
      <c r="K654" s="31"/>
      <c r="L654" s="86" t="str">
        <f>IF(Tabel1[[#This Row],[% uren 2:]]="","",Tabel1[[#This Row],[% uren 2:]]*Tabel1[[#This Row],[Totale uren:]])</f>
        <v/>
      </c>
      <c r="M654" s="72"/>
      <c r="N654" s="31"/>
      <c r="O654" s="85" t="str">
        <f>IF(Tabel1[[#This Row],[% uren 3:]]="","",Tabel1[[#This Row],[% uren 3:]]*Tabel1[[#This Row],[Totale uren:]])</f>
        <v/>
      </c>
      <c r="P654" s="138" t="str">
        <f>IF(Tabel1[[#This Row],[Ordernummer:]]="","",SUM(Tabel1[[#This Row],[% uren 1:]],Tabel1[[#This Row],[% uren 2:]],Tabel1[[#This Row],[% uren 3:]]))</f>
        <v/>
      </c>
      <c r="Q654" s="127"/>
      <c r="R654" s="128"/>
      <c r="S654" s="44"/>
      <c r="T654" s="25"/>
    </row>
    <row r="655" spans="2:20" x14ac:dyDescent="0.25">
      <c r="B655" s="7"/>
      <c r="C655" s="10"/>
      <c r="D655" s="10"/>
      <c r="E655" s="72"/>
      <c r="F655" s="73"/>
      <c r="G655" s="72"/>
      <c r="H655" s="31"/>
      <c r="I655" s="85" t="str">
        <f>IF(Tabel1[[#This Row],[% uren 1:]]="","",Tabel1[[#This Row],[% uren 1:]]*Tabel1[[#This Row],[Totale uren:]])</f>
        <v/>
      </c>
      <c r="J655" s="68"/>
      <c r="K655" s="31"/>
      <c r="L655" s="86" t="str">
        <f>IF(Tabel1[[#This Row],[% uren 2:]]="","",Tabel1[[#This Row],[% uren 2:]]*Tabel1[[#This Row],[Totale uren:]])</f>
        <v/>
      </c>
      <c r="M655" s="72"/>
      <c r="N655" s="31"/>
      <c r="O655" s="85" t="str">
        <f>IF(Tabel1[[#This Row],[% uren 3:]]="","",Tabel1[[#This Row],[% uren 3:]]*Tabel1[[#This Row],[Totale uren:]])</f>
        <v/>
      </c>
      <c r="P655" s="138" t="str">
        <f>IF(Tabel1[[#This Row],[Ordernummer:]]="","",SUM(Tabel1[[#This Row],[% uren 1:]],Tabel1[[#This Row],[% uren 2:]],Tabel1[[#This Row],[% uren 3:]]))</f>
        <v/>
      </c>
      <c r="Q655" s="127"/>
      <c r="R655" s="128"/>
      <c r="S655" s="44"/>
      <c r="T655" s="25"/>
    </row>
    <row r="656" spans="2:20" x14ac:dyDescent="0.25">
      <c r="B656" s="7"/>
      <c r="C656" s="10"/>
      <c r="D656" s="10"/>
      <c r="E656" s="72"/>
      <c r="F656" s="73"/>
      <c r="G656" s="72"/>
      <c r="H656" s="31"/>
      <c r="I656" s="85" t="str">
        <f>IF(Tabel1[[#This Row],[% uren 1:]]="","",Tabel1[[#This Row],[% uren 1:]]*Tabel1[[#This Row],[Totale uren:]])</f>
        <v/>
      </c>
      <c r="J656" s="68"/>
      <c r="K656" s="31"/>
      <c r="L656" s="86" t="str">
        <f>IF(Tabel1[[#This Row],[% uren 2:]]="","",Tabel1[[#This Row],[% uren 2:]]*Tabel1[[#This Row],[Totale uren:]])</f>
        <v/>
      </c>
      <c r="M656" s="72"/>
      <c r="N656" s="31"/>
      <c r="O656" s="85" t="str">
        <f>IF(Tabel1[[#This Row],[% uren 3:]]="","",Tabel1[[#This Row],[% uren 3:]]*Tabel1[[#This Row],[Totale uren:]])</f>
        <v/>
      </c>
      <c r="P656" s="138" t="str">
        <f>IF(Tabel1[[#This Row],[Ordernummer:]]="","",SUM(Tabel1[[#This Row],[% uren 1:]],Tabel1[[#This Row],[% uren 2:]],Tabel1[[#This Row],[% uren 3:]]))</f>
        <v/>
      </c>
      <c r="Q656" s="127"/>
      <c r="R656" s="128"/>
      <c r="S656" s="44"/>
      <c r="T656" s="25"/>
    </row>
    <row r="657" spans="2:20" x14ac:dyDescent="0.25">
      <c r="B657" s="7"/>
      <c r="C657" s="10"/>
      <c r="D657" s="10"/>
      <c r="E657" s="72"/>
      <c r="F657" s="73"/>
      <c r="G657" s="72"/>
      <c r="H657" s="31"/>
      <c r="I657" s="85" t="str">
        <f>IF(Tabel1[[#This Row],[% uren 1:]]="","",Tabel1[[#This Row],[% uren 1:]]*Tabel1[[#This Row],[Totale uren:]])</f>
        <v/>
      </c>
      <c r="J657" s="68"/>
      <c r="K657" s="31"/>
      <c r="L657" s="86" t="str">
        <f>IF(Tabel1[[#This Row],[% uren 2:]]="","",Tabel1[[#This Row],[% uren 2:]]*Tabel1[[#This Row],[Totale uren:]])</f>
        <v/>
      </c>
      <c r="M657" s="72"/>
      <c r="N657" s="31"/>
      <c r="O657" s="85" t="str">
        <f>IF(Tabel1[[#This Row],[% uren 3:]]="","",Tabel1[[#This Row],[% uren 3:]]*Tabel1[[#This Row],[Totale uren:]])</f>
        <v/>
      </c>
      <c r="P657" s="138" t="str">
        <f>IF(Tabel1[[#This Row],[Ordernummer:]]="","",SUM(Tabel1[[#This Row],[% uren 1:]],Tabel1[[#This Row],[% uren 2:]],Tabel1[[#This Row],[% uren 3:]]))</f>
        <v/>
      </c>
      <c r="Q657" s="127"/>
      <c r="R657" s="128"/>
      <c r="S657" s="44"/>
      <c r="T657" s="25"/>
    </row>
    <row r="658" spans="2:20" x14ac:dyDescent="0.25">
      <c r="B658" s="7"/>
      <c r="C658" s="10"/>
      <c r="D658" s="10"/>
      <c r="E658" s="72"/>
      <c r="F658" s="73"/>
      <c r="G658" s="72"/>
      <c r="H658" s="31"/>
      <c r="I658" s="85" t="str">
        <f>IF(Tabel1[[#This Row],[% uren 1:]]="","",Tabel1[[#This Row],[% uren 1:]]*Tabel1[[#This Row],[Totale uren:]])</f>
        <v/>
      </c>
      <c r="J658" s="68"/>
      <c r="K658" s="31"/>
      <c r="L658" s="86" t="str">
        <f>IF(Tabel1[[#This Row],[% uren 2:]]="","",Tabel1[[#This Row],[% uren 2:]]*Tabel1[[#This Row],[Totale uren:]])</f>
        <v/>
      </c>
      <c r="M658" s="72"/>
      <c r="N658" s="31"/>
      <c r="O658" s="85" t="str">
        <f>IF(Tabel1[[#This Row],[% uren 3:]]="","",Tabel1[[#This Row],[% uren 3:]]*Tabel1[[#This Row],[Totale uren:]])</f>
        <v/>
      </c>
      <c r="P658" s="138" t="str">
        <f>IF(Tabel1[[#This Row],[Ordernummer:]]="","",SUM(Tabel1[[#This Row],[% uren 1:]],Tabel1[[#This Row],[% uren 2:]],Tabel1[[#This Row],[% uren 3:]]))</f>
        <v/>
      </c>
      <c r="Q658" s="127"/>
      <c r="R658" s="128"/>
      <c r="S658" s="44"/>
      <c r="T658" s="25"/>
    </row>
    <row r="659" spans="2:20" x14ac:dyDescent="0.25">
      <c r="B659" s="7"/>
      <c r="C659" s="10"/>
      <c r="D659" s="10"/>
      <c r="E659" s="72"/>
      <c r="F659" s="73"/>
      <c r="G659" s="72"/>
      <c r="H659" s="31"/>
      <c r="I659" s="85" t="str">
        <f>IF(Tabel1[[#This Row],[% uren 1:]]="","",Tabel1[[#This Row],[% uren 1:]]*Tabel1[[#This Row],[Totale uren:]])</f>
        <v/>
      </c>
      <c r="J659" s="68"/>
      <c r="K659" s="31"/>
      <c r="L659" s="86" t="str">
        <f>IF(Tabel1[[#This Row],[% uren 2:]]="","",Tabel1[[#This Row],[% uren 2:]]*Tabel1[[#This Row],[Totale uren:]])</f>
        <v/>
      </c>
      <c r="M659" s="72"/>
      <c r="N659" s="31"/>
      <c r="O659" s="85" t="str">
        <f>IF(Tabel1[[#This Row],[% uren 3:]]="","",Tabel1[[#This Row],[% uren 3:]]*Tabel1[[#This Row],[Totale uren:]])</f>
        <v/>
      </c>
      <c r="P659" s="138" t="str">
        <f>IF(Tabel1[[#This Row],[Ordernummer:]]="","",SUM(Tabel1[[#This Row],[% uren 1:]],Tabel1[[#This Row],[% uren 2:]],Tabel1[[#This Row],[% uren 3:]]))</f>
        <v/>
      </c>
      <c r="Q659" s="127"/>
      <c r="R659" s="128"/>
      <c r="S659" s="44"/>
      <c r="T659" s="25"/>
    </row>
    <row r="660" spans="2:20" x14ac:dyDescent="0.25">
      <c r="B660" s="7"/>
      <c r="C660" s="10"/>
      <c r="D660" s="10"/>
      <c r="E660" s="72"/>
      <c r="F660" s="73"/>
      <c r="G660" s="72"/>
      <c r="H660" s="31"/>
      <c r="I660" s="85" t="str">
        <f>IF(Tabel1[[#This Row],[% uren 1:]]="","",Tabel1[[#This Row],[% uren 1:]]*Tabel1[[#This Row],[Totale uren:]])</f>
        <v/>
      </c>
      <c r="J660" s="68"/>
      <c r="K660" s="31"/>
      <c r="L660" s="86" t="str">
        <f>IF(Tabel1[[#This Row],[% uren 2:]]="","",Tabel1[[#This Row],[% uren 2:]]*Tabel1[[#This Row],[Totale uren:]])</f>
        <v/>
      </c>
      <c r="M660" s="72"/>
      <c r="N660" s="31"/>
      <c r="O660" s="85" t="str">
        <f>IF(Tabel1[[#This Row],[% uren 3:]]="","",Tabel1[[#This Row],[% uren 3:]]*Tabel1[[#This Row],[Totale uren:]])</f>
        <v/>
      </c>
      <c r="P660" s="138" t="str">
        <f>IF(Tabel1[[#This Row],[Ordernummer:]]="","",SUM(Tabel1[[#This Row],[% uren 1:]],Tabel1[[#This Row],[% uren 2:]],Tabel1[[#This Row],[% uren 3:]]))</f>
        <v/>
      </c>
      <c r="Q660" s="127"/>
      <c r="R660" s="128"/>
      <c r="S660" s="44"/>
      <c r="T660" s="25"/>
    </row>
    <row r="661" spans="2:20" x14ac:dyDescent="0.25">
      <c r="B661" s="7"/>
      <c r="C661" s="10"/>
      <c r="D661" s="10"/>
      <c r="E661" s="72"/>
      <c r="F661" s="73"/>
      <c r="G661" s="72"/>
      <c r="H661" s="31"/>
      <c r="I661" s="85" t="str">
        <f>IF(Tabel1[[#This Row],[% uren 1:]]="","",Tabel1[[#This Row],[% uren 1:]]*Tabel1[[#This Row],[Totale uren:]])</f>
        <v/>
      </c>
      <c r="J661" s="68"/>
      <c r="K661" s="31"/>
      <c r="L661" s="86" t="str">
        <f>IF(Tabel1[[#This Row],[% uren 2:]]="","",Tabel1[[#This Row],[% uren 2:]]*Tabel1[[#This Row],[Totale uren:]])</f>
        <v/>
      </c>
      <c r="M661" s="72"/>
      <c r="N661" s="31"/>
      <c r="O661" s="85" t="str">
        <f>IF(Tabel1[[#This Row],[% uren 3:]]="","",Tabel1[[#This Row],[% uren 3:]]*Tabel1[[#This Row],[Totale uren:]])</f>
        <v/>
      </c>
      <c r="P661" s="138" t="str">
        <f>IF(Tabel1[[#This Row],[Ordernummer:]]="","",SUM(Tabel1[[#This Row],[% uren 1:]],Tabel1[[#This Row],[% uren 2:]],Tabel1[[#This Row],[% uren 3:]]))</f>
        <v/>
      </c>
      <c r="Q661" s="127"/>
      <c r="R661" s="128"/>
      <c r="S661" s="44"/>
      <c r="T661" s="25"/>
    </row>
    <row r="662" spans="2:20" x14ac:dyDescent="0.25">
      <c r="B662" s="7"/>
      <c r="C662" s="10"/>
      <c r="D662" s="10"/>
      <c r="E662" s="72"/>
      <c r="F662" s="73"/>
      <c r="G662" s="72"/>
      <c r="H662" s="31"/>
      <c r="I662" s="85" t="str">
        <f>IF(Tabel1[[#This Row],[% uren 1:]]="","",Tabel1[[#This Row],[% uren 1:]]*Tabel1[[#This Row],[Totale uren:]])</f>
        <v/>
      </c>
      <c r="J662" s="68"/>
      <c r="K662" s="31"/>
      <c r="L662" s="86" t="str">
        <f>IF(Tabel1[[#This Row],[% uren 2:]]="","",Tabel1[[#This Row],[% uren 2:]]*Tabel1[[#This Row],[Totale uren:]])</f>
        <v/>
      </c>
      <c r="M662" s="72"/>
      <c r="N662" s="31"/>
      <c r="O662" s="85" t="str">
        <f>IF(Tabel1[[#This Row],[% uren 3:]]="","",Tabel1[[#This Row],[% uren 3:]]*Tabel1[[#This Row],[Totale uren:]])</f>
        <v/>
      </c>
      <c r="P662" s="138" t="str">
        <f>IF(Tabel1[[#This Row],[Ordernummer:]]="","",SUM(Tabel1[[#This Row],[% uren 1:]],Tabel1[[#This Row],[% uren 2:]],Tabel1[[#This Row],[% uren 3:]]))</f>
        <v/>
      </c>
      <c r="Q662" s="127"/>
      <c r="R662" s="128"/>
      <c r="S662" s="44"/>
      <c r="T662" s="25"/>
    </row>
    <row r="663" spans="2:20" x14ac:dyDescent="0.25">
      <c r="B663" s="7"/>
      <c r="C663" s="10"/>
      <c r="D663" s="10"/>
      <c r="E663" s="72"/>
      <c r="F663" s="73"/>
      <c r="G663" s="72"/>
      <c r="H663" s="31"/>
      <c r="I663" s="85" t="str">
        <f>IF(Tabel1[[#This Row],[% uren 1:]]="","",Tabel1[[#This Row],[% uren 1:]]*Tabel1[[#This Row],[Totale uren:]])</f>
        <v/>
      </c>
      <c r="J663" s="68"/>
      <c r="K663" s="31"/>
      <c r="L663" s="86" t="str">
        <f>IF(Tabel1[[#This Row],[% uren 2:]]="","",Tabel1[[#This Row],[% uren 2:]]*Tabel1[[#This Row],[Totale uren:]])</f>
        <v/>
      </c>
      <c r="M663" s="72"/>
      <c r="N663" s="31"/>
      <c r="O663" s="85" t="str">
        <f>IF(Tabel1[[#This Row],[% uren 3:]]="","",Tabel1[[#This Row],[% uren 3:]]*Tabel1[[#This Row],[Totale uren:]])</f>
        <v/>
      </c>
      <c r="P663" s="138" t="str">
        <f>IF(Tabel1[[#This Row],[Ordernummer:]]="","",SUM(Tabel1[[#This Row],[% uren 1:]],Tabel1[[#This Row],[% uren 2:]],Tabel1[[#This Row],[% uren 3:]]))</f>
        <v/>
      </c>
      <c r="Q663" s="127"/>
      <c r="R663" s="128"/>
      <c r="S663" s="44"/>
      <c r="T663" s="25"/>
    </row>
    <row r="664" spans="2:20" x14ac:dyDescent="0.25">
      <c r="B664" s="7"/>
      <c r="C664" s="10"/>
      <c r="D664" s="10"/>
      <c r="E664" s="72"/>
      <c r="F664" s="73"/>
      <c r="G664" s="72"/>
      <c r="H664" s="31"/>
      <c r="I664" s="85" t="str">
        <f>IF(Tabel1[[#This Row],[% uren 1:]]="","",Tabel1[[#This Row],[% uren 1:]]*Tabel1[[#This Row],[Totale uren:]])</f>
        <v/>
      </c>
      <c r="J664" s="68"/>
      <c r="K664" s="31"/>
      <c r="L664" s="86" t="str">
        <f>IF(Tabel1[[#This Row],[% uren 2:]]="","",Tabel1[[#This Row],[% uren 2:]]*Tabel1[[#This Row],[Totale uren:]])</f>
        <v/>
      </c>
      <c r="M664" s="72"/>
      <c r="N664" s="31"/>
      <c r="O664" s="85" t="str">
        <f>IF(Tabel1[[#This Row],[% uren 3:]]="","",Tabel1[[#This Row],[% uren 3:]]*Tabel1[[#This Row],[Totale uren:]])</f>
        <v/>
      </c>
      <c r="P664" s="138" t="str">
        <f>IF(Tabel1[[#This Row],[Ordernummer:]]="","",SUM(Tabel1[[#This Row],[% uren 1:]],Tabel1[[#This Row],[% uren 2:]],Tabel1[[#This Row],[% uren 3:]]))</f>
        <v/>
      </c>
      <c r="Q664" s="127"/>
      <c r="R664" s="128"/>
      <c r="S664" s="44"/>
      <c r="T664" s="25"/>
    </row>
    <row r="665" spans="2:20" x14ac:dyDescent="0.25">
      <c r="B665" s="7"/>
      <c r="C665" s="10"/>
      <c r="D665" s="10"/>
      <c r="E665" s="72"/>
      <c r="F665" s="73"/>
      <c r="G665" s="72"/>
      <c r="H665" s="31"/>
      <c r="I665" s="85" t="str">
        <f>IF(Tabel1[[#This Row],[% uren 1:]]="","",Tabel1[[#This Row],[% uren 1:]]*Tabel1[[#This Row],[Totale uren:]])</f>
        <v/>
      </c>
      <c r="J665" s="68"/>
      <c r="K665" s="31"/>
      <c r="L665" s="86" t="str">
        <f>IF(Tabel1[[#This Row],[% uren 2:]]="","",Tabel1[[#This Row],[% uren 2:]]*Tabel1[[#This Row],[Totale uren:]])</f>
        <v/>
      </c>
      <c r="M665" s="72"/>
      <c r="N665" s="31"/>
      <c r="O665" s="85" t="str">
        <f>IF(Tabel1[[#This Row],[% uren 3:]]="","",Tabel1[[#This Row],[% uren 3:]]*Tabel1[[#This Row],[Totale uren:]])</f>
        <v/>
      </c>
      <c r="P665" s="138" t="str">
        <f>IF(Tabel1[[#This Row],[Ordernummer:]]="","",SUM(Tabel1[[#This Row],[% uren 1:]],Tabel1[[#This Row],[% uren 2:]],Tabel1[[#This Row],[% uren 3:]]))</f>
        <v/>
      </c>
      <c r="Q665" s="127"/>
      <c r="R665" s="128"/>
      <c r="S665" s="44"/>
      <c r="T665" s="25"/>
    </row>
    <row r="666" spans="2:20" x14ac:dyDescent="0.25">
      <c r="B666" s="7"/>
      <c r="C666" s="10"/>
      <c r="D666" s="10"/>
      <c r="E666" s="72"/>
      <c r="F666" s="73"/>
      <c r="G666" s="72"/>
      <c r="H666" s="31"/>
      <c r="I666" s="85" t="str">
        <f>IF(Tabel1[[#This Row],[% uren 1:]]="","",Tabel1[[#This Row],[% uren 1:]]*Tabel1[[#This Row],[Totale uren:]])</f>
        <v/>
      </c>
      <c r="J666" s="68"/>
      <c r="K666" s="31"/>
      <c r="L666" s="86" t="str">
        <f>IF(Tabel1[[#This Row],[% uren 2:]]="","",Tabel1[[#This Row],[% uren 2:]]*Tabel1[[#This Row],[Totale uren:]])</f>
        <v/>
      </c>
      <c r="M666" s="72"/>
      <c r="N666" s="31"/>
      <c r="O666" s="85" t="str">
        <f>IF(Tabel1[[#This Row],[% uren 3:]]="","",Tabel1[[#This Row],[% uren 3:]]*Tabel1[[#This Row],[Totale uren:]])</f>
        <v/>
      </c>
      <c r="P666" s="138" t="str">
        <f>IF(Tabel1[[#This Row],[Ordernummer:]]="","",SUM(Tabel1[[#This Row],[% uren 1:]],Tabel1[[#This Row],[% uren 2:]],Tabel1[[#This Row],[% uren 3:]]))</f>
        <v/>
      </c>
      <c r="Q666" s="127"/>
      <c r="R666" s="128"/>
      <c r="S666" s="44"/>
      <c r="T666" s="25"/>
    </row>
    <row r="667" spans="2:20" x14ac:dyDescent="0.25">
      <c r="B667" s="7"/>
      <c r="C667" s="10"/>
      <c r="D667" s="10"/>
      <c r="E667" s="72"/>
      <c r="F667" s="73"/>
      <c r="G667" s="72"/>
      <c r="H667" s="31"/>
      <c r="I667" s="85" t="str">
        <f>IF(Tabel1[[#This Row],[% uren 1:]]="","",Tabel1[[#This Row],[% uren 1:]]*Tabel1[[#This Row],[Totale uren:]])</f>
        <v/>
      </c>
      <c r="J667" s="68"/>
      <c r="K667" s="31"/>
      <c r="L667" s="86" t="str">
        <f>IF(Tabel1[[#This Row],[% uren 2:]]="","",Tabel1[[#This Row],[% uren 2:]]*Tabel1[[#This Row],[Totale uren:]])</f>
        <v/>
      </c>
      <c r="M667" s="72"/>
      <c r="N667" s="31"/>
      <c r="O667" s="85" t="str">
        <f>IF(Tabel1[[#This Row],[% uren 3:]]="","",Tabel1[[#This Row],[% uren 3:]]*Tabel1[[#This Row],[Totale uren:]])</f>
        <v/>
      </c>
      <c r="P667" s="138" t="str">
        <f>IF(Tabel1[[#This Row],[Ordernummer:]]="","",SUM(Tabel1[[#This Row],[% uren 1:]],Tabel1[[#This Row],[% uren 2:]],Tabel1[[#This Row],[% uren 3:]]))</f>
        <v/>
      </c>
      <c r="Q667" s="127"/>
      <c r="R667" s="128"/>
      <c r="S667" s="44"/>
      <c r="T667" s="25"/>
    </row>
    <row r="668" spans="2:20" x14ac:dyDescent="0.25">
      <c r="B668" s="7"/>
      <c r="C668" s="10"/>
      <c r="D668" s="10"/>
      <c r="E668" s="72"/>
      <c r="F668" s="73"/>
      <c r="G668" s="72"/>
      <c r="H668" s="31"/>
      <c r="I668" s="85" t="str">
        <f>IF(Tabel1[[#This Row],[% uren 1:]]="","",Tabel1[[#This Row],[% uren 1:]]*Tabel1[[#This Row],[Totale uren:]])</f>
        <v/>
      </c>
      <c r="J668" s="68"/>
      <c r="K668" s="31"/>
      <c r="L668" s="86" t="str">
        <f>IF(Tabel1[[#This Row],[% uren 2:]]="","",Tabel1[[#This Row],[% uren 2:]]*Tabel1[[#This Row],[Totale uren:]])</f>
        <v/>
      </c>
      <c r="M668" s="72"/>
      <c r="N668" s="31"/>
      <c r="O668" s="85" t="str">
        <f>IF(Tabel1[[#This Row],[% uren 3:]]="","",Tabel1[[#This Row],[% uren 3:]]*Tabel1[[#This Row],[Totale uren:]])</f>
        <v/>
      </c>
      <c r="P668" s="138" t="str">
        <f>IF(Tabel1[[#This Row],[Ordernummer:]]="","",SUM(Tabel1[[#This Row],[% uren 1:]],Tabel1[[#This Row],[% uren 2:]],Tabel1[[#This Row],[% uren 3:]]))</f>
        <v/>
      </c>
      <c r="Q668" s="127"/>
      <c r="R668" s="128"/>
      <c r="S668" s="44"/>
      <c r="T668" s="25"/>
    </row>
    <row r="669" spans="2:20" x14ac:dyDescent="0.25">
      <c r="B669" s="7"/>
      <c r="C669" s="10"/>
      <c r="D669" s="10"/>
      <c r="E669" s="72"/>
      <c r="F669" s="73"/>
      <c r="G669" s="72"/>
      <c r="H669" s="31"/>
      <c r="I669" s="85" t="str">
        <f>IF(Tabel1[[#This Row],[% uren 1:]]="","",Tabel1[[#This Row],[% uren 1:]]*Tabel1[[#This Row],[Totale uren:]])</f>
        <v/>
      </c>
      <c r="J669" s="68"/>
      <c r="K669" s="31"/>
      <c r="L669" s="86" t="str">
        <f>IF(Tabel1[[#This Row],[% uren 2:]]="","",Tabel1[[#This Row],[% uren 2:]]*Tabel1[[#This Row],[Totale uren:]])</f>
        <v/>
      </c>
      <c r="M669" s="72"/>
      <c r="N669" s="31"/>
      <c r="O669" s="85" t="str">
        <f>IF(Tabel1[[#This Row],[% uren 3:]]="","",Tabel1[[#This Row],[% uren 3:]]*Tabel1[[#This Row],[Totale uren:]])</f>
        <v/>
      </c>
      <c r="P669" s="138" t="str">
        <f>IF(Tabel1[[#This Row],[Ordernummer:]]="","",SUM(Tabel1[[#This Row],[% uren 1:]],Tabel1[[#This Row],[% uren 2:]],Tabel1[[#This Row],[% uren 3:]]))</f>
        <v/>
      </c>
      <c r="Q669" s="127"/>
      <c r="R669" s="128"/>
      <c r="S669" s="44"/>
      <c r="T669" s="25"/>
    </row>
    <row r="670" spans="2:20" x14ac:dyDescent="0.25">
      <c r="B670" s="7"/>
      <c r="C670" s="10"/>
      <c r="D670" s="10"/>
      <c r="E670" s="72"/>
      <c r="F670" s="73"/>
      <c r="G670" s="72"/>
      <c r="H670" s="31"/>
      <c r="I670" s="85" t="str">
        <f>IF(Tabel1[[#This Row],[% uren 1:]]="","",Tabel1[[#This Row],[% uren 1:]]*Tabel1[[#This Row],[Totale uren:]])</f>
        <v/>
      </c>
      <c r="J670" s="68"/>
      <c r="K670" s="31"/>
      <c r="L670" s="86" t="str">
        <f>IF(Tabel1[[#This Row],[% uren 2:]]="","",Tabel1[[#This Row],[% uren 2:]]*Tabel1[[#This Row],[Totale uren:]])</f>
        <v/>
      </c>
      <c r="M670" s="72"/>
      <c r="N670" s="31"/>
      <c r="O670" s="85" t="str">
        <f>IF(Tabel1[[#This Row],[% uren 3:]]="","",Tabel1[[#This Row],[% uren 3:]]*Tabel1[[#This Row],[Totale uren:]])</f>
        <v/>
      </c>
      <c r="P670" s="138" t="str">
        <f>IF(Tabel1[[#This Row],[Ordernummer:]]="","",SUM(Tabel1[[#This Row],[% uren 1:]],Tabel1[[#This Row],[% uren 2:]],Tabel1[[#This Row],[% uren 3:]]))</f>
        <v/>
      </c>
      <c r="Q670" s="127"/>
      <c r="R670" s="128"/>
      <c r="S670" s="44"/>
      <c r="T670" s="25"/>
    </row>
    <row r="671" spans="2:20" x14ac:dyDescent="0.25">
      <c r="B671" s="7"/>
      <c r="C671" s="10"/>
      <c r="D671" s="10"/>
      <c r="E671" s="72"/>
      <c r="F671" s="73"/>
      <c r="G671" s="72"/>
      <c r="H671" s="31"/>
      <c r="I671" s="85" t="str">
        <f>IF(Tabel1[[#This Row],[% uren 1:]]="","",Tabel1[[#This Row],[% uren 1:]]*Tabel1[[#This Row],[Totale uren:]])</f>
        <v/>
      </c>
      <c r="J671" s="68"/>
      <c r="K671" s="31"/>
      <c r="L671" s="86" t="str">
        <f>IF(Tabel1[[#This Row],[% uren 2:]]="","",Tabel1[[#This Row],[% uren 2:]]*Tabel1[[#This Row],[Totale uren:]])</f>
        <v/>
      </c>
      <c r="M671" s="72"/>
      <c r="N671" s="31"/>
      <c r="O671" s="85" t="str">
        <f>IF(Tabel1[[#This Row],[% uren 3:]]="","",Tabel1[[#This Row],[% uren 3:]]*Tabel1[[#This Row],[Totale uren:]])</f>
        <v/>
      </c>
      <c r="P671" s="138" t="str">
        <f>IF(Tabel1[[#This Row],[Ordernummer:]]="","",SUM(Tabel1[[#This Row],[% uren 1:]],Tabel1[[#This Row],[% uren 2:]],Tabel1[[#This Row],[% uren 3:]]))</f>
        <v/>
      </c>
      <c r="Q671" s="127"/>
      <c r="R671" s="128"/>
      <c r="S671" s="44"/>
      <c r="T671" s="25"/>
    </row>
    <row r="672" spans="2:20" x14ac:dyDescent="0.25">
      <c r="B672" s="7"/>
      <c r="C672" s="10"/>
      <c r="D672" s="10"/>
      <c r="E672" s="72"/>
      <c r="F672" s="73"/>
      <c r="G672" s="72"/>
      <c r="H672" s="31"/>
      <c r="I672" s="85" t="str">
        <f>IF(Tabel1[[#This Row],[% uren 1:]]="","",Tabel1[[#This Row],[% uren 1:]]*Tabel1[[#This Row],[Totale uren:]])</f>
        <v/>
      </c>
      <c r="J672" s="68"/>
      <c r="K672" s="31"/>
      <c r="L672" s="86" t="str">
        <f>IF(Tabel1[[#This Row],[% uren 2:]]="","",Tabel1[[#This Row],[% uren 2:]]*Tabel1[[#This Row],[Totale uren:]])</f>
        <v/>
      </c>
      <c r="M672" s="72"/>
      <c r="N672" s="31"/>
      <c r="O672" s="85" t="str">
        <f>IF(Tabel1[[#This Row],[% uren 3:]]="","",Tabel1[[#This Row],[% uren 3:]]*Tabel1[[#This Row],[Totale uren:]])</f>
        <v/>
      </c>
      <c r="P672" s="138" t="str">
        <f>IF(Tabel1[[#This Row],[Ordernummer:]]="","",SUM(Tabel1[[#This Row],[% uren 1:]],Tabel1[[#This Row],[% uren 2:]],Tabel1[[#This Row],[% uren 3:]]))</f>
        <v/>
      </c>
      <c r="Q672" s="127"/>
      <c r="R672" s="128"/>
      <c r="S672" s="44"/>
      <c r="T672" s="25"/>
    </row>
    <row r="673" spans="2:20" x14ac:dyDescent="0.25">
      <c r="B673" s="7"/>
      <c r="C673" s="10"/>
      <c r="D673" s="10"/>
      <c r="E673" s="72"/>
      <c r="F673" s="73"/>
      <c r="G673" s="72"/>
      <c r="H673" s="31"/>
      <c r="I673" s="85" t="str">
        <f>IF(Tabel1[[#This Row],[% uren 1:]]="","",Tabel1[[#This Row],[% uren 1:]]*Tabel1[[#This Row],[Totale uren:]])</f>
        <v/>
      </c>
      <c r="J673" s="68"/>
      <c r="K673" s="31"/>
      <c r="L673" s="86" t="str">
        <f>IF(Tabel1[[#This Row],[% uren 2:]]="","",Tabel1[[#This Row],[% uren 2:]]*Tabel1[[#This Row],[Totale uren:]])</f>
        <v/>
      </c>
      <c r="M673" s="72"/>
      <c r="N673" s="31"/>
      <c r="O673" s="85" t="str">
        <f>IF(Tabel1[[#This Row],[% uren 3:]]="","",Tabel1[[#This Row],[% uren 3:]]*Tabel1[[#This Row],[Totale uren:]])</f>
        <v/>
      </c>
      <c r="P673" s="138" t="str">
        <f>IF(Tabel1[[#This Row],[Ordernummer:]]="","",SUM(Tabel1[[#This Row],[% uren 1:]],Tabel1[[#This Row],[% uren 2:]],Tabel1[[#This Row],[% uren 3:]]))</f>
        <v/>
      </c>
      <c r="Q673" s="127"/>
      <c r="R673" s="128"/>
      <c r="S673" s="44"/>
      <c r="T673" s="25"/>
    </row>
    <row r="674" spans="2:20" x14ac:dyDescent="0.25">
      <c r="B674" s="7"/>
      <c r="C674" s="10"/>
      <c r="D674" s="10"/>
      <c r="E674" s="72"/>
      <c r="F674" s="73"/>
      <c r="G674" s="72"/>
      <c r="H674" s="31"/>
      <c r="I674" s="85" t="str">
        <f>IF(Tabel1[[#This Row],[% uren 1:]]="","",Tabel1[[#This Row],[% uren 1:]]*Tabel1[[#This Row],[Totale uren:]])</f>
        <v/>
      </c>
      <c r="J674" s="68"/>
      <c r="K674" s="31"/>
      <c r="L674" s="86" t="str">
        <f>IF(Tabel1[[#This Row],[% uren 2:]]="","",Tabel1[[#This Row],[% uren 2:]]*Tabel1[[#This Row],[Totale uren:]])</f>
        <v/>
      </c>
      <c r="M674" s="72"/>
      <c r="N674" s="31"/>
      <c r="O674" s="85" t="str">
        <f>IF(Tabel1[[#This Row],[% uren 3:]]="","",Tabel1[[#This Row],[% uren 3:]]*Tabel1[[#This Row],[Totale uren:]])</f>
        <v/>
      </c>
      <c r="P674" s="138" t="str">
        <f>IF(Tabel1[[#This Row],[Ordernummer:]]="","",SUM(Tabel1[[#This Row],[% uren 1:]],Tabel1[[#This Row],[% uren 2:]],Tabel1[[#This Row],[% uren 3:]]))</f>
        <v/>
      </c>
      <c r="Q674" s="127"/>
      <c r="R674" s="128"/>
      <c r="S674" s="44"/>
      <c r="T674" s="25"/>
    </row>
    <row r="675" spans="2:20" x14ac:dyDescent="0.25">
      <c r="B675" s="7"/>
      <c r="C675" s="10"/>
      <c r="D675" s="10"/>
      <c r="E675" s="72"/>
      <c r="F675" s="73"/>
      <c r="G675" s="72"/>
      <c r="H675" s="31"/>
      <c r="I675" s="85" t="str">
        <f>IF(Tabel1[[#This Row],[% uren 1:]]="","",Tabel1[[#This Row],[% uren 1:]]*Tabel1[[#This Row],[Totale uren:]])</f>
        <v/>
      </c>
      <c r="J675" s="68"/>
      <c r="K675" s="31"/>
      <c r="L675" s="86" t="str">
        <f>IF(Tabel1[[#This Row],[% uren 2:]]="","",Tabel1[[#This Row],[% uren 2:]]*Tabel1[[#This Row],[Totale uren:]])</f>
        <v/>
      </c>
      <c r="M675" s="72"/>
      <c r="N675" s="31"/>
      <c r="O675" s="85" t="str">
        <f>IF(Tabel1[[#This Row],[% uren 3:]]="","",Tabel1[[#This Row],[% uren 3:]]*Tabel1[[#This Row],[Totale uren:]])</f>
        <v/>
      </c>
      <c r="P675" s="138" t="str">
        <f>IF(Tabel1[[#This Row],[Ordernummer:]]="","",SUM(Tabel1[[#This Row],[% uren 1:]],Tabel1[[#This Row],[% uren 2:]],Tabel1[[#This Row],[% uren 3:]]))</f>
        <v/>
      </c>
      <c r="Q675" s="127"/>
      <c r="R675" s="128"/>
      <c r="S675" s="44"/>
      <c r="T675" s="25"/>
    </row>
    <row r="676" spans="2:20" x14ac:dyDescent="0.25">
      <c r="B676" s="7"/>
      <c r="C676" s="10"/>
      <c r="D676" s="10"/>
      <c r="E676" s="72"/>
      <c r="F676" s="73"/>
      <c r="G676" s="72"/>
      <c r="H676" s="31"/>
      <c r="I676" s="85" t="str">
        <f>IF(Tabel1[[#This Row],[% uren 1:]]="","",Tabel1[[#This Row],[% uren 1:]]*Tabel1[[#This Row],[Totale uren:]])</f>
        <v/>
      </c>
      <c r="J676" s="68"/>
      <c r="K676" s="31"/>
      <c r="L676" s="86" t="str">
        <f>IF(Tabel1[[#This Row],[% uren 2:]]="","",Tabel1[[#This Row],[% uren 2:]]*Tabel1[[#This Row],[Totale uren:]])</f>
        <v/>
      </c>
      <c r="M676" s="72"/>
      <c r="N676" s="31"/>
      <c r="O676" s="85" t="str">
        <f>IF(Tabel1[[#This Row],[% uren 3:]]="","",Tabel1[[#This Row],[% uren 3:]]*Tabel1[[#This Row],[Totale uren:]])</f>
        <v/>
      </c>
      <c r="P676" s="138" t="str">
        <f>IF(Tabel1[[#This Row],[Ordernummer:]]="","",SUM(Tabel1[[#This Row],[% uren 1:]],Tabel1[[#This Row],[% uren 2:]],Tabel1[[#This Row],[% uren 3:]]))</f>
        <v/>
      </c>
      <c r="Q676" s="127"/>
      <c r="R676" s="128"/>
      <c r="S676" s="44"/>
      <c r="T676" s="25"/>
    </row>
    <row r="677" spans="2:20" x14ac:dyDescent="0.25">
      <c r="B677" s="7"/>
      <c r="C677" s="10"/>
      <c r="D677" s="10"/>
      <c r="E677" s="72"/>
      <c r="F677" s="73"/>
      <c r="G677" s="72"/>
      <c r="H677" s="31"/>
      <c r="I677" s="85" t="str">
        <f>IF(Tabel1[[#This Row],[% uren 1:]]="","",Tabel1[[#This Row],[% uren 1:]]*Tabel1[[#This Row],[Totale uren:]])</f>
        <v/>
      </c>
      <c r="J677" s="68"/>
      <c r="K677" s="31"/>
      <c r="L677" s="86" t="str">
        <f>IF(Tabel1[[#This Row],[% uren 2:]]="","",Tabel1[[#This Row],[% uren 2:]]*Tabel1[[#This Row],[Totale uren:]])</f>
        <v/>
      </c>
      <c r="M677" s="72"/>
      <c r="N677" s="31"/>
      <c r="O677" s="85" t="str">
        <f>IF(Tabel1[[#This Row],[% uren 3:]]="","",Tabel1[[#This Row],[% uren 3:]]*Tabel1[[#This Row],[Totale uren:]])</f>
        <v/>
      </c>
      <c r="P677" s="138" t="str">
        <f>IF(Tabel1[[#This Row],[Ordernummer:]]="","",SUM(Tabel1[[#This Row],[% uren 1:]],Tabel1[[#This Row],[% uren 2:]],Tabel1[[#This Row],[% uren 3:]]))</f>
        <v/>
      </c>
      <c r="Q677" s="127"/>
      <c r="R677" s="128"/>
      <c r="S677" s="44"/>
      <c r="T677" s="25"/>
    </row>
    <row r="678" spans="2:20" x14ac:dyDescent="0.25">
      <c r="B678" s="7"/>
      <c r="C678" s="10"/>
      <c r="D678" s="10"/>
      <c r="E678" s="72"/>
      <c r="F678" s="73"/>
      <c r="G678" s="72"/>
      <c r="H678" s="31"/>
      <c r="I678" s="85" t="str">
        <f>IF(Tabel1[[#This Row],[% uren 1:]]="","",Tabel1[[#This Row],[% uren 1:]]*Tabel1[[#This Row],[Totale uren:]])</f>
        <v/>
      </c>
      <c r="J678" s="68"/>
      <c r="K678" s="31"/>
      <c r="L678" s="86" t="str">
        <f>IF(Tabel1[[#This Row],[% uren 2:]]="","",Tabel1[[#This Row],[% uren 2:]]*Tabel1[[#This Row],[Totale uren:]])</f>
        <v/>
      </c>
      <c r="M678" s="72"/>
      <c r="N678" s="31"/>
      <c r="O678" s="85" t="str">
        <f>IF(Tabel1[[#This Row],[% uren 3:]]="","",Tabel1[[#This Row],[% uren 3:]]*Tabel1[[#This Row],[Totale uren:]])</f>
        <v/>
      </c>
      <c r="P678" s="138" t="str">
        <f>IF(Tabel1[[#This Row],[Ordernummer:]]="","",SUM(Tabel1[[#This Row],[% uren 1:]],Tabel1[[#This Row],[% uren 2:]],Tabel1[[#This Row],[% uren 3:]]))</f>
        <v/>
      </c>
      <c r="Q678" s="127"/>
      <c r="R678" s="128"/>
      <c r="S678" s="44"/>
      <c r="T678" s="25"/>
    </row>
    <row r="679" spans="2:20" x14ac:dyDescent="0.25">
      <c r="B679" s="7"/>
      <c r="C679" s="10"/>
      <c r="D679" s="10"/>
      <c r="E679" s="72"/>
      <c r="F679" s="73"/>
      <c r="G679" s="72"/>
      <c r="H679" s="31"/>
      <c r="I679" s="85" t="str">
        <f>IF(Tabel1[[#This Row],[% uren 1:]]="","",Tabel1[[#This Row],[% uren 1:]]*Tabel1[[#This Row],[Totale uren:]])</f>
        <v/>
      </c>
      <c r="J679" s="68"/>
      <c r="K679" s="31"/>
      <c r="L679" s="86" t="str">
        <f>IF(Tabel1[[#This Row],[% uren 2:]]="","",Tabel1[[#This Row],[% uren 2:]]*Tabel1[[#This Row],[Totale uren:]])</f>
        <v/>
      </c>
      <c r="M679" s="72"/>
      <c r="N679" s="31"/>
      <c r="O679" s="85" t="str">
        <f>IF(Tabel1[[#This Row],[% uren 3:]]="","",Tabel1[[#This Row],[% uren 3:]]*Tabel1[[#This Row],[Totale uren:]])</f>
        <v/>
      </c>
      <c r="P679" s="138" t="str">
        <f>IF(Tabel1[[#This Row],[Ordernummer:]]="","",SUM(Tabel1[[#This Row],[% uren 1:]],Tabel1[[#This Row],[% uren 2:]],Tabel1[[#This Row],[% uren 3:]]))</f>
        <v/>
      </c>
      <c r="Q679" s="127"/>
      <c r="R679" s="128"/>
      <c r="S679" s="44"/>
      <c r="T679" s="25"/>
    </row>
    <row r="680" spans="2:20" x14ac:dyDescent="0.25">
      <c r="B680" s="7"/>
      <c r="C680" s="10"/>
      <c r="D680" s="10"/>
      <c r="E680" s="72"/>
      <c r="F680" s="73"/>
      <c r="G680" s="72"/>
      <c r="H680" s="31"/>
      <c r="I680" s="85" t="str">
        <f>IF(Tabel1[[#This Row],[% uren 1:]]="","",Tabel1[[#This Row],[% uren 1:]]*Tabel1[[#This Row],[Totale uren:]])</f>
        <v/>
      </c>
      <c r="J680" s="68"/>
      <c r="K680" s="31"/>
      <c r="L680" s="86" t="str">
        <f>IF(Tabel1[[#This Row],[% uren 2:]]="","",Tabel1[[#This Row],[% uren 2:]]*Tabel1[[#This Row],[Totale uren:]])</f>
        <v/>
      </c>
      <c r="M680" s="72"/>
      <c r="N680" s="31"/>
      <c r="O680" s="85" t="str">
        <f>IF(Tabel1[[#This Row],[% uren 3:]]="","",Tabel1[[#This Row],[% uren 3:]]*Tabel1[[#This Row],[Totale uren:]])</f>
        <v/>
      </c>
      <c r="P680" s="138" t="str">
        <f>IF(Tabel1[[#This Row],[Ordernummer:]]="","",SUM(Tabel1[[#This Row],[% uren 1:]],Tabel1[[#This Row],[% uren 2:]],Tabel1[[#This Row],[% uren 3:]]))</f>
        <v/>
      </c>
      <c r="Q680" s="127"/>
      <c r="R680" s="128"/>
      <c r="S680" s="44"/>
      <c r="T680" s="25"/>
    </row>
    <row r="681" spans="2:20" x14ac:dyDescent="0.25">
      <c r="B681" s="7"/>
      <c r="C681" s="10"/>
      <c r="D681" s="10"/>
      <c r="E681" s="72"/>
      <c r="F681" s="73"/>
      <c r="G681" s="72"/>
      <c r="H681" s="31"/>
      <c r="I681" s="85" t="str">
        <f>IF(Tabel1[[#This Row],[% uren 1:]]="","",Tabel1[[#This Row],[% uren 1:]]*Tabel1[[#This Row],[Totale uren:]])</f>
        <v/>
      </c>
      <c r="J681" s="68"/>
      <c r="K681" s="31"/>
      <c r="L681" s="86" t="str">
        <f>IF(Tabel1[[#This Row],[% uren 2:]]="","",Tabel1[[#This Row],[% uren 2:]]*Tabel1[[#This Row],[Totale uren:]])</f>
        <v/>
      </c>
      <c r="M681" s="72"/>
      <c r="N681" s="31"/>
      <c r="O681" s="85" t="str">
        <f>IF(Tabel1[[#This Row],[% uren 3:]]="","",Tabel1[[#This Row],[% uren 3:]]*Tabel1[[#This Row],[Totale uren:]])</f>
        <v/>
      </c>
      <c r="P681" s="138" t="str">
        <f>IF(Tabel1[[#This Row],[Ordernummer:]]="","",SUM(Tabel1[[#This Row],[% uren 1:]],Tabel1[[#This Row],[% uren 2:]],Tabel1[[#This Row],[% uren 3:]]))</f>
        <v/>
      </c>
      <c r="Q681" s="127"/>
      <c r="R681" s="128"/>
      <c r="S681" s="44"/>
      <c r="T681" s="25"/>
    </row>
    <row r="682" spans="2:20" x14ac:dyDescent="0.25">
      <c r="B682" s="7"/>
      <c r="C682" s="10"/>
      <c r="D682" s="10"/>
      <c r="E682" s="72"/>
      <c r="F682" s="73"/>
      <c r="G682" s="72"/>
      <c r="H682" s="31"/>
      <c r="I682" s="85" t="str">
        <f>IF(Tabel1[[#This Row],[% uren 1:]]="","",Tabel1[[#This Row],[% uren 1:]]*Tabel1[[#This Row],[Totale uren:]])</f>
        <v/>
      </c>
      <c r="J682" s="68"/>
      <c r="K682" s="31"/>
      <c r="L682" s="86" t="str">
        <f>IF(Tabel1[[#This Row],[% uren 2:]]="","",Tabel1[[#This Row],[% uren 2:]]*Tabel1[[#This Row],[Totale uren:]])</f>
        <v/>
      </c>
      <c r="M682" s="72"/>
      <c r="N682" s="31"/>
      <c r="O682" s="85" t="str">
        <f>IF(Tabel1[[#This Row],[% uren 3:]]="","",Tabel1[[#This Row],[% uren 3:]]*Tabel1[[#This Row],[Totale uren:]])</f>
        <v/>
      </c>
      <c r="P682" s="138" t="str">
        <f>IF(Tabel1[[#This Row],[Ordernummer:]]="","",SUM(Tabel1[[#This Row],[% uren 1:]],Tabel1[[#This Row],[% uren 2:]],Tabel1[[#This Row],[% uren 3:]]))</f>
        <v/>
      </c>
      <c r="Q682" s="127"/>
      <c r="R682" s="128"/>
      <c r="S682" s="44"/>
      <c r="T682" s="25"/>
    </row>
    <row r="683" spans="2:20" x14ac:dyDescent="0.25">
      <c r="B683" s="7"/>
      <c r="C683" s="10"/>
      <c r="D683" s="10"/>
      <c r="E683" s="72"/>
      <c r="F683" s="73"/>
      <c r="G683" s="72"/>
      <c r="H683" s="31"/>
      <c r="I683" s="85" t="str">
        <f>IF(Tabel1[[#This Row],[% uren 1:]]="","",Tabel1[[#This Row],[% uren 1:]]*Tabel1[[#This Row],[Totale uren:]])</f>
        <v/>
      </c>
      <c r="J683" s="68"/>
      <c r="K683" s="31"/>
      <c r="L683" s="86" t="str">
        <f>IF(Tabel1[[#This Row],[% uren 2:]]="","",Tabel1[[#This Row],[% uren 2:]]*Tabel1[[#This Row],[Totale uren:]])</f>
        <v/>
      </c>
      <c r="M683" s="72"/>
      <c r="N683" s="31"/>
      <c r="O683" s="85" t="str">
        <f>IF(Tabel1[[#This Row],[% uren 3:]]="","",Tabel1[[#This Row],[% uren 3:]]*Tabel1[[#This Row],[Totale uren:]])</f>
        <v/>
      </c>
      <c r="P683" s="138" t="str">
        <f>IF(Tabel1[[#This Row],[Ordernummer:]]="","",SUM(Tabel1[[#This Row],[% uren 1:]],Tabel1[[#This Row],[% uren 2:]],Tabel1[[#This Row],[% uren 3:]]))</f>
        <v/>
      </c>
      <c r="Q683" s="127"/>
      <c r="R683" s="128"/>
      <c r="S683" s="44"/>
      <c r="T683" s="25"/>
    </row>
    <row r="684" spans="2:20" x14ac:dyDescent="0.25">
      <c r="B684" s="7"/>
      <c r="C684" s="10"/>
      <c r="D684" s="10"/>
      <c r="E684" s="72"/>
      <c r="F684" s="73"/>
      <c r="G684" s="72"/>
      <c r="H684" s="31"/>
      <c r="I684" s="85" t="str">
        <f>IF(Tabel1[[#This Row],[% uren 1:]]="","",Tabel1[[#This Row],[% uren 1:]]*Tabel1[[#This Row],[Totale uren:]])</f>
        <v/>
      </c>
      <c r="J684" s="68"/>
      <c r="K684" s="31"/>
      <c r="L684" s="86" t="str">
        <f>IF(Tabel1[[#This Row],[% uren 2:]]="","",Tabel1[[#This Row],[% uren 2:]]*Tabel1[[#This Row],[Totale uren:]])</f>
        <v/>
      </c>
      <c r="M684" s="72"/>
      <c r="N684" s="31"/>
      <c r="O684" s="85" t="str">
        <f>IF(Tabel1[[#This Row],[% uren 3:]]="","",Tabel1[[#This Row],[% uren 3:]]*Tabel1[[#This Row],[Totale uren:]])</f>
        <v/>
      </c>
      <c r="P684" s="138" t="str">
        <f>IF(Tabel1[[#This Row],[Ordernummer:]]="","",SUM(Tabel1[[#This Row],[% uren 1:]],Tabel1[[#This Row],[% uren 2:]],Tabel1[[#This Row],[% uren 3:]]))</f>
        <v/>
      </c>
      <c r="Q684" s="127"/>
      <c r="R684" s="128"/>
      <c r="S684" s="44"/>
      <c r="T684" s="25"/>
    </row>
    <row r="685" spans="2:20" x14ac:dyDescent="0.25">
      <c r="B685" s="7"/>
      <c r="C685" s="10"/>
      <c r="D685" s="10"/>
      <c r="E685" s="72"/>
      <c r="F685" s="73"/>
      <c r="G685" s="72"/>
      <c r="H685" s="31"/>
      <c r="I685" s="85" t="str">
        <f>IF(Tabel1[[#This Row],[% uren 1:]]="","",Tabel1[[#This Row],[% uren 1:]]*Tabel1[[#This Row],[Totale uren:]])</f>
        <v/>
      </c>
      <c r="J685" s="68"/>
      <c r="K685" s="31"/>
      <c r="L685" s="86" t="str">
        <f>IF(Tabel1[[#This Row],[% uren 2:]]="","",Tabel1[[#This Row],[% uren 2:]]*Tabel1[[#This Row],[Totale uren:]])</f>
        <v/>
      </c>
      <c r="M685" s="72"/>
      <c r="N685" s="31"/>
      <c r="O685" s="85" t="str">
        <f>IF(Tabel1[[#This Row],[% uren 3:]]="","",Tabel1[[#This Row],[% uren 3:]]*Tabel1[[#This Row],[Totale uren:]])</f>
        <v/>
      </c>
      <c r="P685" s="138" t="str">
        <f>IF(Tabel1[[#This Row],[Ordernummer:]]="","",SUM(Tabel1[[#This Row],[% uren 1:]],Tabel1[[#This Row],[% uren 2:]],Tabel1[[#This Row],[% uren 3:]]))</f>
        <v/>
      </c>
      <c r="Q685" s="127"/>
      <c r="R685" s="128"/>
      <c r="S685" s="44"/>
      <c r="T685" s="25"/>
    </row>
    <row r="686" spans="2:20" x14ac:dyDescent="0.25">
      <c r="B686" s="7"/>
      <c r="C686" s="10"/>
      <c r="D686" s="10"/>
      <c r="E686" s="72"/>
      <c r="F686" s="73"/>
      <c r="G686" s="72"/>
      <c r="H686" s="31"/>
      <c r="I686" s="85" t="str">
        <f>IF(Tabel1[[#This Row],[% uren 1:]]="","",Tabel1[[#This Row],[% uren 1:]]*Tabel1[[#This Row],[Totale uren:]])</f>
        <v/>
      </c>
      <c r="J686" s="68"/>
      <c r="K686" s="31"/>
      <c r="L686" s="86" t="str">
        <f>IF(Tabel1[[#This Row],[% uren 2:]]="","",Tabel1[[#This Row],[% uren 2:]]*Tabel1[[#This Row],[Totale uren:]])</f>
        <v/>
      </c>
      <c r="M686" s="72"/>
      <c r="N686" s="31"/>
      <c r="O686" s="85" t="str">
        <f>IF(Tabel1[[#This Row],[% uren 3:]]="","",Tabel1[[#This Row],[% uren 3:]]*Tabel1[[#This Row],[Totale uren:]])</f>
        <v/>
      </c>
      <c r="P686" s="138" t="str">
        <f>IF(Tabel1[[#This Row],[Ordernummer:]]="","",SUM(Tabel1[[#This Row],[% uren 1:]],Tabel1[[#This Row],[% uren 2:]],Tabel1[[#This Row],[% uren 3:]]))</f>
        <v/>
      </c>
      <c r="Q686" s="127"/>
      <c r="R686" s="128"/>
      <c r="S686" s="44"/>
      <c r="T686" s="25"/>
    </row>
    <row r="687" spans="2:20" x14ac:dyDescent="0.25">
      <c r="B687" s="7"/>
      <c r="C687" s="10"/>
      <c r="D687" s="10"/>
      <c r="E687" s="72"/>
      <c r="F687" s="73"/>
      <c r="G687" s="72"/>
      <c r="H687" s="31"/>
      <c r="I687" s="85" t="str">
        <f>IF(Tabel1[[#This Row],[% uren 1:]]="","",Tabel1[[#This Row],[% uren 1:]]*Tabel1[[#This Row],[Totale uren:]])</f>
        <v/>
      </c>
      <c r="J687" s="68"/>
      <c r="K687" s="31"/>
      <c r="L687" s="86" t="str">
        <f>IF(Tabel1[[#This Row],[% uren 2:]]="","",Tabel1[[#This Row],[% uren 2:]]*Tabel1[[#This Row],[Totale uren:]])</f>
        <v/>
      </c>
      <c r="M687" s="72"/>
      <c r="N687" s="31"/>
      <c r="O687" s="85" t="str">
        <f>IF(Tabel1[[#This Row],[% uren 3:]]="","",Tabel1[[#This Row],[% uren 3:]]*Tabel1[[#This Row],[Totale uren:]])</f>
        <v/>
      </c>
      <c r="P687" s="138" t="str">
        <f>IF(Tabel1[[#This Row],[Ordernummer:]]="","",SUM(Tabel1[[#This Row],[% uren 1:]],Tabel1[[#This Row],[% uren 2:]],Tabel1[[#This Row],[% uren 3:]]))</f>
        <v/>
      </c>
      <c r="Q687" s="127"/>
      <c r="R687" s="128"/>
      <c r="S687" s="44"/>
      <c r="T687" s="25"/>
    </row>
    <row r="688" spans="2:20" x14ac:dyDescent="0.25">
      <c r="B688" s="7"/>
      <c r="C688" s="10"/>
      <c r="D688" s="10"/>
      <c r="E688" s="72"/>
      <c r="F688" s="73"/>
      <c r="G688" s="72"/>
      <c r="H688" s="31"/>
      <c r="I688" s="85" t="str">
        <f>IF(Tabel1[[#This Row],[% uren 1:]]="","",Tabel1[[#This Row],[% uren 1:]]*Tabel1[[#This Row],[Totale uren:]])</f>
        <v/>
      </c>
      <c r="J688" s="68"/>
      <c r="K688" s="31"/>
      <c r="L688" s="86" t="str">
        <f>IF(Tabel1[[#This Row],[% uren 2:]]="","",Tabel1[[#This Row],[% uren 2:]]*Tabel1[[#This Row],[Totale uren:]])</f>
        <v/>
      </c>
      <c r="M688" s="72"/>
      <c r="N688" s="31"/>
      <c r="O688" s="85" t="str">
        <f>IF(Tabel1[[#This Row],[% uren 3:]]="","",Tabel1[[#This Row],[% uren 3:]]*Tabel1[[#This Row],[Totale uren:]])</f>
        <v/>
      </c>
      <c r="P688" s="138" t="str">
        <f>IF(Tabel1[[#This Row],[Ordernummer:]]="","",SUM(Tabel1[[#This Row],[% uren 1:]],Tabel1[[#This Row],[% uren 2:]],Tabel1[[#This Row],[% uren 3:]]))</f>
        <v/>
      </c>
      <c r="Q688" s="127"/>
      <c r="R688" s="128"/>
      <c r="S688" s="44"/>
      <c r="T688" s="25"/>
    </row>
    <row r="689" spans="2:20" x14ac:dyDescent="0.25">
      <c r="B689" s="7"/>
      <c r="C689" s="10"/>
      <c r="D689" s="10"/>
      <c r="E689" s="72"/>
      <c r="F689" s="73"/>
      <c r="G689" s="72"/>
      <c r="H689" s="31"/>
      <c r="I689" s="85" t="str">
        <f>IF(Tabel1[[#This Row],[% uren 1:]]="","",Tabel1[[#This Row],[% uren 1:]]*Tabel1[[#This Row],[Totale uren:]])</f>
        <v/>
      </c>
      <c r="J689" s="68"/>
      <c r="K689" s="31"/>
      <c r="L689" s="86" t="str">
        <f>IF(Tabel1[[#This Row],[% uren 2:]]="","",Tabel1[[#This Row],[% uren 2:]]*Tabel1[[#This Row],[Totale uren:]])</f>
        <v/>
      </c>
      <c r="M689" s="72"/>
      <c r="N689" s="31"/>
      <c r="O689" s="85" t="str">
        <f>IF(Tabel1[[#This Row],[% uren 3:]]="","",Tabel1[[#This Row],[% uren 3:]]*Tabel1[[#This Row],[Totale uren:]])</f>
        <v/>
      </c>
      <c r="P689" s="138" t="str">
        <f>IF(Tabel1[[#This Row],[Ordernummer:]]="","",SUM(Tabel1[[#This Row],[% uren 1:]],Tabel1[[#This Row],[% uren 2:]],Tabel1[[#This Row],[% uren 3:]]))</f>
        <v/>
      </c>
      <c r="Q689" s="127"/>
      <c r="R689" s="128"/>
      <c r="S689" s="44"/>
      <c r="T689" s="25"/>
    </row>
    <row r="690" spans="2:20" x14ac:dyDescent="0.25">
      <c r="B690" s="7"/>
      <c r="C690" s="10"/>
      <c r="D690" s="10"/>
      <c r="E690" s="72"/>
      <c r="F690" s="73"/>
      <c r="G690" s="72"/>
      <c r="H690" s="31"/>
      <c r="I690" s="85" t="str">
        <f>IF(Tabel1[[#This Row],[% uren 1:]]="","",Tabel1[[#This Row],[% uren 1:]]*Tabel1[[#This Row],[Totale uren:]])</f>
        <v/>
      </c>
      <c r="J690" s="68"/>
      <c r="K690" s="31"/>
      <c r="L690" s="86" t="str">
        <f>IF(Tabel1[[#This Row],[% uren 2:]]="","",Tabel1[[#This Row],[% uren 2:]]*Tabel1[[#This Row],[Totale uren:]])</f>
        <v/>
      </c>
      <c r="M690" s="72"/>
      <c r="N690" s="31"/>
      <c r="O690" s="85" t="str">
        <f>IF(Tabel1[[#This Row],[% uren 3:]]="","",Tabel1[[#This Row],[% uren 3:]]*Tabel1[[#This Row],[Totale uren:]])</f>
        <v/>
      </c>
      <c r="P690" s="138" t="str">
        <f>IF(Tabel1[[#This Row],[Ordernummer:]]="","",SUM(Tabel1[[#This Row],[% uren 1:]],Tabel1[[#This Row],[% uren 2:]],Tabel1[[#This Row],[% uren 3:]]))</f>
        <v/>
      </c>
      <c r="Q690" s="127"/>
      <c r="R690" s="128"/>
      <c r="S690" s="44"/>
      <c r="T690" s="25"/>
    </row>
    <row r="691" spans="2:20" x14ac:dyDescent="0.25">
      <c r="B691" s="7"/>
      <c r="C691" s="10"/>
      <c r="D691" s="10"/>
      <c r="E691" s="72"/>
      <c r="F691" s="73"/>
      <c r="G691" s="72"/>
      <c r="H691" s="31"/>
      <c r="I691" s="85" t="str">
        <f>IF(Tabel1[[#This Row],[% uren 1:]]="","",Tabel1[[#This Row],[% uren 1:]]*Tabel1[[#This Row],[Totale uren:]])</f>
        <v/>
      </c>
      <c r="J691" s="68"/>
      <c r="K691" s="31"/>
      <c r="L691" s="86" t="str">
        <f>IF(Tabel1[[#This Row],[% uren 2:]]="","",Tabel1[[#This Row],[% uren 2:]]*Tabel1[[#This Row],[Totale uren:]])</f>
        <v/>
      </c>
      <c r="M691" s="72"/>
      <c r="N691" s="31"/>
      <c r="O691" s="85" t="str">
        <f>IF(Tabel1[[#This Row],[% uren 3:]]="","",Tabel1[[#This Row],[% uren 3:]]*Tabel1[[#This Row],[Totale uren:]])</f>
        <v/>
      </c>
      <c r="P691" s="138" t="str">
        <f>IF(Tabel1[[#This Row],[Ordernummer:]]="","",SUM(Tabel1[[#This Row],[% uren 1:]],Tabel1[[#This Row],[% uren 2:]],Tabel1[[#This Row],[% uren 3:]]))</f>
        <v/>
      </c>
      <c r="Q691" s="127"/>
      <c r="R691" s="128"/>
      <c r="S691" s="44"/>
      <c r="T691" s="25"/>
    </row>
    <row r="692" spans="2:20" x14ac:dyDescent="0.25">
      <c r="B692" s="7"/>
      <c r="C692" s="10"/>
      <c r="D692" s="10"/>
      <c r="E692" s="72"/>
      <c r="F692" s="73"/>
      <c r="G692" s="72"/>
      <c r="H692" s="31"/>
      <c r="I692" s="85" t="str">
        <f>IF(Tabel1[[#This Row],[% uren 1:]]="","",Tabel1[[#This Row],[% uren 1:]]*Tabel1[[#This Row],[Totale uren:]])</f>
        <v/>
      </c>
      <c r="J692" s="68"/>
      <c r="K692" s="31"/>
      <c r="L692" s="86" t="str">
        <f>IF(Tabel1[[#This Row],[% uren 2:]]="","",Tabel1[[#This Row],[% uren 2:]]*Tabel1[[#This Row],[Totale uren:]])</f>
        <v/>
      </c>
      <c r="M692" s="72"/>
      <c r="N692" s="31"/>
      <c r="O692" s="85" t="str">
        <f>IF(Tabel1[[#This Row],[% uren 3:]]="","",Tabel1[[#This Row],[% uren 3:]]*Tabel1[[#This Row],[Totale uren:]])</f>
        <v/>
      </c>
      <c r="P692" s="138" t="str">
        <f>IF(Tabel1[[#This Row],[Ordernummer:]]="","",SUM(Tabel1[[#This Row],[% uren 1:]],Tabel1[[#This Row],[% uren 2:]],Tabel1[[#This Row],[% uren 3:]]))</f>
        <v/>
      </c>
      <c r="Q692" s="127"/>
      <c r="R692" s="128"/>
      <c r="S692" s="44"/>
      <c r="T692" s="25"/>
    </row>
    <row r="693" spans="2:20" x14ac:dyDescent="0.25">
      <c r="B693" s="7"/>
      <c r="C693" s="10"/>
      <c r="D693" s="10"/>
      <c r="E693" s="72"/>
      <c r="F693" s="73"/>
      <c r="G693" s="72"/>
      <c r="H693" s="31"/>
      <c r="I693" s="85" t="str">
        <f>IF(Tabel1[[#This Row],[% uren 1:]]="","",Tabel1[[#This Row],[% uren 1:]]*Tabel1[[#This Row],[Totale uren:]])</f>
        <v/>
      </c>
      <c r="J693" s="68"/>
      <c r="K693" s="31"/>
      <c r="L693" s="86" t="str">
        <f>IF(Tabel1[[#This Row],[% uren 2:]]="","",Tabel1[[#This Row],[% uren 2:]]*Tabel1[[#This Row],[Totale uren:]])</f>
        <v/>
      </c>
      <c r="M693" s="72"/>
      <c r="N693" s="31"/>
      <c r="O693" s="85" t="str">
        <f>IF(Tabel1[[#This Row],[% uren 3:]]="","",Tabel1[[#This Row],[% uren 3:]]*Tabel1[[#This Row],[Totale uren:]])</f>
        <v/>
      </c>
      <c r="P693" s="138" t="str">
        <f>IF(Tabel1[[#This Row],[Ordernummer:]]="","",SUM(Tabel1[[#This Row],[% uren 1:]],Tabel1[[#This Row],[% uren 2:]],Tabel1[[#This Row],[% uren 3:]]))</f>
        <v/>
      </c>
      <c r="Q693" s="127"/>
      <c r="R693" s="128"/>
      <c r="S693" s="44"/>
      <c r="T693" s="25"/>
    </row>
    <row r="694" spans="2:20" x14ac:dyDescent="0.25">
      <c r="B694" s="7"/>
      <c r="C694" s="10"/>
      <c r="D694" s="10"/>
      <c r="E694" s="72"/>
      <c r="F694" s="73"/>
      <c r="G694" s="72"/>
      <c r="H694" s="31"/>
      <c r="I694" s="85" t="str">
        <f>IF(Tabel1[[#This Row],[% uren 1:]]="","",Tabel1[[#This Row],[% uren 1:]]*Tabel1[[#This Row],[Totale uren:]])</f>
        <v/>
      </c>
      <c r="J694" s="68"/>
      <c r="K694" s="31"/>
      <c r="L694" s="86" t="str">
        <f>IF(Tabel1[[#This Row],[% uren 2:]]="","",Tabel1[[#This Row],[% uren 2:]]*Tabel1[[#This Row],[Totale uren:]])</f>
        <v/>
      </c>
      <c r="M694" s="72"/>
      <c r="N694" s="31"/>
      <c r="O694" s="85" t="str">
        <f>IF(Tabel1[[#This Row],[% uren 3:]]="","",Tabel1[[#This Row],[% uren 3:]]*Tabel1[[#This Row],[Totale uren:]])</f>
        <v/>
      </c>
      <c r="P694" s="138" t="str">
        <f>IF(Tabel1[[#This Row],[Ordernummer:]]="","",SUM(Tabel1[[#This Row],[% uren 1:]],Tabel1[[#This Row],[% uren 2:]],Tabel1[[#This Row],[% uren 3:]]))</f>
        <v/>
      </c>
      <c r="Q694" s="127"/>
      <c r="R694" s="128"/>
      <c r="S694" s="44"/>
      <c r="T694" s="25"/>
    </row>
    <row r="695" spans="2:20" x14ac:dyDescent="0.25">
      <c r="B695" s="7"/>
      <c r="C695" s="10"/>
      <c r="D695" s="10"/>
      <c r="E695" s="72"/>
      <c r="F695" s="73"/>
      <c r="G695" s="72"/>
      <c r="H695" s="31"/>
      <c r="I695" s="85" t="str">
        <f>IF(Tabel1[[#This Row],[% uren 1:]]="","",Tabel1[[#This Row],[% uren 1:]]*Tabel1[[#This Row],[Totale uren:]])</f>
        <v/>
      </c>
      <c r="J695" s="68"/>
      <c r="K695" s="31"/>
      <c r="L695" s="86" t="str">
        <f>IF(Tabel1[[#This Row],[% uren 2:]]="","",Tabel1[[#This Row],[% uren 2:]]*Tabel1[[#This Row],[Totale uren:]])</f>
        <v/>
      </c>
      <c r="M695" s="72"/>
      <c r="N695" s="31"/>
      <c r="O695" s="85" t="str">
        <f>IF(Tabel1[[#This Row],[% uren 3:]]="","",Tabel1[[#This Row],[% uren 3:]]*Tabel1[[#This Row],[Totale uren:]])</f>
        <v/>
      </c>
      <c r="P695" s="138" t="str">
        <f>IF(Tabel1[[#This Row],[Ordernummer:]]="","",SUM(Tabel1[[#This Row],[% uren 1:]],Tabel1[[#This Row],[% uren 2:]],Tabel1[[#This Row],[% uren 3:]]))</f>
        <v/>
      </c>
      <c r="Q695" s="127"/>
      <c r="R695" s="128"/>
      <c r="S695" s="44"/>
      <c r="T695" s="25"/>
    </row>
    <row r="696" spans="2:20" x14ac:dyDescent="0.25">
      <c r="B696" s="7"/>
      <c r="C696" s="10"/>
      <c r="D696" s="10"/>
      <c r="E696" s="72"/>
      <c r="F696" s="73"/>
      <c r="G696" s="72"/>
      <c r="H696" s="31"/>
      <c r="I696" s="85" t="str">
        <f>IF(Tabel1[[#This Row],[% uren 1:]]="","",Tabel1[[#This Row],[% uren 1:]]*Tabel1[[#This Row],[Totale uren:]])</f>
        <v/>
      </c>
      <c r="J696" s="68"/>
      <c r="K696" s="31"/>
      <c r="L696" s="86" t="str">
        <f>IF(Tabel1[[#This Row],[% uren 2:]]="","",Tabel1[[#This Row],[% uren 2:]]*Tabel1[[#This Row],[Totale uren:]])</f>
        <v/>
      </c>
      <c r="M696" s="72"/>
      <c r="N696" s="31"/>
      <c r="O696" s="85" t="str">
        <f>IF(Tabel1[[#This Row],[% uren 3:]]="","",Tabel1[[#This Row],[% uren 3:]]*Tabel1[[#This Row],[Totale uren:]])</f>
        <v/>
      </c>
      <c r="P696" s="138" t="str">
        <f>IF(Tabel1[[#This Row],[Ordernummer:]]="","",SUM(Tabel1[[#This Row],[% uren 1:]],Tabel1[[#This Row],[% uren 2:]],Tabel1[[#This Row],[% uren 3:]]))</f>
        <v/>
      </c>
      <c r="Q696" s="127"/>
      <c r="R696" s="128"/>
      <c r="S696" s="44"/>
      <c r="T696" s="25"/>
    </row>
    <row r="697" spans="2:20" x14ac:dyDescent="0.25">
      <c r="B697" s="7"/>
      <c r="C697" s="10"/>
      <c r="D697" s="10"/>
      <c r="E697" s="72"/>
      <c r="F697" s="73"/>
      <c r="G697" s="72"/>
      <c r="H697" s="31"/>
      <c r="I697" s="85" t="str">
        <f>IF(Tabel1[[#This Row],[% uren 1:]]="","",Tabel1[[#This Row],[% uren 1:]]*Tabel1[[#This Row],[Totale uren:]])</f>
        <v/>
      </c>
      <c r="J697" s="68"/>
      <c r="K697" s="31"/>
      <c r="L697" s="86" t="str">
        <f>IF(Tabel1[[#This Row],[% uren 2:]]="","",Tabel1[[#This Row],[% uren 2:]]*Tabel1[[#This Row],[Totale uren:]])</f>
        <v/>
      </c>
      <c r="M697" s="72"/>
      <c r="N697" s="31"/>
      <c r="O697" s="85" t="str">
        <f>IF(Tabel1[[#This Row],[% uren 3:]]="","",Tabel1[[#This Row],[% uren 3:]]*Tabel1[[#This Row],[Totale uren:]])</f>
        <v/>
      </c>
      <c r="P697" s="138" t="str">
        <f>IF(Tabel1[[#This Row],[Ordernummer:]]="","",SUM(Tabel1[[#This Row],[% uren 1:]],Tabel1[[#This Row],[% uren 2:]],Tabel1[[#This Row],[% uren 3:]]))</f>
        <v/>
      </c>
      <c r="Q697" s="127"/>
      <c r="R697" s="128"/>
      <c r="S697" s="44"/>
      <c r="T697" s="25"/>
    </row>
    <row r="698" spans="2:20" x14ac:dyDescent="0.25">
      <c r="B698" s="7"/>
      <c r="C698" s="10"/>
      <c r="D698" s="10"/>
      <c r="E698" s="72"/>
      <c r="F698" s="73"/>
      <c r="G698" s="72"/>
      <c r="H698" s="31"/>
      <c r="I698" s="85" t="str">
        <f>IF(Tabel1[[#This Row],[% uren 1:]]="","",Tabel1[[#This Row],[% uren 1:]]*Tabel1[[#This Row],[Totale uren:]])</f>
        <v/>
      </c>
      <c r="J698" s="68"/>
      <c r="K698" s="31"/>
      <c r="L698" s="86" t="str">
        <f>IF(Tabel1[[#This Row],[% uren 2:]]="","",Tabel1[[#This Row],[% uren 2:]]*Tabel1[[#This Row],[Totale uren:]])</f>
        <v/>
      </c>
      <c r="M698" s="72"/>
      <c r="N698" s="31"/>
      <c r="O698" s="85" t="str">
        <f>IF(Tabel1[[#This Row],[% uren 3:]]="","",Tabel1[[#This Row],[% uren 3:]]*Tabel1[[#This Row],[Totale uren:]])</f>
        <v/>
      </c>
      <c r="P698" s="138" t="str">
        <f>IF(Tabel1[[#This Row],[Ordernummer:]]="","",SUM(Tabel1[[#This Row],[% uren 1:]],Tabel1[[#This Row],[% uren 2:]],Tabel1[[#This Row],[% uren 3:]]))</f>
        <v/>
      </c>
      <c r="Q698" s="127"/>
      <c r="R698" s="128"/>
      <c r="S698" s="44"/>
      <c r="T698" s="25"/>
    </row>
    <row r="699" spans="2:20" x14ac:dyDescent="0.25">
      <c r="B699" s="7"/>
      <c r="C699" s="10"/>
      <c r="D699" s="10"/>
      <c r="E699" s="72"/>
      <c r="F699" s="73"/>
      <c r="G699" s="72"/>
      <c r="H699" s="31"/>
      <c r="I699" s="85" t="str">
        <f>IF(Tabel1[[#This Row],[% uren 1:]]="","",Tabel1[[#This Row],[% uren 1:]]*Tabel1[[#This Row],[Totale uren:]])</f>
        <v/>
      </c>
      <c r="J699" s="68"/>
      <c r="K699" s="31"/>
      <c r="L699" s="86" t="str">
        <f>IF(Tabel1[[#This Row],[% uren 2:]]="","",Tabel1[[#This Row],[% uren 2:]]*Tabel1[[#This Row],[Totale uren:]])</f>
        <v/>
      </c>
      <c r="M699" s="72"/>
      <c r="N699" s="31"/>
      <c r="O699" s="85" t="str">
        <f>IF(Tabel1[[#This Row],[% uren 3:]]="","",Tabel1[[#This Row],[% uren 3:]]*Tabel1[[#This Row],[Totale uren:]])</f>
        <v/>
      </c>
      <c r="P699" s="138" t="str">
        <f>IF(Tabel1[[#This Row],[Ordernummer:]]="","",SUM(Tabel1[[#This Row],[% uren 1:]],Tabel1[[#This Row],[% uren 2:]],Tabel1[[#This Row],[% uren 3:]]))</f>
        <v/>
      </c>
      <c r="Q699" s="127"/>
      <c r="R699" s="128"/>
      <c r="S699" s="44"/>
      <c r="T699" s="25"/>
    </row>
    <row r="700" spans="2:20" x14ac:dyDescent="0.25">
      <c r="B700" s="7"/>
      <c r="C700" s="10"/>
      <c r="D700" s="10"/>
      <c r="E700" s="72"/>
      <c r="F700" s="73"/>
      <c r="G700" s="72"/>
      <c r="H700" s="31"/>
      <c r="I700" s="85" t="str">
        <f>IF(Tabel1[[#This Row],[% uren 1:]]="","",Tabel1[[#This Row],[% uren 1:]]*Tabel1[[#This Row],[Totale uren:]])</f>
        <v/>
      </c>
      <c r="J700" s="68"/>
      <c r="K700" s="31"/>
      <c r="L700" s="86" t="str">
        <f>IF(Tabel1[[#This Row],[% uren 2:]]="","",Tabel1[[#This Row],[% uren 2:]]*Tabel1[[#This Row],[Totale uren:]])</f>
        <v/>
      </c>
      <c r="M700" s="72"/>
      <c r="N700" s="31"/>
      <c r="O700" s="85" t="str">
        <f>IF(Tabel1[[#This Row],[% uren 3:]]="","",Tabel1[[#This Row],[% uren 3:]]*Tabel1[[#This Row],[Totale uren:]])</f>
        <v/>
      </c>
      <c r="P700" s="138" t="str">
        <f>IF(Tabel1[[#This Row],[Ordernummer:]]="","",SUM(Tabel1[[#This Row],[% uren 1:]],Tabel1[[#This Row],[% uren 2:]],Tabel1[[#This Row],[% uren 3:]]))</f>
        <v/>
      </c>
      <c r="Q700" s="127"/>
      <c r="R700" s="128"/>
      <c r="S700" s="44"/>
      <c r="T700" s="25"/>
    </row>
    <row r="701" spans="2:20" x14ac:dyDescent="0.25">
      <c r="B701" s="7"/>
      <c r="C701" s="10"/>
      <c r="D701" s="10"/>
      <c r="E701" s="72"/>
      <c r="F701" s="73"/>
      <c r="G701" s="72"/>
      <c r="H701" s="31"/>
      <c r="I701" s="85" t="str">
        <f>IF(Tabel1[[#This Row],[% uren 1:]]="","",Tabel1[[#This Row],[% uren 1:]]*Tabel1[[#This Row],[Totale uren:]])</f>
        <v/>
      </c>
      <c r="J701" s="68"/>
      <c r="K701" s="31"/>
      <c r="L701" s="86" t="str">
        <f>IF(Tabel1[[#This Row],[% uren 2:]]="","",Tabel1[[#This Row],[% uren 2:]]*Tabel1[[#This Row],[Totale uren:]])</f>
        <v/>
      </c>
      <c r="M701" s="72"/>
      <c r="N701" s="31"/>
      <c r="O701" s="85" t="str">
        <f>IF(Tabel1[[#This Row],[% uren 3:]]="","",Tabel1[[#This Row],[% uren 3:]]*Tabel1[[#This Row],[Totale uren:]])</f>
        <v/>
      </c>
      <c r="P701" s="138" t="str">
        <f>IF(Tabel1[[#This Row],[Ordernummer:]]="","",SUM(Tabel1[[#This Row],[% uren 1:]],Tabel1[[#This Row],[% uren 2:]],Tabel1[[#This Row],[% uren 3:]]))</f>
        <v/>
      </c>
      <c r="Q701" s="127"/>
      <c r="R701" s="128"/>
      <c r="S701" s="44"/>
      <c r="T701" s="25"/>
    </row>
    <row r="702" spans="2:20" x14ac:dyDescent="0.25">
      <c r="B702" s="7"/>
      <c r="C702" s="10"/>
      <c r="D702" s="10"/>
      <c r="E702" s="72"/>
      <c r="F702" s="73"/>
      <c r="G702" s="72"/>
      <c r="H702" s="31"/>
      <c r="I702" s="85" t="str">
        <f>IF(Tabel1[[#This Row],[% uren 1:]]="","",Tabel1[[#This Row],[% uren 1:]]*Tabel1[[#This Row],[Totale uren:]])</f>
        <v/>
      </c>
      <c r="J702" s="68"/>
      <c r="K702" s="31"/>
      <c r="L702" s="86" t="str">
        <f>IF(Tabel1[[#This Row],[% uren 2:]]="","",Tabel1[[#This Row],[% uren 2:]]*Tabel1[[#This Row],[Totale uren:]])</f>
        <v/>
      </c>
      <c r="M702" s="72"/>
      <c r="N702" s="31"/>
      <c r="O702" s="85" t="str">
        <f>IF(Tabel1[[#This Row],[% uren 3:]]="","",Tabel1[[#This Row],[% uren 3:]]*Tabel1[[#This Row],[Totale uren:]])</f>
        <v/>
      </c>
      <c r="P702" s="138" t="str">
        <f>IF(Tabel1[[#This Row],[Ordernummer:]]="","",SUM(Tabel1[[#This Row],[% uren 1:]],Tabel1[[#This Row],[% uren 2:]],Tabel1[[#This Row],[% uren 3:]]))</f>
        <v/>
      </c>
      <c r="Q702" s="127"/>
      <c r="R702" s="128"/>
      <c r="S702" s="44"/>
      <c r="T702" s="25"/>
    </row>
    <row r="703" spans="2:20" x14ac:dyDescent="0.25">
      <c r="B703" s="7"/>
      <c r="C703" s="10"/>
      <c r="D703" s="10"/>
      <c r="E703" s="72"/>
      <c r="F703" s="73"/>
      <c r="G703" s="72"/>
      <c r="H703" s="31"/>
      <c r="I703" s="85" t="str">
        <f>IF(Tabel1[[#This Row],[% uren 1:]]="","",Tabel1[[#This Row],[% uren 1:]]*Tabel1[[#This Row],[Totale uren:]])</f>
        <v/>
      </c>
      <c r="J703" s="68"/>
      <c r="K703" s="31"/>
      <c r="L703" s="86" t="str">
        <f>IF(Tabel1[[#This Row],[% uren 2:]]="","",Tabel1[[#This Row],[% uren 2:]]*Tabel1[[#This Row],[Totale uren:]])</f>
        <v/>
      </c>
      <c r="M703" s="72"/>
      <c r="N703" s="31"/>
      <c r="O703" s="85" t="str">
        <f>IF(Tabel1[[#This Row],[% uren 3:]]="","",Tabel1[[#This Row],[% uren 3:]]*Tabel1[[#This Row],[Totale uren:]])</f>
        <v/>
      </c>
      <c r="P703" s="138" t="str">
        <f>IF(Tabel1[[#This Row],[Ordernummer:]]="","",SUM(Tabel1[[#This Row],[% uren 1:]],Tabel1[[#This Row],[% uren 2:]],Tabel1[[#This Row],[% uren 3:]]))</f>
        <v/>
      </c>
      <c r="Q703" s="127"/>
      <c r="R703" s="128"/>
      <c r="S703" s="44"/>
      <c r="T703" s="25"/>
    </row>
    <row r="704" spans="2:20" x14ac:dyDescent="0.25">
      <c r="B704" s="7"/>
      <c r="C704" s="10"/>
      <c r="D704" s="10"/>
      <c r="E704" s="72"/>
      <c r="F704" s="73"/>
      <c r="G704" s="72"/>
      <c r="H704" s="31"/>
      <c r="I704" s="85" t="str">
        <f>IF(Tabel1[[#This Row],[% uren 1:]]="","",Tabel1[[#This Row],[% uren 1:]]*Tabel1[[#This Row],[Totale uren:]])</f>
        <v/>
      </c>
      <c r="J704" s="68"/>
      <c r="K704" s="31"/>
      <c r="L704" s="86" t="str">
        <f>IF(Tabel1[[#This Row],[% uren 2:]]="","",Tabel1[[#This Row],[% uren 2:]]*Tabel1[[#This Row],[Totale uren:]])</f>
        <v/>
      </c>
      <c r="M704" s="72"/>
      <c r="N704" s="31"/>
      <c r="O704" s="85" t="str">
        <f>IF(Tabel1[[#This Row],[% uren 3:]]="","",Tabel1[[#This Row],[% uren 3:]]*Tabel1[[#This Row],[Totale uren:]])</f>
        <v/>
      </c>
      <c r="P704" s="138" t="str">
        <f>IF(Tabel1[[#This Row],[Ordernummer:]]="","",SUM(Tabel1[[#This Row],[% uren 1:]],Tabel1[[#This Row],[% uren 2:]],Tabel1[[#This Row],[% uren 3:]]))</f>
        <v/>
      </c>
      <c r="Q704" s="127"/>
      <c r="R704" s="128"/>
      <c r="S704" s="44"/>
      <c r="T704" s="25"/>
    </row>
    <row r="705" spans="2:20" x14ac:dyDescent="0.25">
      <c r="B705" s="7"/>
      <c r="C705" s="10"/>
      <c r="D705" s="10"/>
      <c r="E705" s="72"/>
      <c r="F705" s="73"/>
      <c r="G705" s="72"/>
      <c r="H705" s="31"/>
      <c r="I705" s="85" t="str">
        <f>IF(Tabel1[[#This Row],[% uren 1:]]="","",Tabel1[[#This Row],[% uren 1:]]*Tabel1[[#This Row],[Totale uren:]])</f>
        <v/>
      </c>
      <c r="J705" s="68"/>
      <c r="K705" s="31"/>
      <c r="L705" s="86" t="str">
        <f>IF(Tabel1[[#This Row],[% uren 2:]]="","",Tabel1[[#This Row],[% uren 2:]]*Tabel1[[#This Row],[Totale uren:]])</f>
        <v/>
      </c>
      <c r="M705" s="72"/>
      <c r="N705" s="31"/>
      <c r="O705" s="85" t="str">
        <f>IF(Tabel1[[#This Row],[% uren 3:]]="","",Tabel1[[#This Row],[% uren 3:]]*Tabel1[[#This Row],[Totale uren:]])</f>
        <v/>
      </c>
      <c r="P705" s="138" t="str">
        <f>IF(Tabel1[[#This Row],[Ordernummer:]]="","",SUM(Tabel1[[#This Row],[% uren 1:]],Tabel1[[#This Row],[% uren 2:]],Tabel1[[#This Row],[% uren 3:]]))</f>
        <v/>
      </c>
      <c r="Q705" s="127"/>
      <c r="R705" s="128"/>
      <c r="S705" s="44"/>
      <c r="T705" s="25"/>
    </row>
    <row r="706" spans="2:20" x14ac:dyDescent="0.25">
      <c r="B706" s="7"/>
      <c r="C706" s="10"/>
      <c r="D706" s="10"/>
      <c r="E706" s="72"/>
      <c r="F706" s="73"/>
      <c r="G706" s="72"/>
      <c r="H706" s="31"/>
      <c r="I706" s="85" t="str">
        <f>IF(Tabel1[[#This Row],[% uren 1:]]="","",Tabel1[[#This Row],[% uren 1:]]*Tabel1[[#This Row],[Totale uren:]])</f>
        <v/>
      </c>
      <c r="J706" s="68"/>
      <c r="K706" s="31"/>
      <c r="L706" s="86" t="str">
        <f>IF(Tabel1[[#This Row],[% uren 2:]]="","",Tabel1[[#This Row],[% uren 2:]]*Tabel1[[#This Row],[Totale uren:]])</f>
        <v/>
      </c>
      <c r="M706" s="72"/>
      <c r="N706" s="31"/>
      <c r="O706" s="85" t="str">
        <f>IF(Tabel1[[#This Row],[% uren 3:]]="","",Tabel1[[#This Row],[% uren 3:]]*Tabel1[[#This Row],[Totale uren:]])</f>
        <v/>
      </c>
      <c r="P706" s="138" t="str">
        <f>IF(Tabel1[[#This Row],[Ordernummer:]]="","",SUM(Tabel1[[#This Row],[% uren 1:]],Tabel1[[#This Row],[% uren 2:]],Tabel1[[#This Row],[% uren 3:]]))</f>
        <v/>
      </c>
      <c r="Q706" s="127"/>
      <c r="R706" s="128"/>
      <c r="S706" s="44"/>
      <c r="T706" s="25"/>
    </row>
    <row r="707" spans="2:20" x14ac:dyDescent="0.25">
      <c r="B707" s="7"/>
      <c r="C707" s="10"/>
      <c r="D707" s="10"/>
      <c r="E707" s="72"/>
      <c r="F707" s="73"/>
      <c r="G707" s="72"/>
      <c r="H707" s="31"/>
      <c r="I707" s="85" t="str">
        <f>IF(Tabel1[[#This Row],[% uren 1:]]="","",Tabel1[[#This Row],[% uren 1:]]*Tabel1[[#This Row],[Totale uren:]])</f>
        <v/>
      </c>
      <c r="J707" s="68"/>
      <c r="K707" s="31"/>
      <c r="L707" s="86" t="str">
        <f>IF(Tabel1[[#This Row],[% uren 2:]]="","",Tabel1[[#This Row],[% uren 2:]]*Tabel1[[#This Row],[Totale uren:]])</f>
        <v/>
      </c>
      <c r="M707" s="72"/>
      <c r="N707" s="31"/>
      <c r="O707" s="85" t="str">
        <f>IF(Tabel1[[#This Row],[% uren 3:]]="","",Tabel1[[#This Row],[% uren 3:]]*Tabel1[[#This Row],[Totale uren:]])</f>
        <v/>
      </c>
      <c r="P707" s="138" t="str">
        <f>IF(Tabel1[[#This Row],[Ordernummer:]]="","",SUM(Tabel1[[#This Row],[% uren 1:]],Tabel1[[#This Row],[% uren 2:]],Tabel1[[#This Row],[% uren 3:]]))</f>
        <v/>
      </c>
      <c r="Q707" s="127"/>
      <c r="R707" s="128"/>
      <c r="S707" s="44"/>
      <c r="T707" s="25"/>
    </row>
    <row r="708" spans="2:20" x14ac:dyDescent="0.25">
      <c r="B708" s="7"/>
      <c r="C708" s="10"/>
      <c r="D708" s="10"/>
      <c r="E708" s="72"/>
      <c r="F708" s="73"/>
      <c r="G708" s="72"/>
      <c r="H708" s="31"/>
      <c r="I708" s="85" t="str">
        <f>IF(Tabel1[[#This Row],[% uren 1:]]="","",Tabel1[[#This Row],[% uren 1:]]*Tabel1[[#This Row],[Totale uren:]])</f>
        <v/>
      </c>
      <c r="J708" s="68"/>
      <c r="K708" s="31"/>
      <c r="L708" s="86" t="str">
        <f>IF(Tabel1[[#This Row],[% uren 2:]]="","",Tabel1[[#This Row],[% uren 2:]]*Tabel1[[#This Row],[Totale uren:]])</f>
        <v/>
      </c>
      <c r="M708" s="72"/>
      <c r="N708" s="31"/>
      <c r="O708" s="85" t="str">
        <f>IF(Tabel1[[#This Row],[% uren 3:]]="","",Tabel1[[#This Row],[% uren 3:]]*Tabel1[[#This Row],[Totale uren:]])</f>
        <v/>
      </c>
      <c r="P708" s="138" t="str">
        <f>IF(Tabel1[[#This Row],[Ordernummer:]]="","",SUM(Tabel1[[#This Row],[% uren 1:]],Tabel1[[#This Row],[% uren 2:]],Tabel1[[#This Row],[% uren 3:]]))</f>
        <v/>
      </c>
      <c r="Q708" s="127"/>
      <c r="R708" s="128"/>
      <c r="S708" s="44"/>
      <c r="T708" s="25"/>
    </row>
    <row r="709" spans="2:20" x14ac:dyDescent="0.25">
      <c r="B709" s="7"/>
      <c r="C709" s="10"/>
      <c r="D709" s="10"/>
      <c r="E709" s="72"/>
      <c r="F709" s="73"/>
      <c r="G709" s="72"/>
      <c r="H709" s="31"/>
      <c r="I709" s="85" t="str">
        <f>IF(Tabel1[[#This Row],[% uren 1:]]="","",Tabel1[[#This Row],[% uren 1:]]*Tabel1[[#This Row],[Totale uren:]])</f>
        <v/>
      </c>
      <c r="J709" s="68"/>
      <c r="K709" s="31"/>
      <c r="L709" s="86" t="str">
        <f>IF(Tabel1[[#This Row],[% uren 2:]]="","",Tabel1[[#This Row],[% uren 2:]]*Tabel1[[#This Row],[Totale uren:]])</f>
        <v/>
      </c>
      <c r="M709" s="72"/>
      <c r="N709" s="31"/>
      <c r="O709" s="85" t="str">
        <f>IF(Tabel1[[#This Row],[% uren 3:]]="","",Tabel1[[#This Row],[% uren 3:]]*Tabel1[[#This Row],[Totale uren:]])</f>
        <v/>
      </c>
      <c r="P709" s="138" t="str">
        <f>IF(Tabel1[[#This Row],[Ordernummer:]]="","",SUM(Tabel1[[#This Row],[% uren 1:]],Tabel1[[#This Row],[% uren 2:]],Tabel1[[#This Row],[% uren 3:]]))</f>
        <v/>
      </c>
      <c r="Q709" s="127"/>
      <c r="R709" s="128"/>
      <c r="S709" s="44"/>
      <c r="T709" s="25"/>
    </row>
    <row r="710" spans="2:20" x14ac:dyDescent="0.25">
      <c r="B710" s="7"/>
      <c r="C710" s="10"/>
      <c r="D710" s="10"/>
      <c r="E710" s="72"/>
      <c r="F710" s="73"/>
      <c r="G710" s="72"/>
      <c r="H710" s="31"/>
      <c r="I710" s="85" t="str">
        <f>IF(Tabel1[[#This Row],[% uren 1:]]="","",Tabel1[[#This Row],[% uren 1:]]*Tabel1[[#This Row],[Totale uren:]])</f>
        <v/>
      </c>
      <c r="J710" s="68"/>
      <c r="K710" s="31"/>
      <c r="L710" s="86" t="str">
        <f>IF(Tabel1[[#This Row],[% uren 2:]]="","",Tabel1[[#This Row],[% uren 2:]]*Tabel1[[#This Row],[Totale uren:]])</f>
        <v/>
      </c>
      <c r="M710" s="72"/>
      <c r="N710" s="31"/>
      <c r="O710" s="85" t="str">
        <f>IF(Tabel1[[#This Row],[% uren 3:]]="","",Tabel1[[#This Row],[% uren 3:]]*Tabel1[[#This Row],[Totale uren:]])</f>
        <v/>
      </c>
      <c r="P710" s="138" t="str">
        <f>IF(Tabel1[[#This Row],[Ordernummer:]]="","",SUM(Tabel1[[#This Row],[% uren 1:]],Tabel1[[#This Row],[% uren 2:]],Tabel1[[#This Row],[% uren 3:]]))</f>
        <v/>
      </c>
      <c r="Q710" s="127"/>
      <c r="R710" s="128"/>
      <c r="S710" s="44"/>
      <c r="T710" s="25"/>
    </row>
    <row r="711" spans="2:20" x14ac:dyDescent="0.25">
      <c r="B711" s="7"/>
      <c r="C711" s="10"/>
      <c r="D711" s="10"/>
      <c r="E711" s="72"/>
      <c r="F711" s="73"/>
      <c r="G711" s="72"/>
      <c r="H711" s="31"/>
      <c r="I711" s="85" t="str">
        <f>IF(Tabel1[[#This Row],[% uren 1:]]="","",Tabel1[[#This Row],[% uren 1:]]*Tabel1[[#This Row],[Totale uren:]])</f>
        <v/>
      </c>
      <c r="J711" s="68"/>
      <c r="K711" s="31"/>
      <c r="L711" s="86" t="str">
        <f>IF(Tabel1[[#This Row],[% uren 2:]]="","",Tabel1[[#This Row],[% uren 2:]]*Tabel1[[#This Row],[Totale uren:]])</f>
        <v/>
      </c>
      <c r="M711" s="72"/>
      <c r="N711" s="31"/>
      <c r="O711" s="85" t="str">
        <f>IF(Tabel1[[#This Row],[% uren 3:]]="","",Tabel1[[#This Row],[% uren 3:]]*Tabel1[[#This Row],[Totale uren:]])</f>
        <v/>
      </c>
      <c r="P711" s="138" t="str">
        <f>IF(Tabel1[[#This Row],[Ordernummer:]]="","",SUM(Tabel1[[#This Row],[% uren 1:]],Tabel1[[#This Row],[% uren 2:]],Tabel1[[#This Row],[% uren 3:]]))</f>
        <v/>
      </c>
      <c r="Q711" s="127"/>
      <c r="R711" s="128"/>
      <c r="S711" s="44"/>
      <c r="T711" s="25"/>
    </row>
    <row r="712" spans="2:20" x14ac:dyDescent="0.25">
      <c r="B712" s="7"/>
      <c r="C712" s="10"/>
      <c r="D712" s="10"/>
      <c r="E712" s="72"/>
      <c r="F712" s="73"/>
      <c r="G712" s="72"/>
      <c r="H712" s="31"/>
      <c r="I712" s="85" t="str">
        <f>IF(Tabel1[[#This Row],[% uren 1:]]="","",Tabel1[[#This Row],[% uren 1:]]*Tabel1[[#This Row],[Totale uren:]])</f>
        <v/>
      </c>
      <c r="J712" s="68"/>
      <c r="K712" s="31"/>
      <c r="L712" s="86" t="str">
        <f>IF(Tabel1[[#This Row],[% uren 2:]]="","",Tabel1[[#This Row],[% uren 2:]]*Tabel1[[#This Row],[Totale uren:]])</f>
        <v/>
      </c>
      <c r="M712" s="72"/>
      <c r="N712" s="31"/>
      <c r="O712" s="85" t="str">
        <f>IF(Tabel1[[#This Row],[% uren 3:]]="","",Tabel1[[#This Row],[% uren 3:]]*Tabel1[[#This Row],[Totale uren:]])</f>
        <v/>
      </c>
      <c r="P712" s="138" t="str">
        <f>IF(Tabel1[[#This Row],[Ordernummer:]]="","",SUM(Tabel1[[#This Row],[% uren 1:]],Tabel1[[#This Row],[% uren 2:]],Tabel1[[#This Row],[% uren 3:]]))</f>
        <v/>
      </c>
      <c r="Q712" s="127"/>
      <c r="R712" s="128"/>
      <c r="S712" s="44"/>
      <c r="T712" s="25"/>
    </row>
    <row r="713" spans="2:20" x14ac:dyDescent="0.25">
      <c r="B713" s="7"/>
      <c r="C713" s="10"/>
      <c r="D713" s="10"/>
      <c r="E713" s="72"/>
      <c r="F713" s="73"/>
      <c r="G713" s="72"/>
      <c r="H713" s="31"/>
      <c r="I713" s="85" t="str">
        <f>IF(Tabel1[[#This Row],[% uren 1:]]="","",Tabel1[[#This Row],[% uren 1:]]*Tabel1[[#This Row],[Totale uren:]])</f>
        <v/>
      </c>
      <c r="J713" s="68"/>
      <c r="K713" s="31"/>
      <c r="L713" s="86" t="str">
        <f>IF(Tabel1[[#This Row],[% uren 2:]]="","",Tabel1[[#This Row],[% uren 2:]]*Tabel1[[#This Row],[Totale uren:]])</f>
        <v/>
      </c>
      <c r="M713" s="72"/>
      <c r="N713" s="31"/>
      <c r="O713" s="85" t="str">
        <f>IF(Tabel1[[#This Row],[% uren 3:]]="","",Tabel1[[#This Row],[% uren 3:]]*Tabel1[[#This Row],[Totale uren:]])</f>
        <v/>
      </c>
      <c r="P713" s="138" t="str">
        <f>IF(Tabel1[[#This Row],[Ordernummer:]]="","",SUM(Tabel1[[#This Row],[% uren 1:]],Tabel1[[#This Row],[% uren 2:]],Tabel1[[#This Row],[% uren 3:]]))</f>
        <v/>
      </c>
      <c r="Q713" s="127"/>
      <c r="R713" s="128"/>
      <c r="S713" s="44"/>
      <c r="T713" s="25"/>
    </row>
    <row r="714" spans="2:20" x14ac:dyDescent="0.25">
      <c r="B714" s="7"/>
      <c r="C714" s="10"/>
      <c r="D714" s="10"/>
      <c r="E714" s="72"/>
      <c r="F714" s="73"/>
      <c r="G714" s="72"/>
      <c r="H714" s="31"/>
      <c r="I714" s="85" t="str">
        <f>IF(Tabel1[[#This Row],[% uren 1:]]="","",Tabel1[[#This Row],[% uren 1:]]*Tabel1[[#This Row],[Totale uren:]])</f>
        <v/>
      </c>
      <c r="J714" s="68"/>
      <c r="K714" s="31"/>
      <c r="L714" s="86" t="str">
        <f>IF(Tabel1[[#This Row],[% uren 2:]]="","",Tabel1[[#This Row],[% uren 2:]]*Tabel1[[#This Row],[Totale uren:]])</f>
        <v/>
      </c>
      <c r="M714" s="72"/>
      <c r="N714" s="31"/>
      <c r="O714" s="85" t="str">
        <f>IF(Tabel1[[#This Row],[% uren 3:]]="","",Tabel1[[#This Row],[% uren 3:]]*Tabel1[[#This Row],[Totale uren:]])</f>
        <v/>
      </c>
      <c r="P714" s="138" t="str">
        <f>IF(Tabel1[[#This Row],[Ordernummer:]]="","",SUM(Tabel1[[#This Row],[% uren 1:]],Tabel1[[#This Row],[% uren 2:]],Tabel1[[#This Row],[% uren 3:]]))</f>
        <v/>
      </c>
      <c r="Q714" s="127"/>
      <c r="R714" s="128"/>
      <c r="S714" s="44"/>
      <c r="T714" s="25"/>
    </row>
    <row r="715" spans="2:20" x14ac:dyDescent="0.25">
      <c r="B715" s="7"/>
      <c r="C715" s="10"/>
      <c r="D715" s="10"/>
      <c r="E715" s="72"/>
      <c r="F715" s="73"/>
      <c r="G715" s="72"/>
      <c r="H715" s="31"/>
      <c r="I715" s="85" t="str">
        <f>IF(Tabel1[[#This Row],[% uren 1:]]="","",Tabel1[[#This Row],[% uren 1:]]*Tabel1[[#This Row],[Totale uren:]])</f>
        <v/>
      </c>
      <c r="J715" s="68"/>
      <c r="K715" s="31"/>
      <c r="L715" s="86" t="str">
        <f>IF(Tabel1[[#This Row],[% uren 2:]]="","",Tabel1[[#This Row],[% uren 2:]]*Tabel1[[#This Row],[Totale uren:]])</f>
        <v/>
      </c>
      <c r="M715" s="72"/>
      <c r="N715" s="31"/>
      <c r="O715" s="85" t="str">
        <f>IF(Tabel1[[#This Row],[% uren 3:]]="","",Tabel1[[#This Row],[% uren 3:]]*Tabel1[[#This Row],[Totale uren:]])</f>
        <v/>
      </c>
      <c r="P715" s="138" t="str">
        <f>IF(Tabel1[[#This Row],[Ordernummer:]]="","",SUM(Tabel1[[#This Row],[% uren 1:]],Tabel1[[#This Row],[% uren 2:]],Tabel1[[#This Row],[% uren 3:]]))</f>
        <v/>
      </c>
      <c r="Q715" s="127"/>
      <c r="R715" s="128"/>
      <c r="S715" s="44"/>
      <c r="T715" s="25"/>
    </row>
    <row r="716" spans="2:20" x14ac:dyDescent="0.25">
      <c r="B716" s="7"/>
      <c r="C716" s="10"/>
      <c r="D716" s="10"/>
      <c r="E716" s="72"/>
      <c r="F716" s="73"/>
      <c r="G716" s="72"/>
      <c r="H716" s="31"/>
      <c r="I716" s="85" t="str">
        <f>IF(Tabel1[[#This Row],[% uren 1:]]="","",Tabel1[[#This Row],[% uren 1:]]*Tabel1[[#This Row],[Totale uren:]])</f>
        <v/>
      </c>
      <c r="J716" s="68"/>
      <c r="K716" s="31"/>
      <c r="L716" s="86" t="str">
        <f>IF(Tabel1[[#This Row],[% uren 2:]]="","",Tabel1[[#This Row],[% uren 2:]]*Tabel1[[#This Row],[Totale uren:]])</f>
        <v/>
      </c>
      <c r="M716" s="72"/>
      <c r="N716" s="31"/>
      <c r="O716" s="85" t="str">
        <f>IF(Tabel1[[#This Row],[% uren 3:]]="","",Tabel1[[#This Row],[% uren 3:]]*Tabel1[[#This Row],[Totale uren:]])</f>
        <v/>
      </c>
      <c r="P716" s="138" t="str">
        <f>IF(Tabel1[[#This Row],[Ordernummer:]]="","",SUM(Tabel1[[#This Row],[% uren 1:]],Tabel1[[#This Row],[% uren 2:]],Tabel1[[#This Row],[% uren 3:]]))</f>
        <v/>
      </c>
      <c r="Q716" s="127"/>
      <c r="R716" s="128"/>
      <c r="S716" s="44"/>
      <c r="T716" s="25"/>
    </row>
    <row r="717" spans="2:20" x14ac:dyDescent="0.25">
      <c r="B717" s="7"/>
      <c r="C717" s="10"/>
      <c r="D717" s="10"/>
      <c r="E717" s="72"/>
      <c r="F717" s="73"/>
      <c r="G717" s="72"/>
      <c r="H717" s="31"/>
      <c r="I717" s="85" t="str">
        <f>IF(Tabel1[[#This Row],[% uren 1:]]="","",Tabel1[[#This Row],[% uren 1:]]*Tabel1[[#This Row],[Totale uren:]])</f>
        <v/>
      </c>
      <c r="J717" s="68"/>
      <c r="K717" s="31"/>
      <c r="L717" s="86" t="str">
        <f>IF(Tabel1[[#This Row],[% uren 2:]]="","",Tabel1[[#This Row],[% uren 2:]]*Tabel1[[#This Row],[Totale uren:]])</f>
        <v/>
      </c>
      <c r="M717" s="72"/>
      <c r="N717" s="31"/>
      <c r="O717" s="85" t="str">
        <f>IF(Tabel1[[#This Row],[% uren 3:]]="","",Tabel1[[#This Row],[% uren 3:]]*Tabel1[[#This Row],[Totale uren:]])</f>
        <v/>
      </c>
      <c r="P717" s="138" t="str">
        <f>IF(Tabel1[[#This Row],[Ordernummer:]]="","",SUM(Tabel1[[#This Row],[% uren 1:]],Tabel1[[#This Row],[% uren 2:]],Tabel1[[#This Row],[% uren 3:]]))</f>
        <v/>
      </c>
      <c r="Q717" s="127"/>
      <c r="R717" s="128"/>
      <c r="S717" s="44"/>
      <c r="T717" s="25"/>
    </row>
    <row r="718" spans="2:20" x14ac:dyDescent="0.25">
      <c r="B718" s="7"/>
      <c r="C718" s="10"/>
      <c r="D718" s="10"/>
      <c r="E718" s="72"/>
      <c r="F718" s="73"/>
      <c r="G718" s="72"/>
      <c r="H718" s="31"/>
      <c r="I718" s="85" t="str">
        <f>IF(Tabel1[[#This Row],[% uren 1:]]="","",Tabel1[[#This Row],[% uren 1:]]*Tabel1[[#This Row],[Totale uren:]])</f>
        <v/>
      </c>
      <c r="J718" s="68"/>
      <c r="K718" s="31"/>
      <c r="L718" s="86" t="str">
        <f>IF(Tabel1[[#This Row],[% uren 2:]]="","",Tabel1[[#This Row],[% uren 2:]]*Tabel1[[#This Row],[Totale uren:]])</f>
        <v/>
      </c>
      <c r="M718" s="72"/>
      <c r="N718" s="31"/>
      <c r="O718" s="85" t="str">
        <f>IF(Tabel1[[#This Row],[% uren 3:]]="","",Tabel1[[#This Row],[% uren 3:]]*Tabel1[[#This Row],[Totale uren:]])</f>
        <v/>
      </c>
      <c r="P718" s="138" t="str">
        <f>IF(Tabel1[[#This Row],[Ordernummer:]]="","",SUM(Tabel1[[#This Row],[% uren 1:]],Tabel1[[#This Row],[% uren 2:]],Tabel1[[#This Row],[% uren 3:]]))</f>
        <v/>
      </c>
      <c r="Q718" s="127"/>
      <c r="R718" s="128"/>
      <c r="S718" s="44"/>
      <c r="T718" s="25"/>
    </row>
    <row r="719" spans="2:20" x14ac:dyDescent="0.25">
      <c r="B719" s="7"/>
      <c r="C719" s="10"/>
      <c r="D719" s="10"/>
      <c r="E719" s="72"/>
      <c r="F719" s="73"/>
      <c r="G719" s="72"/>
      <c r="H719" s="31"/>
      <c r="I719" s="85" t="str">
        <f>IF(Tabel1[[#This Row],[% uren 1:]]="","",Tabel1[[#This Row],[% uren 1:]]*Tabel1[[#This Row],[Totale uren:]])</f>
        <v/>
      </c>
      <c r="J719" s="68"/>
      <c r="K719" s="31"/>
      <c r="L719" s="86" t="str">
        <f>IF(Tabel1[[#This Row],[% uren 2:]]="","",Tabel1[[#This Row],[% uren 2:]]*Tabel1[[#This Row],[Totale uren:]])</f>
        <v/>
      </c>
      <c r="M719" s="72"/>
      <c r="N719" s="31"/>
      <c r="O719" s="85" t="str">
        <f>IF(Tabel1[[#This Row],[% uren 3:]]="","",Tabel1[[#This Row],[% uren 3:]]*Tabel1[[#This Row],[Totale uren:]])</f>
        <v/>
      </c>
      <c r="P719" s="138" t="str">
        <f>IF(Tabel1[[#This Row],[Ordernummer:]]="","",SUM(Tabel1[[#This Row],[% uren 1:]],Tabel1[[#This Row],[% uren 2:]],Tabel1[[#This Row],[% uren 3:]]))</f>
        <v/>
      </c>
      <c r="Q719" s="127"/>
      <c r="R719" s="128"/>
      <c r="S719" s="44"/>
      <c r="T719" s="25"/>
    </row>
    <row r="720" spans="2:20" x14ac:dyDescent="0.25">
      <c r="B720" s="7"/>
      <c r="C720" s="10"/>
      <c r="D720" s="10"/>
      <c r="E720" s="72"/>
      <c r="F720" s="73"/>
      <c r="G720" s="72"/>
      <c r="H720" s="31"/>
      <c r="I720" s="85" t="str">
        <f>IF(Tabel1[[#This Row],[% uren 1:]]="","",Tabel1[[#This Row],[% uren 1:]]*Tabel1[[#This Row],[Totale uren:]])</f>
        <v/>
      </c>
      <c r="J720" s="68"/>
      <c r="K720" s="31"/>
      <c r="L720" s="86" t="str">
        <f>IF(Tabel1[[#This Row],[% uren 2:]]="","",Tabel1[[#This Row],[% uren 2:]]*Tabel1[[#This Row],[Totale uren:]])</f>
        <v/>
      </c>
      <c r="M720" s="72"/>
      <c r="N720" s="31"/>
      <c r="O720" s="85" t="str">
        <f>IF(Tabel1[[#This Row],[% uren 3:]]="","",Tabel1[[#This Row],[% uren 3:]]*Tabel1[[#This Row],[Totale uren:]])</f>
        <v/>
      </c>
      <c r="P720" s="138" t="str">
        <f>IF(Tabel1[[#This Row],[Ordernummer:]]="","",SUM(Tabel1[[#This Row],[% uren 1:]],Tabel1[[#This Row],[% uren 2:]],Tabel1[[#This Row],[% uren 3:]]))</f>
        <v/>
      </c>
      <c r="Q720" s="127"/>
      <c r="R720" s="128"/>
      <c r="S720" s="44"/>
      <c r="T720" s="25"/>
    </row>
    <row r="721" spans="2:20" x14ac:dyDescent="0.25">
      <c r="B721" s="7"/>
      <c r="C721" s="10"/>
      <c r="D721" s="10"/>
      <c r="E721" s="72"/>
      <c r="F721" s="73"/>
      <c r="G721" s="72"/>
      <c r="H721" s="31"/>
      <c r="I721" s="85" t="str">
        <f>IF(Tabel1[[#This Row],[% uren 1:]]="","",Tabel1[[#This Row],[% uren 1:]]*Tabel1[[#This Row],[Totale uren:]])</f>
        <v/>
      </c>
      <c r="J721" s="68"/>
      <c r="K721" s="31"/>
      <c r="L721" s="86" t="str">
        <f>IF(Tabel1[[#This Row],[% uren 2:]]="","",Tabel1[[#This Row],[% uren 2:]]*Tabel1[[#This Row],[Totale uren:]])</f>
        <v/>
      </c>
      <c r="M721" s="72"/>
      <c r="N721" s="31"/>
      <c r="O721" s="85" t="str">
        <f>IF(Tabel1[[#This Row],[% uren 3:]]="","",Tabel1[[#This Row],[% uren 3:]]*Tabel1[[#This Row],[Totale uren:]])</f>
        <v/>
      </c>
      <c r="P721" s="138" t="str">
        <f>IF(Tabel1[[#This Row],[Ordernummer:]]="","",SUM(Tabel1[[#This Row],[% uren 1:]],Tabel1[[#This Row],[% uren 2:]],Tabel1[[#This Row],[% uren 3:]]))</f>
        <v/>
      </c>
      <c r="Q721" s="127"/>
      <c r="R721" s="128"/>
      <c r="S721" s="44"/>
      <c r="T721" s="25"/>
    </row>
    <row r="722" spans="2:20" x14ac:dyDescent="0.25">
      <c r="B722" s="7"/>
      <c r="C722" s="10"/>
      <c r="D722" s="10"/>
      <c r="E722" s="72"/>
      <c r="F722" s="73"/>
      <c r="G722" s="72"/>
      <c r="H722" s="31"/>
      <c r="I722" s="85" t="str">
        <f>IF(Tabel1[[#This Row],[% uren 1:]]="","",Tabel1[[#This Row],[% uren 1:]]*Tabel1[[#This Row],[Totale uren:]])</f>
        <v/>
      </c>
      <c r="J722" s="68"/>
      <c r="K722" s="31"/>
      <c r="L722" s="86" t="str">
        <f>IF(Tabel1[[#This Row],[% uren 2:]]="","",Tabel1[[#This Row],[% uren 2:]]*Tabel1[[#This Row],[Totale uren:]])</f>
        <v/>
      </c>
      <c r="M722" s="72"/>
      <c r="N722" s="31"/>
      <c r="O722" s="85" t="str">
        <f>IF(Tabel1[[#This Row],[% uren 3:]]="","",Tabel1[[#This Row],[% uren 3:]]*Tabel1[[#This Row],[Totale uren:]])</f>
        <v/>
      </c>
      <c r="P722" s="138" t="str">
        <f>IF(Tabel1[[#This Row],[Ordernummer:]]="","",SUM(Tabel1[[#This Row],[% uren 1:]],Tabel1[[#This Row],[% uren 2:]],Tabel1[[#This Row],[% uren 3:]]))</f>
        <v/>
      </c>
      <c r="Q722" s="127"/>
      <c r="R722" s="128"/>
      <c r="S722" s="44"/>
      <c r="T722" s="25"/>
    </row>
    <row r="723" spans="2:20" x14ac:dyDescent="0.25">
      <c r="B723" s="7"/>
      <c r="C723" s="10"/>
      <c r="D723" s="10"/>
      <c r="E723" s="72"/>
      <c r="F723" s="73"/>
      <c r="G723" s="72"/>
      <c r="H723" s="31"/>
      <c r="I723" s="85" t="str">
        <f>IF(Tabel1[[#This Row],[% uren 1:]]="","",Tabel1[[#This Row],[% uren 1:]]*Tabel1[[#This Row],[Totale uren:]])</f>
        <v/>
      </c>
      <c r="J723" s="68"/>
      <c r="K723" s="31"/>
      <c r="L723" s="86" t="str">
        <f>IF(Tabel1[[#This Row],[% uren 2:]]="","",Tabel1[[#This Row],[% uren 2:]]*Tabel1[[#This Row],[Totale uren:]])</f>
        <v/>
      </c>
      <c r="M723" s="72"/>
      <c r="N723" s="31"/>
      <c r="O723" s="85" t="str">
        <f>IF(Tabel1[[#This Row],[% uren 3:]]="","",Tabel1[[#This Row],[% uren 3:]]*Tabel1[[#This Row],[Totale uren:]])</f>
        <v/>
      </c>
      <c r="P723" s="138" t="str">
        <f>IF(Tabel1[[#This Row],[Ordernummer:]]="","",SUM(Tabel1[[#This Row],[% uren 1:]],Tabel1[[#This Row],[% uren 2:]],Tabel1[[#This Row],[% uren 3:]]))</f>
        <v/>
      </c>
      <c r="Q723" s="127"/>
      <c r="R723" s="128"/>
      <c r="S723" s="44"/>
      <c r="T723" s="25"/>
    </row>
    <row r="724" spans="2:20" x14ac:dyDescent="0.25">
      <c r="B724" s="7"/>
      <c r="C724" s="10"/>
      <c r="D724" s="10"/>
      <c r="E724" s="72"/>
      <c r="F724" s="73"/>
      <c r="G724" s="72"/>
      <c r="H724" s="31"/>
      <c r="I724" s="85" t="str">
        <f>IF(Tabel1[[#This Row],[% uren 1:]]="","",Tabel1[[#This Row],[% uren 1:]]*Tabel1[[#This Row],[Totale uren:]])</f>
        <v/>
      </c>
      <c r="J724" s="68"/>
      <c r="K724" s="31"/>
      <c r="L724" s="86" t="str">
        <f>IF(Tabel1[[#This Row],[% uren 2:]]="","",Tabel1[[#This Row],[% uren 2:]]*Tabel1[[#This Row],[Totale uren:]])</f>
        <v/>
      </c>
      <c r="M724" s="72"/>
      <c r="N724" s="31"/>
      <c r="O724" s="85" t="str">
        <f>IF(Tabel1[[#This Row],[% uren 3:]]="","",Tabel1[[#This Row],[% uren 3:]]*Tabel1[[#This Row],[Totale uren:]])</f>
        <v/>
      </c>
      <c r="P724" s="138" t="str">
        <f>IF(Tabel1[[#This Row],[Ordernummer:]]="","",SUM(Tabel1[[#This Row],[% uren 1:]],Tabel1[[#This Row],[% uren 2:]],Tabel1[[#This Row],[% uren 3:]]))</f>
        <v/>
      </c>
      <c r="Q724" s="127"/>
      <c r="R724" s="128"/>
      <c r="S724" s="44"/>
      <c r="T724" s="25"/>
    </row>
    <row r="725" spans="2:20" x14ac:dyDescent="0.25">
      <c r="B725" s="7"/>
      <c r="C725" s="10"/>
      <c r="D725" s="10"/>
      <c r="E725" s="72"/>
      <c r="F725" s="73"/>
      <c r="G725" s="72"/>
      <c r="H725" s="31"/>
      <c r="I725" s="85" t="str">
        <f>IF(Tabel1[[#This Row],[% uren 1:]]="","",Tabel1[[#This Row],[% uren 1:]]*Tabel1[[#This Row],[Totale uren:]])</f>
        <v/>
      </c>
      <c r="J725" s="68"/>
      <c r="K725" s="31"/>
      <c r="L725" s="86" t="str">
        <f>IF(Tabel1[[#This Row],[% uren 2:]]="","",Tabel1[[#This Row],[% uren 2:]]*Tabel1[[#This Row],[Totale uren:]])</f>
        <v/>
      </c>
      <c r="M725" s="72"/>
      <c r="N725" s="31"/>
      <c r="O725" s="85" t="str">
        <f>IF(Tabel1[[#This Row],[% uren 3:]]="","",Tabel1[[#This Row],[% uren 3:]]*Tabel1[[#This Row],[Totale uren:]])</f>
        <v/>
      </c>
      <c r="P725" s="138" t="str">
        <f>IF(Tabel1[[#This Row],[Ordernummer:]]="","",SUM(Tabel1[[#This Row],[% uren 1:]],Tabel1[[#This Row],[% uren 2:]],Tabel1[[#This Row],[% uren 3:]]))</f>
        <v/>
      </c>
      <c r="Q725" s="127"/>
      <c r="R725" s="128"/>
      <c r="S725" s="44"/>
      <c r="T725" s="25"/>
    </row>
    <row r="726" spans="2:20" x14ac:dyDescent="0.25">
      <c r="B726" s="7"/>
      <c r="C726" s="10"/>
      <c r="D726" s="10"/>
      <c r="E726" s="72"/>
      <c r="F726" s="73"/>
      <c r="G726" s="72"/>
      <c r="H726" s="31"/>
      <c r="I726" s="85" t="str">
        <f>IF(Tabel1[[#This Row],[% uren 1:]]="","",Tabel1[[#This Row],[% uren 1:]]*Tabel1[[#This Row],[Totale uren:]])</f>
        <v/>
      </c>
      <c r="J726" s="68"/>
      <c r="K726" s="31"/>
      <c r="L726" s="86" t="str">
        <f>IF(Tabel1[[#This Row],[% uren 2:]]="","",Tabel1[[#This Row],[% uren 2:]]*Tabel1[[#This Row],[Totale uren:]])</f>
        <v/>
      </c>
      <c r="M726" s="72"/>
      <c r="N726" s="31"/>
      <c r="O726" s="85" t="str">
        <f>IF(Tabel1[[#This Row],[% uren 3:]]="","",Tabel1[[#This Row],[% uren 3:]]*Tabel1[[#This Row],[Totale uren:]])</f>
        <v/>
      </c>
      <c r="P726" s="138" t="str">
        <f>IF(Tabel1[[#This Row],[Ordernummer:]]="","",SUM(Tabel1[[#This Row],[% uren 1:]],Tabel1[[#This Row],[% uren 2:]],Tabel1[[#This Row],[% uren 3:]]))</f>
        <v/>
      </c>
      <c r="Q726" s="127"/>
      <c r="R726" s="128"/>
      <c r="S726" s="44"/>
      <c r="T726" s="25"/>
    </row>
    <row r="727" spans="2:20" x14ac:dyDescent="0.25">
      <c r="B727" s="7"/>
      <c r="C727" s="10"/>
      <c r="D727" s="10"/>
      <c r="E727" s="72"/>
      <c r="F727" s="73"/>
      <c r="G727" s="72"/>
      <c r="H727" s="31"/>
      <c r="I727" s="85" t="str">
        <f>IF(Tabel1[[#This Row],[% uren 1:]]="","",Tabel1[[#This Row],[% uren 1:]]*Tabel1[[#This Row],[Totale uren:]])</f>
        <v/>
      </c>
      <c r="J727" s="68"/>
      <c r="K727" s="31"/>
      <c r="L727" s="86" t="str">
        <f>IF(Tabel1[[#This Row],[% uren 2:]]="","",Tabel1[[#This Row],[% uren 2:]]*Tabel1[[#This Row],[Totale uren:]])</f>
        <v/>
      </c>
      <c r="M727" s="72"/>
      <c r="N727" s="31"/>
      <c r="O727" s="85" t="str">
        <f>IF(Tabel1[[#This Row],[% uren 3:]]="","",Tabel1[[#This Row],[% uren 3:]]*Tabel1[[#This Row],[Totale uren:]])</f>
        <v/>
      </c>
      <c r="P727" s="138" t="str">
        <f>IF(Tabel1[[#This Row],[Ordernummer:]]="","",SUM(Tabel1[[#This Row],[% uren 1:]],Tabel1[[#This Row],[% uren 2:]],Tabel1[[#This Row],[% uren 3:]]))</f>
        <v/>
      </c>
      <c r="Q727" s="127"/>
      <c r="R727" s="128"/>
      <c r="S727" s="44"/>
      <c r="T727" s="25"/>
    </row>
    <row r="728" spans="2:20" x14ac:dyDescent="0.25">
      <c r="B728" s="7"/>
      <c r="C728" s="10"/>
      <c r="D728" s="10"/>
      <c r="E728" s="72"/>
      <c r="F728" s="73"/>
      <c r="G728" s="72"/>
      <c r="H728" s="31"/>
      <c r="I728" s="85" t="str">
        <f>IF(Tabel1[[#This Row],[% uren 1:]]="","",Tabel1[[#This Row],[% uren 1:]]*Tabel1[[#This Row],[Totale uren:]])</f>
        <v/>
      </c>
      <c r="J728" s="68"/>
      <c r="K728" s="31"/>
      <c r="L728" s="86" t="str">
        <f>IF(Tabel1[[#This Row],[% uren 2:]]="","",Tabel1[[#This Row],[% uren 2:]]*Tabel1[[#This Row],[Totale uren:]])</f>
        <v/>
      </c>
      <c r="M728" s="72"/>
      <c r="N728" s="31"/>
      <c r="O728" s="85" t="str">
        <f>IF(Tabel1[[#This Row],[% uren 3:]]="","",Tabel1[[#This Row],[% uren 3:]]*Tabel1[[#This Row],[Totale uren:]])</f>
        <v/>
      </c>
      <c r="P728" s="138" t="str">
        <f>IF(Tabel1[[#This Row],[Ordernummer:]]="","",SUM(Tabel1[[#This Row],[% uren 1:]],Tabel1[[#This Row],[% uren 2:]],Tabel1[[#This Row],[% uren 3:]]))</f>
        <v/>
      </c>
      <c r="Q728" s="127"/>
      <c r="R728" s="128"/>
      <c r="S728" s="44"/>
      <c r="T728" s="25"/>
    </row>
    <row r="729" spans="2:20" x14ac:dyDescent="0.25">
      <c r="B729" s="7"/>
      <c r="C729" s="10"/>
      <c r="D729" s="10"/>
      <c r="E729" s="72"/>
      <c r="F729" s="73"/>
      <c r="G729" s="72"/>
      <c r="H729" s="31"/>
      <c r="I729" s="85" t="str">
        <f>IF(Tabel1[[#This Row],[% uren 1:]]="","",Tabel1[[#This Row],[% uren 1:]]*Tabel1[[#This Row],[Totale uren:]])</f>
        <v/>
      </c>
      <c r="J729" s="68"/>
      <c r="K729" s="31"/>
      <c r="L729" s="86" t="str">
        <f>IF(Tabel1[[#This Row],[% uren 2:]]="","",Tabel1[[#This Row],[% uren 2:]]*Tabel1[[#This Row],[Totale uren:]])</f>
        <v/>
      </c>
      <c r="M729" s="72"/>
      <c r="N729" s="31"/>
      <c r="O729" s="85" t="str">
        <f>IF(Tabel1[[#This Row],[% uren 3:]]="","",Tabel1[[#This Row],[% uren 3:]]*Tabel1[[#This Row],[Totale uren:]])</f>
        <v/>
      </c>
      <c r="P729" s="138" t="str">
        <f>IF(Tabel1[[#This Row],[Ordernummer:]]="","",SUM(Tabel1[[#This Row],[% uren 1:]],Tabel1[[#This Row],[% uren 2:]],Tabel1[[#This Row],[% uren 3:]]))</f>
        <v/>
      </c>
      <c r="Q729" s="127"/>
      <c r="R729" s="128"/>
      <c r="S729" s="44"/>
      <c r="T729" s="25"/>
    </row>
    <row r="730" spans="2:20" x14ac:dyDescent="0.25">
      <c r="B730" s="7"/>
      <c r="C730" s="10"/>
      <c r="D730" s="10"/>
      <c r="E730" s="72"/>
      <c r="F730" s="73"/>
      <c r="G730" s="72"/>
      <c r="H730" s="31"/>
      <c r="I730" s="85" t="str">
        <f>IF(Tabel1[[#This Row],[% uren 1:]]="","",Tabel1[[#This Row],[% uren 1:]]*Tabel1[[#This Row],[Totale uren:]])</f>
        <v/>
      </c>
      <c r="J730" s="68"/>
      <c r="K730" s="31"/>
      <c r="L730" s="86" t="str">
        <f>IF(Tabel1[[#This Row],[% uren 2:]]="","",Tabel1[[#This Row],[% uren 2:]]*Tabel1[[#This Row],[Totale uren:]])</f>
        <v/>
      </c>
      <c r="M730" s="72"/>
      <c r="N730" s="31"/>
      <c r="O730" s="85" t="str">
        <f>IF(Tabel1[[#This Row],[% uren 3:]]="","",Tabel1[[#This Row],[% uren 3:]]*Tabel1[[#This Row],[Totale uren:]])</f>
        <v/>
      </c>
      <c r="P730" s="138" t="str">
        <f>IF(Tabel1[[#This Row],[Ordernummer:]]="","",SUM(Tabel1[[#This Row],[% uren 1:]],Tabel1[[#This Row],[% uren 2:]],Tabel1[[#This Row],[% uren 3:]]))</f>
        <v/>
      </c>
      <c r="Q730" s="127"/>
      <c r="R730" s="128"/>
      <c r="S730" s="44"/>
      <c r="T730" s="25"/>
    </row>
    <row r="731" spans="2:20" x14ac:dyDescent="0.25">
      <c r="B731" s="7"/>
      <c r="C731" s="10"/>
      <c r="D731" s="10"/>
      <c r="E731" s="72"/>
      <c r="F731" s="73"/>
      <c r="G731" s="72"/>
      <c r="H731" s="31"/>
      <c r="I731" s="85" t="str">
        <f>IF(Tabel1[[#This Row],[% uren 1:]]="","",Tabel1[[#This Row],[% uren 1:]]*Tabel1[[#This Row],[Totale uren:]])</f>
        <v/>
      </c>
      <c r="J731" s="68"/>
      <c r="K731" s="31"/>
      <c r="L731" s="86" t="str">
        <f>IF(Tabel1[[#This Row],[% uren 2:]]="","",Tabel1[[#This Row],[% uren 2:]]*Tabel1[[#This Row],[Totale uren:]])</f>
        <v/>
      </c>
      <c r="M731" s="72"/>
      <c r="N731" s="31"/>
      <c r="O731" s="85" t="str">
        <f>IF(Tabel1[[#This Row],[% uren 3:]]="","",Tabel1[[#This Row],[% uren 3:]]*Tabel1[[#This Row],[Totale uren:]])</f>
        <v/>
      </c>
      <c r="P731" s="138" t="str">
        <f>IF(Tabel1[[#This Row],[Ordernummer:]]="","",SUM(Tabel1[[#This Row],[% uren 1:]],Tabel1[[#This Row],[% uren 2:]],Tabel1[[#This Row],[% uren 3:]]))</f>
        <v/>
      </c>
      <c r="Q731" s="127"/>
      <c r="R731" s="128"/>
      <c r="S731" s="44"/>
      <c r="T731" s="25"/>
    </row>
    <row r="732" spans="2:20" x14ac:dyDescent="0.25">
      <c r="B732" s="7"/>
      <c r="C732" s="10"/>
      <c r="D732" s="10"/>
      <c r="E732" s="72"/>
      <c r="F732" s="73"/>
      <c r="G732" s="72"/>
      <c r="H732" s="31"/>
      <c r="I732" s="85" t="str">
        <f>IF(Tabel1[[#This Row],[% uren 1:]]="","",Tabel1[[#This Row],[% uren 1:]]*Tabel1[[#This Row],[Totale uren:]])</f>
        <v/>
      </c>
      <c r="J732" s="68"/>
      <c r="K732" s="31"/>
      <c r="L732" s="86" t="str">
        <f>IF(Tabel1[[#This Row],[% uren 2:]]="","",Tabel1[[#This Row],[% uren 2:]]*Tabel1[[#This Row],[Totale uren:]])</f>
        <v/>
      </c>
      <c r="M732" s="72"/>
      <c r="N732" s="31"/>
      <c r="O732" s="85" t="str">
        <f>IF(Tabel1[[#This Row],[% uren 3:]]="","",Tabel1[[#This Row],[% uren 3:]]*Tabel1[[#This Row],[Totale uren:]])</f>
        <v/>
      </c>
      <c r="P732" s="138" t="str">
        <f>IF(Tabel1[[#This Row],[Ordernummer:]]="","",SUM(Tabel1[[#This Row],[% uren 1:]],Tabel1[[#This Row],[% uren 2:]],Tabel1[[#This Row],[% uren 3:]]))</f>
        <v/>
      </c>
      <c r="Q732" s="127"/>
      <c r="R732" s="128"/>
      <c r="S732" s="44"/>
      <c r="T732" s="25"/>
    </row>
    <row r="733" spans="2:20" x14ac:dyDescent="0.25">
      <c r="B733" s="7"/>
      <c r="C733" s="10"/>
      <c r="D733" s="10"/>
      <c r="E733" s="72"/>
      <c r="F733" s="73"/>
      <c r="G733" s="72"/>
      <c r="H733" s="31"/>
      <c r="I733" s="85" t="str">
        <f>IF(Tabel1[[#This Row],[% uren 1:]]="","",Tabel1[[#This Row],[% uren 1:]]*Tabel1[[#This Row],[Totale uren:]])</f>
        <v/>
      </c>
      <c r="J733" s="68"/>
      <c r="K733" s="31"/>
      <c r="L733" s="86" t="str">
        <f>IF(Tabel1[[#This Row],[% uren 2:]]="","",Tabel1[[#This Row],[% uren 2:]]*Tabel1[[#This Row],[Totale uren:]])</f>
        <v/>
      </c>
      <c r="M733" s="72"/>
      <c r="N733" s="31"/>
      <c r="O733" s="85" t="str">
        <f>IF(Tabel1[[#This Row],[% uren 3:]]="","",Tabel1[[#This Row],[% uren 3:]]*Tabel1[[#This Row],[Totale uren:]])</f>
        <v/>
      </c>
      <c r="P733" s="138" t="str">
        <f>IF(Tabel1[[#This Row],[Ordernummer:]]="","",SUM(Tabel1[[#This Row],[% uren 1:]],Tabel1[[#This Row],[% uren 2:]],Tabel1[[#This Row],[% uren 3:]]))</f>
        <v/>
      </c>
      <c r="Q733" s="127"/>
      <c r="R733" s="128"/>
      <c r="S733" s="44"/>
      <c r="T733" s="25"/>
    </row>
    <row r="734" spans="2:20" x14ac:dyDescent="0.25">
      <c r="B734" s="7"/>
      <c r="C734" s="10"/>
      <c r="D734" s="10"/>
      <c r="E734" s="72"/>
      <c r="F734" s="73"/>
      <c r="G734" s="72"/>
      <c r="H734" s="31"/>
      <c r="I734" s="85" t="str">
        <f>IF(Tabel1[[#This Row],[% uren 1:]]="","",Tabel1[[#This Row],[% uren 1:]]*Tabel1[[#This Row],[Totale uren:]])</f>
        <v/>
      </c>
      <c r="J734" s="68"/>
      <c r="K734" s="31"/>
      <c r="L734" s="86" t="str">
        <f>IF(Tabel1[[#This Row],[% uren 2:]]="","",Tabel1[[#This Row],[% uren 2:]]*Tabel1[[#This Row],[Totale uren:]])</f>
        <v/>
      </c>
      <c r="M734" s="72"/>
      <c r="N734" s="31"/>
      <c r="O734" s="85" t="str">
        <f>IF(Tabel1[[#This Row],[% uren 3:]]="","",Tabel1[[#This Row],[% uren 3:]]*Tabel1[[#This Row],[Totale uren:]])</f>
        <v/>
      </c>
      <c r="P734" s="138" t="str">
        <f>IF(Tabel1[[#This Row],[Ordernummer:]]="","",SUM(Tabel1[[#This Row],[% uren 1:]],Tabel1[[#This Row],[% uren 2:]],Tabel1[[#This Row],[% uren 3:]]))</f>
        <v/>
      </c>
      <c r="Q734" s="127"/>
      <c r="R734" s="128"/>
      <c r="S734" s="44"/>
      <c r="T734" s="25"/>
    </row>
    <row r="735" spans="2:20" x14ac:dyDescent="0.25">
      <c r="B735" s="7"/>
      <c r="C735" s="10"/>
      <c r="D735" s="10"/>
      <c r="E735" s="72"/>
      <c r="F735" s="73"/>
      <c r="G735" s="72"/>
      <c r="H735" s="31"/>
      <c r="I735" s="85" t="str">
        <f>IF(Tabel1[[#This Row],[% uren 1:]]="","",Tabel1[[#This Row],[% uren 1:]]*Tabel1[[#This Row],[Totale uren:]])</f>
        <v/>
      </c>
      <c r="J735" s="68"/>
      <c r="K735" s="31"/>
      <c r="L735" s="86" t="str">
        <f>IF(Tabel1[[#This Row],[% uren 2:]]="","",Tabel1[[#This Row],[% uren 2:]]*Tabel1[[#This Row],[Totale uren:]])</f>
        <v/>
      </c>
      <c r="M735" s="72"/>
      <c r="N735" s="31"/>
      <c r="O735" s="85" t="str">
        <f>IF(Tabel1[[#This Row],[% uren 3:]]="","",Tabel1[[#This Row],[% uren 3:]]*Tabel1[[#This Row],[Totale uren:]])</f>
        <v/>
      </c>
      <c r="P735" s="138" t="str">
        <f>IF(Tabel1[[#This Row],[Ordernummer:]]="","",SUM(Tabel1[[#This Row],[% uren 1:]],Tabel1[[#This Row],[% uren 2:]],Tabel1[[#This Row],[% uren 3:]]))</f>
        <v/>
      </c>
      <c r="Q735" s="127"/>
      <c r="R735" s="128"/>
      <c r="S735" s="44"/>
      <c r="T735" s="25"/>
    </row>
    <row r="736" spans="2:20" x14ac:dyDescent="0.25">
      <c r="B736" s="7"/>
      <c r="C736" s="10"/>
      <c r="D736" s="10"/>
      <c r="E736" s="72"/>
      <c r="F736" s="73"/>
      <c r="G736" s="72"/>
      <c r="H736" s="31"/>
      <c r="I736" s="85" t="str">
        <f>IF(Tabel1[[#This Row],[% uren 1:]]="","",Tabel1[[#This Row],[% uren 1:]]*Tabel1[[#This Row],[Totale uren:]])</f>
        <v/>
      </c>
      <c r="J736" s="68"/>
      <c r="K736" s="31"/>
      <c r="L736" s="86" t="str">
        <f>IF(Tabel1[[#This Row],[% uren 2:]]="","",Tabel1[[#This Row],[% uren 2:]]*Tabel1[[#This Row],[Totale uren:]])</f>
        <v/>
      </c>
      <c r="M736" s="72"/>
      <c r="N736" s="31"/>
      <c r="O736" s="85" t="str">
        <f>IF(Tabel1[[#This Row],[% uren 3:]]="","",Tabel1[[#This Row],[% uren 3:]]*Tabel1[[#This Row],[Totale uren:]])</f>
        <v/>
      </c>
      <c r="P736" s="138" t="str">
        <f>IF(Tabel1[[#This Row],[Ordernummer:]]="","",SUM(Tabel1[[#This Row],[% uren 1:]],Tabel1[[#This Row],[% uren 2:]],Tabel1[[#This Row],[% uren 3:]]))</f>
        <v/>
      </c>
      <c r="Q736" s="127"/>
      <c r="R736" s="128"/>
      <c r="S736" s="44"/>
      <c r="T736" s="25"/>
    </row>
    <row r="737" spans="2:20" x14ac:dyDescent="0.25">
      <c r="B737" s="7"/>
      <c r="C737" s="10"/>
      <c r="D737" s="10"/>
      <c r="E737" s="72"/>
      <c r="F737" s="73"/>
      <c r="G737" s="72"/>
      <c r="H737" s="31"/>
      <c r="I737" s="85" t="str">
        <f>IF(Tabel1[[#This Row],[% uren 1:]]="","",Tabel1[[#This Row],[% uren 1:]]*Tabel1[[#This Row],[Totale uren:]])</f>
        <v/>
      </c>
      <c r="J737" s="68"/>
      <c r="K737" s="31"/>
      <c r="L737" s="86" t="str">
        <f>IF(Tabel1[[#This Row],[% uren 2:]]="","",Tabel1[[#This Row],[% uren 2:]]*Tabel1[[#This Row],[Totale uren:]])</f>
        <v/>
      </c>
      <c r="M737" s="72"/>
      <c r="N737" s="31"/>
      <c r="O737" s="85" t="str">
        <f>IF(Tabel1[[#This Row],[% uren 3:]]="","",Tabel1[[#This Row],[% uren 3:]]*Tabel1[[#This Row],[Totale uren:]])</f>
        <v/>
      </c>
      <c r="P737" s="138" t="str">
        <f>IF(Tabel1[[#This Row],[Ordernummer:]]="","",SUM(Tabel1[[#This Row],[% uren 1:]],Tabel1[[#This Row],[% uren 2:]],Tabel1[[#This Row],[% uren 3:]]))</f>
        <v/>
      </c>
      <c r="Q737" s="127"/>
      <c r="R737" s="128"/>
      <c r="S737" s="44"/>
      <c r="T737" s="25"/>
    </row>
    <row r="738" spans="2:20" x14ac:dyDescent="0.25">
      <c r="B738" s="7"/>
      <c r="C738" s="10"/>
      <c r="D738" s="10"/>
      <c r="E738" s="72"/>
      <c r="F738" s="73"/>
      <c r="G738" s="72"/>
      <c r="H738" s="31"/>
      <c r="I738" s="85" t="str">
        <f>IF(Tabel1[[#This Row],[% uren 1:]]="","",Tabel1[[#This Row],[% uren 1:]]*Tabel1[[#This Row],[Totale uren:]])</f>
        <v/>
      </c>
      <c r="J738" s="68"/>
      <c r="K738" s="31"/>
      <c r="L738" s="86" t="str">
        <f>IF(Tabel1[[#This Row],[% uren 2:]]="","",Tabel1[[#This Row],[% uren 2:]]*Tabel1[[#This Row],[Totale uren:]])</f>
        <v/>
      </c>
      <c r="M738" s="72"/>
      <c r="N738" s="31"/>
      <c r="O738" s="85" t="str">
        <f>IF(Tabel1[[#This Row],[% uren 3:]]="","",Tabel1[[#This Row],[% uren 3:]]*Tabel1[[#This Row],[Totale uren:]])</f>
        <v/>
      </c>
      <c r="P738" s="138" t="str">
        <f>IF(Tabel1[[#This Row],[Ordernummer:]]="","",SUM(Tabel1[[#This Row],[% uren 1:]],Tabel1[[#This Row],[% uren 2:]],Tabel1[[#This Row],[% uren 3:]]))</f>
        <v/>
      </c>
      <c r="Q738" s="127"/>
      <c r="R738" s="128"/>
      <c r="S738" s="44"/>
      <c r="T738" s="25"/>
    </row>
    <row r="739" spans="2:20" x14ac:dyDescent="0.25">
      <c r="B739" s="7"/>
      <c r="C739" s="10"/>
      <c r="D739" s="10"/>
      <c r="E739" s="72"/>
      <c r="F739" s="73"/>
      <c r="G739" s="72"/>
      <c r="H739" s="31"/>
      <c r="I739" s="85" t="str">
        <f>IF(Tabel1[[#This Row],[% uren 1:]]="","",Tabel1[[#This Row],[% uren 1:]]*Tabel1[[#This Row],[Totale uren:]])</f>
        <v/>
      </c>
      <c r="J739" s="68"/>
      <c r="K739" s="31"/>
      <c r="L739" s="86" t="str">
        <f>IF(Tabel1[[#This Row],[% uren 2:]]="","",Tabel1[[#This Row],[% uren 2:]]*Tabel1[[#This Row],[Totale uren:]])</f>
        <v/>
      </c>
      <c r="M739" s="72"/>
      <c r="N739" s="31"/>
      <c r="O739" s="85" t="str">
        <f>IF(Tabel1[[#This Row],[% uren 3:]]="","",Tabel1[[#This Row],[% uren 3:]]*Tabel1[[#This Row],[Totale uren:]])</f>
        <v/>
      </c>
      <c r="P739" s="138" t="str">
        <f>IF(Tabel1[[#This Row],[Ordernummer:]]="","",SUM(Tabel1[[#This Row],[% uren 1:]],Tabel1[[#This Row],[% uren 2:]],Tabel1[[#This Row],[% uren 3:]]))</f>
        <v/>
      </c>
      <c r="Q739" s="127"/>
      <c r="R739" s="128"/>
      <c r="S739" s="44"/>
      <c r="T739" s="25"/>
    </row>
    <row r="740" spans="2:20" x14ac:dyDescent="0.25">
      <c r="B740" s="7"/>
      <c r="C740" s="10"/>
      <c r="D740" s="10"/>
      <c r="E740" s="72"/>
      <c r="F740" s="73"/>
      <c r="G740" s="72"/>
      <c r="H740" s="31"/>
      <c r="I740" s="85" t="str">
        <f>IF(Tabel1[[#This Row],[% uren 1:]]="","",Tabel1[[#This Row],[% uren 1:]]*Tabel1[[#This Row],[Totale uren:]])</f>
        <v/>
      </c>
      <c r="J740" s="68"/>
      <c r="K740" s="31"/>
      <c r="L740" s="86" t="str">
        <f>IF(Tabel1[[#This Row],[% uren 2:]]="","",Tabel1[[#This Row],[% uren 2:]]*Tabel1[[#This Row],[Totale uren:]])</f>
        <v/>
      </c>
      <c r="M740" s="72"/>
      <c r="N740" s="31"/>
      <c r="O740" s="85" t="str">
        <f>IF(Tabel1[[#This Row],[% uren 3:]]="","",Tabel1[[#This Row],[% uren 3:]]*Tabel1[[#This Row],[Totale uren:]])</f>
        <v/>
      </c>
      <c r="P740" s="138" t="str">
        <f>IF(Tabel1[[#This Row],[Ordernummer:]]="","",SUM(Tabel1[[#This Row],[% uren 1:]],Tabel1[[#This Row],[% uren 2:]],Tabel1[[#This Row],[% uren 3:]]))</f>
        <v/>
      </c>
      <c r="Q740" s="127"/>
      <c r="R740" s="128"/>
      <c r="S740" s="44"/>
      <c r="T740" s="25"/>
    </row>
    <row r="741" spans="2:20" x14ac:dyDescent="0.25">
      <c r="B741" s="7"/>
      <c r="C741" s="10"/>
      <c r="D741" s="10"/>
      <c r="E741" s="72"/>
      <c r="F741" s="73"/>
      <c r="G741" s="72"/>
      <c r="H741" s="31"/>
      <c r="I741" s="85" t="str">
        <f>IF(Tabel1[[#This Row],[% uren 1:]]="","",Tabel1[[#This Row],[% uren 1:]]*Tabel1[[#This Row],[Totale uren:]])</f>
        <v/>
      </c>
      <c r="J741" s="68"/>
      <c r="K741" s="31"/>
      <c r="L741" s="86" t="str">
        <f>IF(Tabel1[[#This Row],[% uren 2:]]="","",Tabel1[[#This Row],[% uren 2:]]*Tabel1[[#This Row],[Totale uren:]])</f>
        <v/>
      </c>
      <c r="M741" s="72"/>
      <c r="N741" s="31"/>
      <c r="O741" s="85" t="str">
        <f>IF(Tabel1[[#This Row],[% uren 3:]]="","",Tabel1[[#This Row],[% uren 3:]]*Tabel1[[#This Row],[Totale uren:]])</f>
        <v/>
      </c>
      <c r="P741" s="138" t="str">
        <f>IF(Tabel1[[#This Row],[Ordernummer:]]="","",SUM(Tabel1[[#This Row],[% uren 1:]],Tabel1[[#This Row],[% uren 2:]],Tabel1[[#This Row],[% uren 3:]]))</f>
        <v/>
      </c>
      <c r="Q741" s="127"/>
      <c r="R741" s="128"/>
      <c r="S741" s="44"/>
      <c r="T741" s="25"/>
    </row>
    <row r="742" spans="2:20" x14ac:dyDescent="0.25">
      <c r="B742" s="7"/>
      <c r="C742" s="10"/>
      <c r="D742" s="10"/>
      <c r="E742" s="72"/>
      <c r="F742" s="73"/>
      <c r="G742" s="72"/>
      <c r="H742" s="31"/>
      <c r="I742" s="85" t="str">
        <f>IF(Tabel1[[#This Row],[% uren 1:]]="","",Tabel1[[#This Row],[% uren 1:]]*Tabel1[[#This Row],[Totale uren:]])</f>
        <v/>
      </c>
      <c r="J742" s="68"/>
      <c r="K742" s="31"/>
      <c r="L742" s="86" t="str">
        <f>IF(Tabel1[[#This Row],[% uren 2:]]="","",Tabel1[[#This Row],[% uren 2:]]*Tabel1[[#This Row],[Totale uren:]])</f>
        <v/>
      </c>
      <c r="M742" s="72"/>
      <c r="N742" s="31"/>
      <c r="O742" s="85" t="str">
        <f>IF(Tabel1[[#This Row],[% uren 3:]]="","",Tabel1[[#This Row],[% uren 3:]]*Tabel1[[#This Row],[Totale uren:]])</f>
        <v/>
      </c>
      <c r="P742" s="138" t="str">
        <f>IF(Tabel1[[#This Row],[Ordernummer:]]="","",SUM(Tabel1[[#This Row],[% uren 1:]],Tabel1[[#This Row],[% uren 2:]],Tabel1[[#This Row],[% uren 3:]]))</f>
        <v/>
      </c>
      <c r="Q742" s="127"/>
      <c r="R742" s="128"/>
      <c r="S742" s="44"/>
      <c r="T742" s="25"/>
    </row>
    <row r="743" spans="2:20" x14ac:dyDescent="0.25">
      <c r="B743" s="7"/>
      <c r="C743" s="10"/>
      <c r="D743" s="10"/>
      <c r="E743" s="72"/>
      <c r="F743" s="73"/>
      <c r="G743" s="72"/>
      <c r="H743" s="31"/>
      <c r="I743" s="85" t="str">
        <f>IF(Tabel1[[#This Row],[% uren 1:]]="","",Tabel1[[#This Row],[% uren 1:]]*Tabel1[[#This Row],[Totale uren:]])</f>
        <v/>
      </c>
      <c r="J743" s="68"/>
      <c r="K743" s="31"/>
      <c r="L743" s="86" t="str">
        <f>IF(Tabel1[[#This Row],[% uren 2:]]="","",Tabel1[[#This Row],[% uren 2:]]*Tabel1[[#This Row],[Totale uren:]])</f>
        <v/>
      </c>
      <c r="M743" s="72"/>
      <c r="N743" s="31"/>
      <c r="O743" s="85" t="str">
        <f>IF(Tabel1[[#This Row],[% uren 3:]]="","",Tabel1[[#This Row],[% uren 3:]]*Tabel1[[#This Row],[Totale uren:]])</f>
        <v/>
      </c>
      <c r="P743" s="138" t="str">
        <f>IF(Tabel1[[#This Row],[Ordernummer:]]="","",SUM(Tabel1[[#This Row],[% uren 1:]],Tabel1[[#This Row],[% uren 2:]],Tabel1[[#This Row],[% uren 3:]]))</f>
        <v/>
      </c>
      <c r="Q743" s="127"/>
      <c r="R743" s="128"/>
      <c r="S743" s="44"/>
      <c r="T743" s="25"/>
    </row>
    <row r="744" spans="2:20" x14ac:dyDescent="0.25">
      <c r="B744" s="7"/>
      <c r="C744" s="10"/>
      <c r="D744" s="10"/>
      <c r="E744" s="72"/>
      <c r="F744" s="73"/>
      <c r="G744" s="72"/>
      <c r="H744" s="31"/>
      <c r="I744" s="85" t="str">
        <f>IF(Tabel1[[#This Row],[% uren 1:]]="","",Tabel1[[#This Row],[% uren 1:]]*Tabel1[[#This Row],[Totale uren:]])</f>
        <v/>
      </c>
      <c r="J744" s="68"/>
      <c r="K744" s="31"/>
      <c r="L744" s="86" t="str">
        <f>IF(Tabel1[[#This Row],[% uren 2:]]="","",Tabel1[[#This Row],[% uren 2:]]*Tabel1[[#This Row],[Totale uren:]])</f>
        <v/>
      </c>
      <c r="M744" s="72"/>
      <c r="N744" s="31"/>
      <c r="O744" s="85" t="str">
        <f>IF(Tabel1[[#This Row],[% uren 3:]]="","",Tabel1[[#This Row],[% uren 3:]]*Tabel1[[#This Row],[Totale uren:]])</f>
        <v/>
      </c>
      <c r="P744" s="138" t="str">
        <f>IF(Tabel1[[#This Row],[Ordernummer:]]="","",SUM(Tabel1[[#This Row],[% uren 1:]],Tabel1[[#This Row],[% uren 2:]],Tabel1[[#This Row],[% uren 3:]]))</f>
        <v/>
      </c>
      <c r="Q744" s="127"/>
      <c r="R744" s="128"/>
      <c r="S744" s="44"/>
      <c r="T744" s="25"/>
    </row>
    <row r="745" spans="2:20" x14ac:dyDescent="0.25">
      <c r="B745" s="7"/>
      <c r="C745" s="10"/>
      <c r="D745" s="10"/>
      <c r="E745" s="72"/>
      <c r="F745" s="73"/>
      <c r="G745" s="72"/>
      <c r="H745" s="31"/>
      <c r="I745" s="85" t="str">
        <f>IF(Tabel1[[#This Row],[% uren 1:]]="","",Tabel1[[#This Row],[% uren 1:]]*Tabel1[[#This Row],[Totale uren:]])</f>
        <v/>
      </c>
      <c r="J745" s="68"/>
      <c r="K745" s="31"/>
      <c r="L745" s="86" t="str">
        <f>IF(Tabel1[[#This Row],[% uren 2:]]="","",Tabel1[[#This Row],[% uren 2:]]*Tabel1[[#This Row],[Totale uren:]])</f>
        <v/>
      </c>
      <c r="M745" s="72"/>
      <c r="N745" s="31"/>
      <c r="O745" s="85" t="str">
        <f>IF(Tabel1[[#This Row],[% uren 3:]]="","",Tabel1[[#This Row],[% uren 3:]]*Tabel1[[#This Row],[Totale uren:]])</f>
        <v/>
      </c>
      <c r="P745" s="138" t="str">
        <f>IF(Tabel1[[#This Row],[Ordernummer:]]="","",SUM(Tabel1[[#This Row],[% uren 1:]],Tabel1[[#This Row],[% uren 2:]],Tabel1[[#This Row],[% uren 3:]]))</f>
        <v/>
      </c>
      <c r="Q745" s="127"/>
      <c r="R745" s="128"/>
      <c r="S745" s="44"/>
      <c r="T745" s="25"/>
    </row>
    <row r="746" spans="2:20" x14ac:dyDescent="0.25">
      <c r="B746" s="7"/>
      <c r="C746" s="10"/>
      <c r="D746" s="10"/>
      <c r="E746" s="72"/>
      <c r="F746" s="73"/>
      <c r="G746" s="72"/>
      <c r="H746" s="31"/>
      <c r="I746" s="85" t="str">
        <f>IF(Tabel1[[#This Row],[% uren 1:]]="","",Tabel1[[#This Row],[% uren 1:]]*Tabel1[[#This Row],[Totale uren:]])</f>
        <v/>
      </c>
      <c r="J746" s="68"/>
      <c r="K746" s="31"/>
      <c r="L746" s="86" t="str">
        <f>IF(Tabel1[[#This Row],[% uren 2:]]="","",Tabel1[[#This Row],[% uren 2:]]*Tabel1[[#This Row],[Totale uren:]])</f>
        <v/>
      </c>
      <c r="M746" s="72"/>
      <c r="N746" s="31"/>
      <c r="O746" s="85" t="str">
        <f>IF(Tabel1[[#This Row],[% uren 3:]]="","",Tabel1[[#This Row],[% uren 3:]]*Tabel1[[#This Row],[Totale uren:]])</f>
        <v/>
      </c>
      <c r="P746" s="138" t="str">
        <f>IF(Tabel1[[#This Row],[Ordernummer:]]="","",SUM(Tabel1[[#This Row],[% uren 1:]],Tabel1[[#This Row],[% uren 2:]],Tabel1[[#This Row],[% uren 3:]]))</f>
        <v/>
      </c>
      <c r="Q746" s="127"/>
      <c r="R746" s="128"/>
      <c r="S746" s="44"/>
      <c r="T746" s="25"/>
    </row>
    <row r="747" spans="2:20" x14ac:dyDescent="0.25">
      <c r="B747" s="7"/>
      <c r="C747" s="10"/>
      <c r="D747" s="10"/>
      <c r="E747" s="72"/>
      <c r="F747" s="73"/>
      <c r="G747" s="72"/>
      <c r="H747" s="31"/>
      <c r="I747" s="85" t="str">
        <f>IF(Tabel1[[#This Row],[% uren 1:]]="","",Tabel1[[#This Row],[% uren 1:]]*Tabel1[[#This Row],[Totale uren:]])</f>
        <v/>
      </c>
      <c r="J747" s="68"/>
      <c r="K747" s="31"/>
      <c r="L747" s="86" t="str">
        <f>IF(Tabel1[[#This Row],[% uren 2:]]="","",Tabel1[[#This Row],[% uren 2:]]*Tabel1[[#This Row],[Totale uren:]])</f>
        <v/>
      </c>
      <c r="M747" s="72"/>
      <c r="N747" s="31"/>
      <c r="O747" s="85" t="str">
        <f>IF(Tabel1[[#This Row],[% uren 3:]]="","",Tabel1[[#This Row],[% uren 3:]]*Tabel1[[#This Row],[Totale uren:]])</f>
        <v/>
      </c>
      <c r="P747" s="138" t="str">
        <f>IF(Tabel1[[#This Row],[Ordernummer:]]="","",SUM(Tabel1[[#This Row],[% uren 1:]],Tabel1[[#This Row],[% uren 2:]],Tabel1[[#This Row],[% uren 3:]]))</f>
        <v/>
      </c>
      <c r="Q747" s="127"/>
      <c r="R747" s="128"/>
      <c r="S747" s="44"/>
      <c r="T747" s="25"/>
    </row>
    <row r="748" spans="2:20" x14ac:dyDescent="0.25">
      <c r="B748" s="7"/>
      <c r="C748" s="10"/>
      <c r="D748" s="10"/>
      <c r="E748" s="72"/>
      <c r="F748" s="73"/>
      <c r="G748" s="72"/>
      <c r="H748" s="31"/>
      <c r="I748" s="85" t="str">
        <f>IF(Tabel1[[#This Row],[% uren 1:]]="","",Tabel1[[#This Row],[% uren 1:]]*Tabel1[[#This Row],[Totale uren:]])</f>
        <v/>
      </c>
      <c r="J748" s="68"/>
      <c r="K748" s="31"/>
      <c r="L748" s="86" t="str">
        <f>IF(Tabel1[[#This Row],[% uren 2:]]="","",Tabel1[[#This Row],[% uren 2:]]*Tabel1[[#This Row],[Totale uren:]])</f>
        <v/>
      </c>
      <c r="M748" s="72"/>
      <c r="N748" s="31"/>
      <c r="O748" s="85" t="str">
        <f>IF(Tabel1[[#This Row],[% uren 3:]]="","",Tabel1[[#This Row],[% uren 3:]]*Tabel1[[#This Row],[Totale uren:]])</f>
        <v/>
      </c>
      <c r="P748" s="138" t="str">
        <f>IF(Tabel1[[#This Row],[Ordernummer:]]="","",SUM(Tabel1[[#This Row],[% uren 1:]],Tabel1[[#This Row],[% uren 2:]],Tabel1[[#This Row],[% uren 3:]]))</f>
        <v/>
      </c>
      <c r="Q748" s="127"/>
      <c r="R748" s="128"/>
      <c r="S748" s="44"/>
      <c r="T748" s="25"/>
    </row>
    <row r="749" spans="2:20" x14ac:dyDescent="0.25">
      <c r="B749" s="7"/>
      <c r="C749" s="10"/>
      <c r="D749" s="10"/>
      <c r="E749" s="72"/>
      <c r="F749" s="73"/>
      <c r="G749" s="72"/>
      <c r="H749" s="31"/>
      <c r="I749" s="85" t="str">
        <f>IF(Tabel1[[#This Row],[% uren 1:]]="","",Tabel1[[#This Row],[% uren 1:]]*Tabel1[[#This Row],[Totale uren:]])</f>
        <v/>
      </c>
      <c r="J749" s="68"/>
      <c r="K749" s="31"/>
      <c r="L749" s="86" t="str">
        <f>IF(Tabel1[[#This Row],[% uren 2:]]="","",Tabel1[[#This Row],[% uren 2:]]*Tabel1[[#This Row],[Totale uren:]])</f>
        <v/>
      </c>
      <c r="M749" s="72"/>
      <c r="N749" s="31"/>
      <c r="O749" s="85" t="str">
        <f>IF(Tabel1[[#This Row],[% uren 3:]]="","",Tabel1[[#This Row],[% uren 3:]]*Tabel1[[#This Row],[Totale uren:]])</f>
        <v/>
      </c>
      <c r="P749" s="138" t="str">
        <f>IF(Tabel1[[#This Row],[Ordernummer:]]="","",SUM(Tabel1[[#This Row],[% uren 1:]],Tabel1[[#This Row],[% uren 2:]],Tabel1[[#This Row],[% uren 3:]]))</f>
        <v/>
      </c>
      <c r="Q749" s="127"/>
      <c r="R749" s="128"/>
      <c r="S749" s="44"/>
      <c r="T749" s="25"/>
    </row>
    <row r="750" spans="2:20" x14ac:dyDescent="0.25">
      <c r="B750" s="7"/>
      <c r="C750" s="10"/>
      <c r="D750" s="10"/>
      <c r="E750" s="72"/>
      <c r="F750" s="73"/>
      <c r="G750" s="72"/>
      <c r="H750" s="31"/>
      <c r="I750" s="85" t="str">
        <f>IF(Tabel1[[#This Row],[% uren 1:]]="","",Tabel1[[#This Row],[% uren 1:]]*Tabel1[[#This Row],[Totale uren:]])</f>
        <v/>
      </c>
      <c r="J750" s="68"/>
      <c r="K750" s="31"/>
      <c r="L750" s="86" t="str">
        <f>IF(Tabel1[[#This Row],[% uren 2:]]="","",Tabel1[[#This Row],[% uren 2:]]*Tabel1[[#This Row],[Totale uren:]])</f>
        <v/>
      </c>
      <c r="M750" s="72"/>
      <c r="N750" s="31"/>
      <c r="O750" s="85" t="str">
        <f>IF(Tabel1[[#This Row],[% uren 3:]]="","",Tabel1[[#This Row],[% uren 3:]]*Tabel1[[#This Row],[Totale uren:]])</f>
        <v/>
      </c>
      <c r="P750" s="138" t="str">
        <f>IF(Tabel1[[#This Row],[Ordernummer:]]="","",SUM(Tabel1[[#This Row],[% uren 1:]],Tabel1[[#This Row],[% uren 2:]],Tabel1[[#This Row],[% uren 3:]]))</f>
        <v/>
      </c>
      <c r="Q750" s="127"/>
      <c r="R750" s="128"/>
      <c r="S750" s="44"/>
      <c r="T750" s="25"/>
    </row>
    <row r="751" spans="2:20" x14ac:dyDescent="0.25">
      <c r="B751" s="7"/>
      <c r="C751" s="10"/>
      <c r="D751" s="10"/>
      <c r="E751" s="72"/>
      <c r="F751" s="73"/>
      <c r="G751" s="72"/>
      <c r="H751" s="31"/>
      <c r="I751" s="85" t="str">
        <f>IF(Tabel1[[#This Row],[% uren 1:]]="","",Tabel1[[#This Row],[% uren 1:]]*Tabel1[[#This Row],[Totale uren:]])</f>
        <v/>
      </c>
      <c r="J751" s="68"/>
      <c r="K751" s="31"/>
      <c r="L751" s="86" t="str">
        <f>IF(Tabel1[[#This Row],[% uren 2:]]="","",Tabel1[[#This Row],[% uren 2:]]*Tabel1[[#This Row],[Totale uren:]])</f>
        <v/>
      </c>
      <c r="M751" s="72"/>
      <c r="N751" s="31"/>
      <c r="O751" s="85" t="str">
        <f>IF(Tabel1[[#This Row],[% uren 3:]]="","",Tabel1[[#This Row],[% uren 3:]]*Tabel1[[#This Row],[Totale uren:]])</f>
        <v/>
      </c>
      <c r="P751" s="138" t="str">
        <f>IF(Tabel1[[#This Row],[Ordernummer:]]="","",SUM(Tabel1[[#This Row],[% uren 1:]],Tabel1[[#This Row],[% uren 2:]],Tabel1[[#This Row],[% uren 3:]]))</f>
        <v/>
      </c>
      <c r="Q751" s="127"/>
      <c r="R751" s="128"/>
      <c r="S751" s="44"/>
      <c r="T751" s="25"/>
    </row>
    <row r="752" spans="2:20" x14ac:dyDescent="0.25">
      <c r="B752" s="7"/>
      <c r="C752" s="10"/>
      <c r="D752" s="10"/>
      <c r="E752" s="72"/>
      <c r="F752" s="73"/>
      <c r="G752" s="72"/>
      <c r="H752" s="31"/>
      <c r="I752" s="85" t="str">
        <f>IF(Tabel1[[#This Row],[% uren 1:]]="","",Tabel1[[#This Row],[% uren 1:]]*Tabel1[[#This Row],[Totale uren:]])</f>
        <v/>
      </c>
      <c r="J752" s="68"/>
      <c r="K752" s="31"/>
      <c r="L752" s="86" t="str">
        <f>IF(Tabel1[[#This Row],[% uren 2:]]="","",Tabel1[[#This Row],[% uren 2:]]*Tabel1[[#This Row],[Totale uren:]])</f>
        <v/>
      </c>
      <c r="M752" s="72"/>
      <c r="N752" s="31"/>
      <c r="O752" s="85" t="str">
        <f>IF(Tabel1[[#This Row],[% uren 3:]]="","",Tabel1[[#This Row],[% uren 3:]]*Tabel1[[#This Row],[Totale uren:]])</f>
        <v/>
      </c>
      <c r="P752" s="138" t="str">
        <f>IF(Tabel1[[#This Row],[Ordernummer:]]="","",SUM(Tabel1[[#This Row],[% uren 1:]],Tabel1[[#This Row],[% uren 2:]],Tabel1[[#This Row],[% uren 3:]]))</f>
        <v/>
      </c>
      <c r="Q752" s="127"/>
      <c r="R752" s="128"/>
      <c r="S752" s="44"/>
      <c r="T752" s="25"/>
    </row>
    <row r="753" spans="2:20" x14ac:dyDescent="0.25">
      <c r="B753" s="7"/>
      <c r="C753" s="10"/>
      <c r="D753" s="10"/>
      <c r="E753" s="72"/>
      <c r="F753" s="73"/>
      <c r="G753" s="72"/>
      <c r="H753" s="31"/>
      <c r="I753" s="85" t="str">
        <f>IF(Tabel1[[#This Row],[% uren 1:]]="","",Tabel1[[#This Row],[% uren 1:]]*Tabel1[[#This Row],[Totale uren:]])</f>
        <v/>
      </c>
      <c r="J753" s="68"/>
      <c r="K753" s="31"/>
      <c r="L753" s="86" t="str">
        <f>IF(Tabel1[[#This Row],[% uren 2:]]="","",Tabel1[[#This Row],[% uren 2:]]*Tabel1[[#This Row],[Totale uren:]])</f>
        <v/>
      </c>
      <c r="M753" s="72"/>
      <c r="N753" s="31"/>
      <c r="O753" s="85" t="str">
        <f>IF(Tabel1[[#This Row],[% uren 3:]]="","",Tabel1[[#This Row],[% uren 3:]]*Tabel1[[#This Row],[Totale uren:]])</f>
        <v/>
      </c>
      <c r="P753" s="138" t="str">
        <f>IF(Tabel1[[#This Row],[Ordernummer:]]="","",SUM(Tabel1[[#This Row],[% uren 1:]],Tabel1[[#This Row],[% uren 2:]],Tabel1[[#This Row],[% uren 3:]]))</f>
        <v/>
      </c>
      <c r="Q753" s="127"/>
      <c r="R753" s="128"/>
      <c r="S753" s="44"/>
      <c r="T753" s="25"/>
    </row>
    <row r="754" spans="2:20" x14ac:dyDescent="0.25">
      <c r="B754" s="7"/>
      <c r="C754" s="10"/>
      <c r="D754" s="10"/>
      <c r="E754" s="72"/>
      <c r="F754" s="73"/>
      <c r="G754" s="72"/>
      <c r="H754" s="31"/>
      <c r="I754" s="85" t="str">
        <f>IF(Tabel1[[#This Row],[% uren 1:]]="","",Tabel1[[#This Row],[% uren 1:]]*Tabel1[[#This Row],[Totale uren:]])</f>
        <v/>
      </c>
      <c r="J754" s="68"/>
      <c r="K754" s="31"/>
      <c r="L754" s="86" t="str">
        <f>IF(Tabel1[[#This Row],[% uren 2:]]="","",Tabel1[[#This Row],[% uren 2:]]*Tabel1[[#This Row],[Totale uren:]])</f>
        <v/>
      </c>
      <c r="M754" s="72"/>
      <c r="N754" s="31"/>
      <c r="O754" s="85" t="str">
        <f>IF(Tabel1[[#This Row],[% uren 3:]]="","",Tabel1[[#This Row],[% uren 3:]]*Tabel1[[#This Row],[Totale uren:]])</f>
        <v/>
      </c>
      <c r="P754" s="138" t="str">
        <f>IF(Tabel1[[#This Row],[Ordernummer:]]="","",SUM(Tabel1[[#This Row],[% uren 1:]],Tabel1[[#This Row],[% uren 2:]],Tabel1[[#This Row],[% uren 3:]]))</f>
        <v/>
      </c>
      <c r="Q754" s="127"/>
      <c r="R754" s="128"/>
      <c r="S754" s="44"/>
      <c r="T754" s="25"/>
    </row>
    <row r="755" spans="2:20" x14ac:dyDescent="0.25">
      <c r="B755" s="7"/>
      <c r="C755" s="10"/>
      <c r="D755" s="10"/>
      <c r="E755" s="72"/>
      <c r="F755" s="73"/>
      <c r="G755" s="72"/>
      <c r="H755" s="31"/>
      <c r="I755" s="85" t="str">
        <f>IF(Tabel1[[#This Row],[% uren 1:]]="","",Tabel1[[#This Row],[% uren 1:]]*Tabel1[[#This Row],[Totale uren:]])</f>
        <v/>
      </c>
      <c r="J755" s="68"/>
      <c r="K755" s="31"/>
      <c r="L755" s="86" t="str">
        <f>IF(Tabel1[[#This Row],[% uren 2:]]="","",Tabel1[[#This Row],[% uren 2:]]*Tabel1[[#This Row],[Totale uren:]])</f>
        <v/>
      </c>
      <c r="M755" s="72"/>
      <c r="N755" s="31"/>
      <c r="O755" s="85" t="str">
        <f>IF(Tabel1[[#This Row],[% uren 3:]]="","",Tabel1[[#This Row],[% uren 3:]]*Tabel1[[#This Row],[Totale uren:]])</f>
        <v/>
      </c>
      <c r="P755" s="138" t="str">
        <f>IF(Tabel1[[#This Row],[Ordernummer:]]="","",SUM(Tabel1[[#This Row],[% uren 1:]],Tabel1[[#This Row],[% uren 2:]],Tabel1[[#This Row],[% uren 3:]]))</f>
        <v/>
      </c>
      <c r="Q755" s="127"/>
      <c r="R755" s="128"/>
      <c r="S755" s="44"/>
      <c r="T755" s="25"/>
    </row>
    <row r="756" spans="2:20" x14ac:dyDescent="0.25">
      <c r="B756" s="7"/>
      <c r="C756" s="10"/>
      <c r="D756" s="10"/>
      <c r="E756" s="72"/>
      <c r="F756" s="73"/>
      <c r="G756" s="72"/>
      <c r="H756" s="31"/>
      <c r="I756" s="85" t="str">
        <f>IF(Tabel1[[#This Row],[% uren 1:]]="","",Tabel1[[#This Row],[% uren 1:]]*Tabel1[[#This Row],[Totale uren:]])</f>
        <v/>
      </c>
      <c r="J756" s="68"/>
      <c r="K756" s="31"/>
      <c r="L756" s="86" t="str">
        <f>IF(Tabel1[[#This Row],[% uren 2:]]="","",Tabel1[[#This Row],[% uren 2:]]*Tabel1[[#This Row],[Totale uren:]])</f>
        <v/>
      </c>
      <c r="M756" s="72"/>
      <c r="N756" s="31"/>
      <c r="O756" s="85" t="str">
        <f>IF(Tabel1[[#This Row],[% uren 3:]]="","",Tabel1[[#This Row],[% uren 3:]]*Tabel1[[#This Row],[Totale uren:]])</f>
        <v/>
      </c>
      <c r="P756" s="138" t="str">
        <f>IF(Tabel1[[#This Row],[Ordernummer:]]="","",SUM(Tabel1[[#This Row],[% uren 1:]],Tabel1[[#This Row],[% uren 2:]],Tabel1[[#This Row],[% uren 3:]]))</f>
        <v/>
      </c>
      <c r="Q756" s="127"/>
      <c r="R756" s="128"/>
      <c r="S756" s="44"/>
      <c r="T756" s="25"/>
    </row>
    <row r="757" spans="2:20" x14ac:dyDescent="0.25">
      <c r="B757" s="7"/>
      <c r="C757" s="10"/>
      <c r="D757" s="10"/>
      <c r="E757" s="72"/>
      <c r="F757" s="73"/>
      <c r="G757" s="72"/>
      <c r="H757" s="31"/>
      <c r="I757" s="85" t="str">
        <f>IF(Tabel1[[#This Row],[% uren 1:]]="","",Tabel1[[#This Row],[% uren 1:]]*Tabel1[[#This Row],[Totale uren:]])</f>
        <v/>
      </c>
      <c r="J757" s="68"/>
      <c r="K757" s="31"/>
      <c r="L757" s="86" t="str">
        <f>IF(Tabel1[[#This Row],[% uren 2:]]="","",Tabel1[[#This Row],[% uren 2:]]*Tabel1[[#This Row],[Totale uren:]])</f>
        <v/>
      </c>
      <c r="M757" s="72"/>
      <c r="N757" s="31"/>
      <c r="O757" s="85" t="str">
        <f>IF(Tabel1[[#This Row],[% uren 3:]]="","",Tabel1[[#This Row],[% uren 3:]]*Tabel1[[#This Row],[Totale uren:]])</f>
        <v/>
      </c>
      <c r="P757" s="138" t="str">
        <f>IF(Tabel1[[#This Row],[Ordernummer:]]="","",SUM(Tabel1[[#This Row],[% uren 1:]],Tabel1[[#This Row],[% uren 2:]],Tabel1[[#This Row],[% uren 3:]]))</f>
        <v/>
      </c>
      <c r="Q757" s="127"/>
      <c r="R757" s="128"/>
      <c r="S757" s="44"/>
      <c r="T757" s="25"/>
    </row>
    <row r="758" spans="2:20" x14ac:dyDescent="0.25">
      <c r="B758" s="7"/>
      <c r="C758" s="10"/>
      <c r="D758" s="10"/>
      <c r="E758" s="72"/>
      <c r="F758" s="73"/>
      <c r="G758" s="72"/>
      <c r="H758" s="31"/>
      <c r="I758" s="85" t="str">
        <f>IF(Tabel1[[#This Row],[% uren 1:]]="","",Tabel1[[#This Row],[% uren 1:]]*Tabel1[[#This Row],[Totale uren:]])</f>
        <v/>
      </c>
      <c r="J758" s="68"/>
      <c r="K758" s="31"/>
      <c r="L758" s="86" t="str">
        <f>IF(Tabel1[[#This Row],[% uren 2:]]="","",Tabel1[[#This Row],[% uren 2:]]*Tabel1[[#This Row],[Totale uren:]])</f>
        <v/>
      </c>
      <c r="M758" s="72"/>
      <c r="N758" s="31"/>
      <c r="O758" s="85" t="str">
        <f>IF(Tabel1[[#This Row],[% uren 3:]]="","",Tabel1[[#This Row],[% uren 3:]]*Tabel1[[#This Row],[Totale uren:]])</f>
        <v/>
      </c>
      <c r="P758" s="138" t="str">
        <f>IF(Tabel1[[#This Row],[Ordernummer:]]="","",SUM(Tabel1[[#This Row],[% uren 1:]],Tabel1[[#This Row],[% uren 2:]],Tabel1[[#This Row],[% uren 3:]]))</f>
        <v/>
      </c>
      <c r="Q758" s="127"/>
      <c r="R758" s="128"/>
      <c r="S758" s="44"/>
      <c r="T758" s="25"/>
    </row>
    <row r="759" spans="2:20" x14ac:dyDescent="0.25">
      <c r="B759" s="7"/>
      <c r="C759" s="10"/>
      <c r="D759" s="10"/>
      <c r="E759" s="72"/>
      <c r="F759" s="73"/>
      <c r="G759" s="72"/>
      <c r="H759" s="31"/>
      <c r="I759" s="85" t="str">
        <f>IF(Tabel1[[#This Row],[% uren 1:]]="","",Tabel1[[#This Row],[% uren 1:]]*Tabel1[[#This Row],[Totale uren:]])</f>
        <v/>
      </c>
      <c r="J759" s="68"/>
      <c r="K759" s="31"/>
      <c r="L759" s="86" t="str">
        <f>IF(Tabel1[[#This Row],[% uren 2:]]="","",Tabel1[[#This Row],[% uren 2:]]*Tabel1[[#This Row],[Totale uren:]])</f>
        <v/>
      </c>
      <c r="M759" s="72"/>
      <c r="N759" s="31"/>
      <c r="O759" s="85" t="str">
        <f>IF(Tabel1[[#This Row],[% uren 3:]]="","",Tabel1[[#This Row],[% uren 3:]]*Tabel1[[#This Row],[Totale uren:]])</f>
        <v/>
      </c>
      <c r="P759" s="138" t="str">
        <f>IF(Tabel1[[#This Row],[Ordernummer:]]="","",SUM(Tabel1[[#This Row],[% uren 1:]],Tabel1[[#This Row],[% uren 2:]],Tabel1[[#This Row],[% uren 3:]]))</f>
        <v/>
      </c>
      <c r="Q759" s="127"/>
      <c r="R759" s="128"/>
      <c r="S759" s="44"/>
      <c r="T759" s="25"/>
    </row>
    <row r="760" spans="2:20" x14ac:dyDescent="0.25">
      <c r="B760" s="7"/>
      <c r="C760" s="10"/>
      <c r="D760" s="10"/>
      <c r="E760" s="72"/>
      <c r="F760" s="73"/>
      <c r="G760" s="72"/>
      <c r="H760" s="31"/>
      <c r="I760" s="85" t="str">
        <f>IF(Tabel1[[#This Row],[% uren 1:]]="","",Tabel1[[#This Row],[% uren 1:]]*Tabel1[[#This Row],[Totale uren:]])</f>
        <v/>
      </c>
      <c r="J760" s="68"/>
      <c r="K760" s="31"/>
      <c r="L760" s="86" t="str">
        <f>IF(Tabel1[[#This Row],[% uren 2:]]="","",Tabel1[[#This Row],[% uren 2:]]*Tabel1[[#This Row],[Totale uren:]])</f>
        <v/>
      </c>
      <c r="M760" s="72"/>
      <c r="N760" s="31"/>
      <c r="O760" s="85" t="str">
        <f>IF(Tabel1[[#This Row],[% uren 3:]]="","",Tabel1[[#This Row],[% uren 3:]]*Tabel1[[#This Row],[Totale uren:]])</f>
        <v/>
      </c>
      <c r="P760" s="138" t="str">
        <f>IF(Tabel1[[#This Row],[Ordernummer:]]="","",SUM(Tabel1[[#This Row],[% uren 1:]],Tabel1[[#This Row],[% uren 2:]],Tabel1[[#This Row],[% uren 3:]]))</f>
        <v/>
      </c>
      <c r="Q760" s="127"/>
      <c r="R760" s="128"/>
      <c r="S760" s="44"/>
      <c r="T760" s="25"/>
    </row>
    <row r="761" spans="2:20" x14ac:dyDescent="0.25">
      <c r="B761" s="7"/>
      <c r="C761" s="10"/>
      <c r="D761" s="10"/>
      <c r="E761" s="72"/>
      <c r="F761" s="73"/>
      <c r="G761" s="72"/>
      <c r="H761" s="31"/>
      <c r="I761" s="85" t="str">
        <f>IF(Tabel1[[#This Row],[% uren 1:]]="","",Tabel1[[#This Row],[% uren 1:]]*Tabel1[[#This Row],[Totale uren:]])</f>
        <v/>
      </c>
      <c r="J761" s="68"/>
      <c r="K761" s="31"/>
      <c r="L761" s="86" t="str">
        <f>IF(Tabel1[[#This Row],[% uren 2:]]="","",Tabel1[[#This Row],[% uren 2:]]*Tabel1[[#This Row],[Totale uren:]])</f>
        <v/>
      </c>
      <c r="M761" s="72"/>
      <c r="N761" s="31"/>
      <c r="O761" s="85" t="str">
        <f>IF(Tabel1[[#This Row],[% uren 3:]]="","",Tabel1[[#This Row],[% uren 3:]]*Tabel1[[#This Row],[Totale uren:]])</f>
        <v/>
      </c>
      <c r="P761" s="138" t="str">
        <f>IF(Tabel1[[#This Row],[Ordernummer:]]="","",SUM(Tabel1[[#This Row],[% uren 1:]],Tabel1[[#This Row],[% uren 2:]],Tabel1[[#This Row],[% uren 3:]]))</f>
        <v/>
      </c>
      <c r="Q761" s="127"/>
      <c r="R761" s="128"/>
      <c r="S761" s="44"/>
      <c r="T761" s="25"/>
    </row>
    <row r="762" spans="2:20" x14ac:dyDescent="0.25">
      <c r="B762" s="7"/>
      <c r="C762" s="10"/>
      <c r="D762" s="10"/>
      <c r="E762" s="72"/>
      <c r="F762" s="73"/>
      <c r="G762" s="72"/>
      <c r="H762" s="31"/>
      <c r="I762" s="85" t="str">
        <f>IF(Tabel1[[#This Row],[% uren 1:]]="","",Tabel1[[#This Row],[% uren 1:]]*Tabel1[[#This Row],[Totale uren:]])</f>
        <v/>
      </c>
      <c r="J762" s="68"/>
      <c r="K762" s="31"/>
      <c r="L762" s="86" t="str">
        <f>IF(Tabel1[[#This Row],[% uren 2:]]="","",Tabel1[[#This Row],[% uren 2:]]*Tabel1[[#This Row],[Totale uren:]])</f>
        <v/>
      </c>
      <c r="M762" s="72"/>
      <c r="N762" s="31"/>
      <c r="O762" s="85" t="str">
        <f>IF(Tabel1[[#This Row],[% uren 3:]]="","",Tabel1[[#This Row],[% uren 3:]]*Tabel1[[#This Row],[Totale uren:]])</f>
        <v/>
      </c>
      <c r="P762" s="138" t="str">
        <f>IF(Tabel1[[#This Row],[Ordernummer:]]="","",SUM(Tabel1[[#This Row],[% uren 1:]],Tabel1[[#This Row],[% uren 2:]],Tabel1[[#This Row],[% uren 3:]]))</f>
        <v/>
      </c>
      <c r="Q762" s="127"/>
      <c r="R762" s="128"/>
      <c r="S762" s="44"/>
      <c r="T762" s="25"/>
    </row>
    <row r="763" spans="2:20" x14ac:dyDescent="0.25">
      <c r="B763" s="7"/>
      <c r="C763" s="10"/>
      <c r="D763" s="10"/>
      <c r="E763" s="72"/>
      <c r="F763" s="73"/>
      <c r="G763" s="72"/>
      <c r="H763" s="31"/>
      <c r="I763" s="85" t="str">
        <f>IF(Tabel1[[#This Row],[% uren 1:]]="","",Tabel1[[#This Row],[% uren 1:]]*Tabel1[[#This Row],[Totale uren:]])</f>
        <v/>
      </c>
      <c r="J763" s="68"/>
      <c r="K763" s="31"/>
      <c r="L763" s="86" t="str">
        <f>IF(Tabel1[[#This Row],[% uren 2:]]="","",Tabel1[[#This Row],[% uren 2:]]*Tabel1[[#This Row],[Totale uren:]])</f>
        <v/>
      </c>
      <c r="M763" s="72"/>
      <c r="N763" s="31"/>
      <c r="O763" s="85" t="str">
        <f>IF(Tabel1[[#This Row],[% uren 3:]]="","",Tabel1[[#This Row],[% uren 3:]]*Tabel1[[#This Row],[Totale uren:]])</f>
        <v/>
      </c>
      <c r="P763" s="138" t="str">
        <f>IF(Tabel1[[#This Row],[Ordernummer:]]="","",SUM(Tabel1[[#This Row],[% uren 1:]],Tabel1[[#This Row],[% uren 2:]],Tabel1[[#This Row],[% uren 3:]]))</f>
        <v/>
      </c>
      <c r="Q763" s="127"/>
      <c r="R763" s="128"/>
      <c r="S763" s="44"/>
      <c r="T763" s="25"/>
    </row>
    <row r="764" spans="2:20" x14ac:dyDescent="0.25">
      <c r="B764" s="7"/>
      <c r="C764" s="10"/>
      <c r="D764" s="10"/>
      <c r="E764" s="72"/>
      <c r="F764" s="73"/>
      <c r="G764" s="72"/>
      <c r="H764" s="31"/>
      <c r="I764" s="85" t="str">
        <f>IF(Tabel1[[#This Row],[% uren 1:]]="","",Tabel1[[#This Row],[% uren 1:]]*Tabel1[[#This Row],[Totale uren:]])</f>
        <v/>
      </c>
      <c r="J764" s="68"/>
      <c r="K764" s="31"/>
      <c r="L764" s="86" t="str">
        <f>IF(Tabel1[[#This Row],[% uren 2:]]="","",Tabel1[[#This Row],[% uren 2:]]*Tabel1[[#This Row],[Totale uren:]])</f>
        <v/>
      </c>
      <c r="M764" s="72"/>
      <c r="N764" s="31"/>
      <c r="O764" s="85" t="str">
        <f>IF(Tabel1[[#This Row],[% uren 3:]]="","",Tabel1[[#This Row],[% uren 3:]]*Tabel1[[#This Row],[Totale uren:]])</f>
        <v/>
      </c>
      <c r="P764" s="138" t="str">
        <f>IF(Tabel1[[#This Row],[Ordernummer:]]="","",SUM(Tabel1[[#This Row],[% uren 1:]],Tabel1[[#This Row],[% uren 2:]],Tabel1[[#This Row],[% uren 3:]]))</f>
        <v/>
      </c>
      <c r="Q764" s="127"/>
      <c r="R764" s="128"/>
      <c r="S764" s="44"/>
      <c r="T764" s="25"/>
    </row>
    <row r="765" spans="2:20" x14ac:dyDescent="0.25">
      <c r="B765" s="7"/>
      <c r="C765" s="10"/>
      <c r="D765" s="10"/>
      <c r="E765" s="72"/>
      <c r="F765" s="73"/>
      <c r="G765" s="72"/>
      <c r="H765" s="31"/>
      <c r="I765" s="85" t="str">
        <f>IF(Tabel1[[#This Row],[% uren 1:]]="","",Tabel1[[#This Row],[% uren 1:]]*Tabel1[[#This Row],[Totale uren:]])</f>
        <v/>
      </c>
      <c r="J765" s="68"/>
      <c r="K765" s="31"/>
      <c r="L765" s="86" t="str">
        <f>IF(Tabel1[[#This Row],[% uren 2:]]="","",Tabel1[[#This Row],[% uren 2:]]*Tabel1[[#This Row],[Totale uren:]])</f>
        <v/>
      </c>
      <c r="M765" s="72"/>
      <c r="N765" s="31"/>
      <c r="O765" s="85" t="str">
        <f>IF(Tabel1[[#This Row],[% uren 3:]]="","",Tabel1[[#This Row],[% uren 3:]]*Tabel1[[#This Row],[Totale uren:]])</f>
        <v/>
      </c>
      <c r="P765" s="138" t="str">
        <f>IF(Tabel1[[#This Row],[Ordernummer:]]="","",SUM(Tabel1[[#This Row],[% uren 1:]],Tabel1[[#This Row],[% uren 2:]],Tabel1[[#This Row],[% uren 3:]]))</f>
        <v/>
      </c>
      <c r="Q765" s="127"/>
      <c r="R765" s="128"/>
      <c r="S765" s="44"/>
      <c r="T765" s="25"/>
    </row>
    <row r="766" spans="2:20" x14ac:dyDescent="0.25">
      <c r="B766" s="7"/>
      <c r="C766" s="10"/>
      <c r="D766" s="10"/>
      <c r="E766" s="72"/>
      <c r="F766" s="73"/>
      <c r="G766" s="72"/>
      <c r="H766" s="31"/>
      <c r="I766" s="85" t="str">
        <f>IF(Tabel1[[#This Row],[% uren 1:]]="","",Tabel1[[#This Row],[% uren 1:]]*Tabel1[[#This Row],[Totale uren:]])</f>
        <v/>
      </c>
      <c r="J766" s="68"/>
      <c r="K766" s="31"/>
      <c r="L766" s="86" t="str">
        <f>IF(Tabel1[[#This Row],[% uren 2:]]="","",Tabel1[[#This Row],[% uren 2:]]*Tabel1[[#This Row],[Totale uren:]])</f>
        <v/>
      </c>
      <c r="M766" s="72"/>
      <c r="N766" s="31"/>
      <c r="O766" s="85" t="str">
        <f>IF(Tabel1[[#This Row],[% uren 3:]]="","",Tabel1[[#This Row],[% uren 3:]]*Tabel1[[#This Row],[Totale uren:]])</f>
        <v/>
      </c>
      <c r="P766" s="138" t="str">
        <f>IF(Tabel1[[#This Row],[Ordernummer:]]="","",SUM(Tabel1[[#This Row],[% uren 1:]],Tabel1[[#This Row],[% uren 2:]],Tabel1[[#This Row],[% uren 3:]]))</f>
        <v/>
      </c>
      <c r="Q766" s="127"/>
      <c r="R766" s="128"/>
      <c r="S766" s="44"/>
      <c r="T766" s="25"/>
    </row>
    <row r="767" spans="2:20" x14ac:dyDescent="0.25">
      <c r="B767" s="7"/>
      <c r="C767" s="10"/>
      <c r="D767" s="10"/>
      <c r="E767" s="72"/>
      <c r="F767" s="73"/>
      <c r="G767" s="72"/>
      <c r="H767" s="31"/>
      <c r="I767" s="85" t="str">
        <f>IF(Tabel1[[#This Row],[% uren 1:]]="","",Tabel1[[#This Row],[% uren 1:]]*Tabel1[[#This Row],[Totale uren:]])</f>
        <v/>
      </c>
      <c r="J767" s="68"/>
      <c r="K767" s="31"/>
      <c r="L767" s="86" t="str">
        <f>IF(Tabel1[[#This Row],[% uren 2:]]="","",Tabel1[[#This Row],[% uren 2:]]*Tabel1[[#This Row],[Totale uren:]])</f>
        <v/>
      </c>
      <c r="M767" s="72"/>
      <c r="N767" s="31"/>
      <c r="O767" s="85" t="str">
        <f>IF(Tabel1[[#This Row],[% uren 3:]]="","",Tabel1[[#This Row],[% uren 3:]]*Tabel1[[#This Row],[Totale uren:]])</f>
        <v/>
      </c>
      <c r="P767" s="138" t="str">
        <f>IF(Tabel1[[#This Row],[Ordernummer:]]="","",SUM(Tabel1[[#This Row],[% uren 1:]],Tabel1[[#This Row],[% uren 2:]],Tabel1[[#This Row],[% uren 3:]]))</f>
        <v/>
      </c>
      <c r="Q767" s="127"/>
      <c r="R767" s="128"/>
      <c r="S767" s="44"/>
      <c r="T767" s="25"/>
    </row>
    <row r="768" spans="2:20" x14ac:dyDescent="0.25">
      <c r="B768" s="7"/>
      <c r="C768" s="10"/>
      <c r="D768" s="10"/>
      <c r="E768" s="72"/>
      <c r="F768" s="73"/>
      <c r="G768" s="72"/>
      <c r="H768" s="31"/>
      <c r="I768" s="85" t="str">
        <f>IF(Tabel1[[#This Row],[% uren 1:]]="","",Tabel1[[#This Row],[% uren 1:]]*Tabel1[[#This Row],[Totale uren:]])</f>
        <v/>
      </c>
      <c r="J768" s="68"/>
      <c r="K768" s="31"/>
      <c r="L768" s="86" t="str">
        <f>IF(Tabel1[[#This Row],[% uren 2:]]="","",Tabel1[[#This Row],[% uren 2:]]*Tabel1[[#This Row],[Totale uren:]])</f>
        <v/>
      </c>
      <c r="M768" s="72"/>
      <c r="N768" s="31"/>
      <c r="O768" s="85" t="str">
        <f>IF(Tabel1[[#This Row],[% uren 3:]]="","",Tabel1[[#This Row],[% uren 3:]]*Tabel1[[#This Row],[Totale uren:]])</f>
        <v/>
      </c>
      <c r="P768" s="138" t="str">
        <f>IF(Tabel1[[#This Row],[Ordernummer:]]="","",SUM(Tabel1[[#This Row],[% uren 1:]],Tabel1[[#This Row],[% uren 2:]],Tabel1[[#This Row],[% uren 3:]]))</f>
        <v/>
      </c>
      <c r="Q768" s="127"/>
      <c r="R768" s="128"/>
      <c r="S768" s="44"/>
      <c r="T768" s="25"/>
    </row>
    <row r="769" spans="2:20" x14ac:dyDescent="0.25">
      <c r="B769" s="7"/>
      <c r="C769" s="10"/>
      <c r="D769" s="10"/>
      <c r="E769" s="72"/>
      <c r="F769" s="73"/>
      <c r="G769" s="72"/>
      <c r="H769" s="31"/>
      <c r="I769" s="85" t="str">
        <f>IF(Tabel1[[#This Row],[% uren 1:]]="","",Tabel1[[#This Row],[% uren 1:]]*Tabel1[[#This Row],[Totale uren:]])</f>
        <v/>
      </c>
      <c r="J769" s="68"/>
      <c r="K769" s="31"/>
      <c r="L769" s="86" t="str">
        <f>IF(Tabel1[[#This Row],[% uren 2:]]="","",Tabel1[[#This Row],[% uren 2:]]*Tabel1[[#This Row],[Totale uren:]])</f>
        <v/>
      </c>
      <c r="M769" s="72"/>
      <c r="N769" s="31"/>
      <c r="O769" s="85" t="str">
        <f>IF(Tabel1[[#This Row],[% uren 3:]]="","",Tabel1[[#This Row],[% uren 3:]]*Tabel1[[#This Row],[Totale uren:]])</f>
        <v/>
      </c>
      <c r="P769" s="138" t="str">
        <f>IF(Tabel1[[#This Row],[Ordernummer:]]="","",SUM(Tabel1[[#This Row],[% uren 1:]],Tabel1[[#This Row],[% uren 2:]],Tabel1[[#This Row],[% uren 3:]]))</f>
        <v/>
      </c>
      <c r="Q769" s="127"/>
      <c r="R769" s="128"/>
      <c r="S769" s="44"/>
      <c r="T769" s="25"/>
    </row>
    <row r="770" spans="2:20" x14ac:dyDescent="0.25">
      <c r="B770" s="7"/>
      <c r="C770" s="10"/>
      <c r="D770" s="10"/>
      <c r="E770" s="72"/>
      <c r="F770" s="73"/>
      <c r="G770" s="72"/>
      <c r="H770" s="31"/>
      <c r="I770" s="85" t="str">
        <f>IF(Tabel1[[#This Row],[% uren 1:]]="","",Tabel1[[#This Row],[% uren 1:]]*Tabel1[[#This Row],[Totale uren:]])</f>
        <v/>
      </c>
      <c r="J770" s="68"/>
      <c r="K770" s="31"/>
      <c r="L770" s="86" t="str">
        <f>IF(Tabel1[[#This Row],[% uren 2:]]="","",Tabel1[[#This Row],[% uren 2:]]*Tabel1[[#This Row],[Totale uren:]])</f>
        <v/>
      </c>
      <c r="M770" s="72"/>
      <c r="N770" s="31"/>
      <c r="O770" s="85" t="str">
        <f>IF(Tabel1[[#This Row],[% uren 3:]]="","",Tabel1[[#This Row],[% uren 3:]]*Tabel1[[#This Row],[Totale uren:]])</f>
        <v/>
      </c>
      <c r="P770" s="138" t="str">
        <f>IF(Tabel1[[#This Row],[Ordernummer:]]="","",SUM(Tabel1[[#This Row],[% uren 1:]],Tabel1[[#This Row],[% uren 2:]],Tabel1[[#This Row],[% uren 3:]]))</f>
        <v/>
      </c>
      <c r="Q770" s="127"/>
      <c r="R770" s="128"/>
      <c r="S770" s="44"/>
      <c r="T770" s="25"/>
    </row>
    <row r="771" spans="2:20" x14ac:dyDescent="0.25">
      <c r="B771" s="7"/>
      <c r="C771" s="10"/>
      <c r="D771" s="10"/>
      <c r="E771" s="72"/>
      <c r="F771" s="73"/>
      <c r="G771" s="72"/>
      <c r="H771" s="31"/>
      <c r="I771" s="85" t="str">
        <f>IF(Tabel1[[#This Row],[% uren 1:]]="","",Tabel1[[#This Row],[% uren 1:]]*Tabel1[[#This Row],[Totale uren:]])</f>
        <v/>
      </c>
      <c r="J771" s="68"/>
      <c r="K771" s="31"/>
      <c r="L771" s="86" t="str">
        <f>IF(Tabel1[[#This Row],[% uren 2:]]="","",Tabel1[[#This Row],[% uren 2:]]*Tabel1[[#This Row],[Totale uren:]])</f>
        <v/>
      </c>
      <c r="M771" s="72"/>
      <c r="N771" s="31"/>
      <c r="O771" s="85" t="str">
        <f>IF(Tabel1[[#This Row],[% uren 3:]]="","",Tabel1[[#This Row],[% uren 3:]]*Tabel1[[#This Row],[Totale uren:]])</f>
        <v/>
      </c>
      <c r="P771" s="138" t="str">
        <f>IF(Tabel1[[#This Row],[Ordernummer:]]="","",SUM(Tabel1[[#This Row],[% uren 1:]],Tabel1[[#This Row],[% uren 2:]],Tabel1[[#This Row],[% uren 3:]]))</f>
        <v/>
      </c>
      <c r="Q771" s="127"/>
      <c r="R771" s="128"/>
      <c r="S771" s="44"/>
      <c r="T771" s="25"/>
    </row>
    <row r="772" spans="2:20" x14ac:dyDescent="0.25">
      <c r="B772" s="7"/>
      <c r="C772" s="10"/>
      <c r="D772" s="10"/>
      <c r="E772" s="72"/>
      <c r="F772" s="73"/>
      <c r="G772" s="72"/>
      <c r="H772" s="31"/>
      <c r="I772" s="85" t="str">
        <f>IF(Tabel1[[#This Row],[% uren 1:]]="","",Tabel1[[#This Row],[% uren 1:]]*Tabel1[[#This Row],[Totale uren:]])</f>
        <v/>
      </c>
      <c r="J772" s="68"/>
      <c r="K772" s="31"/>
      <c r="L772" s="86" t="str">
        <f>IF(Tabel1[[#This Row],[% uren 2:]]="","",Tabel1[[#This Row],[% uren 2:]]*Tabel1[[#This Row],[Totale uren:]])</f>
        <v/>
      </c>
      <c r="M772" s="72"/>
      <c r="N772" s="31"/>
      <c r="O772" s="85" t="str">
        <f>IF(Tabel1[[#This Row],[% uren 3:]]="","",Tabel1[[#This Row],[% uren 3:]]*Tabel1[[#This Row],[Totale uren:]])</f>
        <v/>
      </c>
      <c r="P772" s="138" t="str">
        <f>IF(Tabel1[[#This Row],[Ordernummer:]]="","",SUM(Tabel1[[#This Row],[% uren 1:]],Tabel1[[#This Row],[% uren 2:]],Tabel1[[#This Row],[% uren 3:]]))</f>
        <v/>
      </c>
      <c r="Q772" s="127"/>
      <c r="R772" s="128"/>
      <c r="S772" s="44"/>
      <c r="T772" s="25"/>
    </row>
    <row r="773" spans="2:20" x14ac:dyDescent="0.25">
      <c r="B773" s="7"/>
      <c r="C773" s="10"/>
      <c r="D773" s="10"/>
      <c r="E773" s="72"/>
      <c r="F773" s="73"/>
      <c r="G773" s="72"/>
      <c r="H773" s="31"/>
      <c r="I773" s="85" t="str">
        <f>IF(Tabel1[[#This Row],[% uren 1:]]="","",Tabel1[[#This Row],[% uren 1:]]*Tabel1[[#This Row],[Totale uren:]])</f>
        <v/>
      </c>
      <c r="J773" s="68"/>
      <c r="K773" s="31"/>
      <c r="L773" s="86" t="str">
        <f>IF(Tabel1[[#This Row],[% uren 2:]]="","",Tabel1[[#This Row],[% uren 2:]]*Tabel1[[#This Row],[Totale uren:]])</f>
        <v/>
      </c>
      <c r="M773" s="72"/>
      <c r="N773" s="31"/>
      <c r="O773" s="85" t="str">
        <f>IF(Tabel1[[#This Row],[% uren 3:]]="","",Tabel1[[#This Row],[% uren 3:]]*Tabel1[[#This Row],[Totale uren:]])</f>
        <v/>
      </c>
      <c r="P773" s="138" t="str">
        <f>IF(Tabel1[[#This Row],[Ordernummer:]]="","",SUM(Tabel1[[#This Row],[% uren 1:]],Tabel1[[#This Row],[% uren 2:]],Tabel1[[#This Row],[% uren 3:]]))</f>
        <v/>
      </c>
      <c r="Q773" s="127"/>
      <c r="R773" s="128"/>
      <c r="S773" s="44"/>
      <c r="T773" s="25"/>
    </row>
    <row r="774" spans="2:20" x14ac:dyDescent="0.25">
      <c r="B774" s="7"/>
      <c r="C774" s="10"/>
      <c r="D774" s="10"/>
      <c r="E774" s="72"/>
      <c r="F774" s="73"/>
      <c r="G774" s="72"/>
      <c r="H774" s="31"/>
      <c r="I774" s="85" t="str">
        <f>IF(Tabel1[[#This Row],[% uren 1:]]="","",Tabel1[[#This Row],[% uren 1:]]*Tabel1[[#This Row],[Totale uren:]])</f>
        <v/>
      </c>
      <c r="J774" s="68"/>
      <c r="K774" s="31"/>
      <c r="L774" s="86" t="str">
        <f>IF(Tabel1[[#This Row],[% uren 2:]]="","",Tabel1[[#This Row],[% uren 2:]]*Tabel1[[#This Row],[Totale uren:]])</f>
        <v/>
      </c>
      <c r="M774" s="72"/>
      <c r="N774" s="31"/>
      <c r="O774" s="85" t="str">
        <f>IF(Tabel1[[#This Row],[% uren 3:]]="","",Tabel1[[#This Row],[% uren 3:]]*Tabel1[[#This Row],[Totale uren:]])</f>
        <v/>
      </c>
      <c r="P774" s="138" t="str">
        <f>IF(Tabel1[[#This Row],[Ordernummer:]]="","",SUM(Tabel1[[#This Row],[% uren 1:]],Tabel1[[#This Row],[% uren 2:]],Tabel1[[#This Row],[% uren 3:]]))</f>
        <v/>
      </c>
      <c r="Q774" s="127"/>
      <c r="R774" s="128"/>
      <c r="S774" s="44"/>
      <c r="T774" s="25"/>
    </row>
    <row r="775" spans="2:20" x14ac:dyDescent="0.25">
      <c r="B775" s="7"/>
      <c r="C775" s="10"/>
      <c r="D775" s="10"/>
      <c r="E775" s="72"/>
      <c r="F775" s="73"/>
      <c r="G775" s="72"/>
      <c r="H775" s="31"/>
      <c r="I775" s="85" t="str">
        <f>IF(Tabel1[[#This Row],[% uren 1:]]="","",Tabel1[[#This Row],[% uren 1:]]*Tabel1[[#This Row],[Totale uren:]])</f>
        <v/>
      </c>
      <c r="J775" s="68"/>
      <c r="K775" s="31"/>
      <c r="L775" s="86" t="str">
        <f>IF(Tabel1[[#This Row],[% uren 2:]]="","",Tabel1[[#This Row],[% uren 2:]]*Tabel1[[#This Row],[Totale uren:]])</f>
        <v/>
      </c>
      <c r="M775" s="72"/>
      <c r="N775" s="31"/>
      <c r="O775" s="85" t="str">
        <f>IF(Tabel1[[#This Row],[% uren 3:]]="","",Tabel1[[#This Row],[% uren 3:]]*Tabel1[[#This Row],[Totale uren:]])</f>
        <v/>
      </c>
      <c r="P775" s="138" t="str">
        <f>IF(Tabel1[[#This Row],[Ordernummer:]]="","",SUM(Tabel1[[#This Row],[% uren 1:]],Tabel1[[#This Row],[% uren 2:]],Tabel1[[#This Row],[% uren 3:]]))</f>
        <v/>
      </c>
      <c r="Q775" s="127"/>
      <c r="R775" s="128"/>
      <c r="S775" s="44"/>
      <c r="T775" s="25"/>
    </row>
    <row r="776" spans="2:20" x14ac:dyDescent="0.25">
      <c r="B776" s="7"/>
      <c r="C776" s="10"/>
      <c r="D776" s="10"/>
      <c r="E776" s="72"/>
      <c r="F776" s="73"/>
      <c r="G776" s="72"/>
      <c r="H776" s="31"/>
      <c r="I776" s="85" t="str">
        <f>IF(Tabel1[[#This Row],[% uren 1:]]="","",Tabel1[[#This Row],[% uren 1:]]*Tabel1[[#This Row],[Totale uren:]])</f>
        <v/>
      </c>
      <c r="J776" s="68"/>
      <c r="K776" s="31"/>
      <c r="L776" s="86" t="str">
        <f>IF(Tabel1[[#This Row],[% uren 2:]]="","",Tabel1[[#This Row],[% uren 2:]]*Tabel1[[#This Row],[Totale uren:]])</f>
        <v/>
      </c>
      <c r="M776" s="72"/>
      <c r="N776" s="31"/>
      <c r="O776" s="85" t="str">
        <f>IF(Tabel1[[#This Row],[% uren 3:]]="","",Tabel1[[#This Row],[% uren 3:]]*Tabel1[[#This Row],[Totale uren:]])</f>
        <v/>
      </c>
      <c r="P776" s="138" t="str">
        <f>IF(Tabel1[[#This Row],[Ordernummer:]]="","",SUM(Tabel1[[#This Row],[% uren 1:]],Tabel1[[#This Row],[% uren 2:]],Tabel1[[#This Row],[% uren 3:]]))</f>
        <v/>
      </c>
      <c r="Q776" s="127"/>
      <c r="R776" s="128"/>
      <c r="S776" s="44"/>
      <c r="T776" s="25"/>
    </row>
    <row r="777" spans="2:20" x14ac:dyDescent="0.25">
      <c r="B777" s="7"/>
      <c r="C777" s="10"/>
      <c r="D777" s="10"/>
      <c r="E777" s="72"/>
      <c r="F777" s="73"/>
      <c r="G777" s="72"/>
      <c r="H777" s="31"/>
      <c r="I777" s="85" t="str">
        <f>IF(Tabel1[[#This Row],[% uren 1:]]="","",Tabel1[[#This Row],[% uren 1:]]*Tabel1[[#This Row],[Totale uren:]])</f>
        <v/>
      </c>
      <c r="J777" s="68"/>
      <c r="K777" s="31"/>
      <c r="L777" s="86" t="str">
        <f>IF(Tabel1[[#This Row],[% uren 2:]]="","",Tabel1[[#This Row],[% uren 2:]]*Tabel1[[#This Row],[Totale uren:]])</f>
        <v/>
      </c>
      <c r="M777" s="72"/>
      <c r="N777" s="31"/>
      <c r="O777" s="85" t="str">
        <f>IF(Tabel1[[#This Row],[% uren 3:]]="","",Tabel1[[#This Row],[% uren 3:]]*Tabel1[[#This Row],[Totale uren:]])</f>
        <v/>
      </c>
      <c r="P777" s="138" t="str">
        <f>IF(Tabel1[[#This Row],[Ordernummer:]]="","",SUM(Tabel1[[#This Row],[% uren 1:]],Tabel1[[#This Row],[% uren 2:]],Tabel1[[#This Row],[% uren 3:]]))</f>
        <v/>
      </c>
      <c r="Q777" s="127"/>
      <c r="R777" s="128"/>
      <c r="S777" s="44"/>
      <c r="T777" s="25"/>
    </row>
    <row r="778" spans="2:20" x14ac:dyDescent="0.25">
      <c r="B778" s="7"/>
      <c r="C778" s="10"/>
      <c r="D778" s="10"/>
      <c r="E778" s="72"/>
      <c r="F778" s="73"/>
      <c r="G778" s="72"/>
      <c r="H778" s="31"/>
      <c r="I778" s="85" t="str">
        <f>IF(Tabel1[[#This Row],[% uren 1:]]="","",Tabel1[[#This Row],[% uren 1:]]*Tabel1[[#This Row],[Totale uren:]])</f>
        <v/>
      </c>
      <c r="J778" s="68"/>
      <c r="K778" s="31"/>
      <c r="L778" s="86" t="str">
        <f>IF(Tabel1[[#This Row],[% uren 2:]]="","",Tabel1[[#This Row],[% uren 2:]]*Tabel1[[#This Row],[Totale uren:]])</f>
        <v/>
      </c>
      <c r="M778" s="72"/>
      <c r="N778" s="31"/>
      <c r="O778" s="85" t="str">
        <f>IF(Tabel1[[#This Row],[% uren 3:]]="","",Tabel1[[#This Row],[% uren 3:]]*Tabel1[[#This Row],[Totale uren:]])</f>
        <v/>
      </c>
      <c r="P778" s="138" t="str">
        <f>IF(Tabel1[[#This Row],[Ordernummer:]]="","",SUM(Tabel1[[#This Row],[% uren 1:]],Tabel1[[#This Row],[% uren 2:]],Tabel1[[#This Row],[% uren 3:]]))</f>
        <v/>
      </c>
      <c r="Q778" s="127"/>
      <c r="R778" s="128"/>
      <c r="S778" s="44"/>
      <c r="T778" s="25"/>
    </row>
    <row r="779" spans="2:20" x14ac:dyDescent="0.25">
      <c r="B779" s="7"/>
      <c r="C779" s="10"/>
      <c r="D779" s="10"/>
      <c r="E779" s="72"/>
      <c r="F779" s="73"/>
      <c r="G779" s="72"/>
      <c r="H779" s="31"/>
      <c r="I779" s="85" t="str">
        <f>IF(Tabel1[[#This Row],[% uren 1:]]="","",Tabel1[[#This Row],[% uren 1:]]*Tabel1[[#This Row],[Totale uren:]])</f>
        <v/>
      </c>
      <c r="J779" s="68"/>
      <c r="K779" s="31"/>
      <c r="L779" s="86" t="str">
        <f>IF(Tabel1[[#This Row],[% uren 2:]]="","",Tabel1[[#This Row],[% uren 2:]]*Tabel1[[#This Row],[Totale uren:]])</f>
        <v/>
      </c>
      <c r="M779" s="72"/>
      <c r="N779" s="31"/>
      <c r="O779" s="85" t="str">
        <f>IF(Tabel1[[#This Row],[% uren 3:]]="","",Tabel1[[#This Row],[% uren 3:]]*Tabel1[[#This Row],[Totale uren:]])</f>
        <v/>
      </c>
      <c r="P779" s="138" t="str">
        <f>IF(Tabel1[[#This Row],[Ordernummer:]]="","",SUM(Tabel1[[#This Row],[% uren 1:]],Tabel1[[#This Row],[% uren 2:]],Tabel1[[#This Row],[% uren 3:]]))</f>
        <v/>
      </c>
      <c r="Q779" s="127"/>
      <c r="R779" s="128"/>
      <c r="S779" s="44"/>
      <c r="T779" s="25"/>
    </row>
    <row r="780" spans="2:20" x14ac:dyDescent="0.25">
      <c r="B780" s="7"/>
      <c r="C780" s="10"/>
      <c r="D780" s="10"/>
      <c r="E780" s="72"/>
      <c r="F780" s="73"/>
      <c r="G780" s="72"/>
      <c r="H780" s="31"/>
      <c r="I780" s="85" t="str">
        <f>IF(Tabel1[[#This Row],[% uren 1:]]="","",Tabel1[[#This Row],[% uren 1:]]*Tabel1[[#This Row],[Totale uren:]])</f>
        <v/>
      </c>
      <c r="J780" s="68"/>
      <c r="K780" s="31"/>
      <c r="L780" s="86" t="str">
        <f>IF(Tabel1[[#This Row],[% uren 2:]]="","",Tabel1[[#This Row],[% uren 2:]]*Tabel1[[#This Row],[Totale uren:]])</f>
        <v/>
      </c>
      <c r="M780" s="72"/>
      <c r="N780" s="31"/>
      <c r="O780" s="85" t="str">
        <f>IF(Tabel1[[#This Row],[% uren 3:]]="","",Tabel1[[#This Row],[% uren 3:]]*Tabel1[[#This Row],[Totale uren:]])</f>
        <v/>
      </c>
      <c r="P780" s="138" t="str">
        <f>IF(Tabel1[[#This Row],[Ordernummer:]]="","",SUM(Tabel1[[#This Row],[% uren 1:]],Tabel1[[#This Row],[% uren 2:]],Tabel1[[#This Row],[% uren 3:]]))</f>
        <v/>
      </c>
      <c r="Q780" s="127"/>
      <c r="R780" s="128"/>
      <c r="S780" s="44"/>
      <c r="T780" s="25"/>
    </row>
    <row r="781" spans="2:20" x14ac:dyDescent="0.25">
      <c r="B781" s="7"/>
      <c r="C781" s="10"/>
      <c r="D781" s="10"/>
      <c r="E781" s="72"/>
      <c r="F781" s="73"/>
      <c r="G781" s="72"/>
      <c r="H781" s="31"/>
      <c r="I781" s="85" t="str">
        <f>IF(Tabel1[[#This Row],[% uren 1:]]="","",Tabel1[[#This Row],[% uren 1:]]*Tabel1[[#This Row],[Totale uren:]])</f>
        <v/>
      </c>
      <c r="J781" s="68"/>
      <c r="K781" s="31"/>
      <c r="L781" s="86" t="str">
        <f>IF(Tabel1[[#This Row],[% uren 2:]]="","",Tabel1[[#This Row],[% uren 2:]]*Tabel1[[#This Row],[Totale uren:]])</f>
        <v/>
      </c>
      <c r="M781" s="72"/>
      <c r="N781" s="31"/>
      <c r="O781" s="85" t="str">
        <f>IF(Tabel1[[#This Row],[% uren 3:]]="","",Tabel1[[#This Row],[% uren 3:]]*Tabel1[[#This Row],[Totale uren:]])</f>
        <v/>
      </c>
      <c r="P781" s="138" t="str">
        <f>IF(Tabel1[[#This Row],[Ordernummer:]]="","",SUM(Tabel1[[#This Row],[% uren 1:]],Tabel1[[#This Row],[% uren 2:]],Tabel1[[#This Row],[% uren 3:]]))</f>
        <v/>
      </c>
      <c r="Q781" s="127"/>
      <c r="R781" s="128"/>
      <c r="S781" s="44"/>
      <c r="T781" s="25"/>
    </row>
    <row r="782" spans="2:20" x14ac:dyDescent="0.25">
      <c r="B782" s="7"/>
      <c r="C782" s="10"/>
      <c r="D782" s="10"/>
      <c r="E782" s="72"/>
      <c r="F782" s="73"/>
      <c r="G782" s="72"/>
      <c r="H782" s="31"/>
      <c r="I782" s="85" t="str">
        <f>IF(Tabel1[[#This Row],[% uren 1:]]="","",Tabel1[[#This Row],[% uren 1:]]*Tabel1[[#This Row],[Totale uren:]])</f>
        <v/>
      </c>
      <c r="J782" s="68"/>
      <c r="K782" s="31"/>
      <c r="L782" s="86" t="str">
        <f>IF(Tabel1[[#This Row],[% uren 2:]]="","",Tabel1[[#This Row],[% uren 2:]]*Tabel1[[#This Row],[Totale uren:]])</f>
        <v/>
      </c>
      <c r="M782" s="72"/>
      <c r="N782" s="31"/>
      <c r="O782" s="85" t="str">
        <f>IF(Tabel1[[#This Row],[% uren 3:]]="","",Tabel1[[#This Row],[% uren 3:]]*Tabel1[[#This Row],[Totale uren:]])</f>
        <v/>
      </c>
      <c r="P782" s="138" t="str">
        <f>IF(Tabel1[[#This Row],[Ordernummer:]]="","",SUM(Tabel1[[#This Row],[% uren 1:]],Tabel1[[#This Row],[% uren 2:]],Tabel1[[#This Row],[% uren 3:]]))</f>
        <v/>
      </c>
      <c r="Q782" s="127"/>
      <c r="R782" s="128"/>
      <c r="S782" s="44"/>
      <c r="T782" s="25"/>
    </row>
    <row r="783" spans="2:20" x14ac:dyDescent="0.25">
      <c r="B783" s="7"/>
      <c r="C783" s="10"/>
      <c r="D783" s="10"/>
      <c r="E783" s="72"/>
      <c r="F783" s="73"/>
      <c r="G783" s="72"/>
      <c r="H783" s="31"/>
      <c r="I783" s="85" t="str">
        <f>IF(Tabel1[[#This Row],[% uren 1:]]="","",Tabel1[[#This Row],[% uren 1:]]*Tabel1[[#This Row],[Totale uren:]])</f>
        <v/>
      </c>
      <c r="J783" s="68"/>
      <c r="K783" s="31"/>
      <c r="L783" s="86" t="str">
        <f>IF(Tabel1[[#This Row],[% uren 2:]]="","",Tabel1[[#This Row],[% uren 2:]]*Tabel1[[#This Row],[Totale uren:]])</f>
        <v/>
      </c>
      <c r="M783" s="72"/>
      <c r="N783" s="31"/>
      <c r="O783" s="85" t="str">
        <f>IF(Tabel1[[#This Row],[% uren 3:]]="","",Tabel1[[#This Row],[% uren 3:]]*Tabel1[[#This Row],[Totale uren:]])</f>
        <v/>
      </c>
      <c r="P783" s="138" t="str">
        <f>IF(Tabel1[[#This Row],[Ordernummer:]]="","",SUM(Tabel1[[#This Row],[% uren 1:]],Tabel1[[#This Row],[% uren 2:]],Tabel1[[#This Row],[% uren 3:]]))</f>
        <v/>
      </c>
      <c r="Q783" s="127"/>
      <c r="R783" s="128"/>
      <c r="S783" s="44"/>
      <c r="T783" s="25"/>
    </row>
    <row r="784" spans="2:20" x14ac:dyDescent="0.25">
      <c r="B784" s="7"/>
      <c r="C784" s="10"/>
      <c r="D784" s="10"/>
      <c r="E784" s="72"/>
      <c r="F784" s="73"/>
      <c r="G784" s="72"/>
      <c r="H784" s="31"/>
      <c r="I784" s="85" t="str">
        <f>IF(Tabel1[[#This Row],[% uren 1:]]="","",Tabel1[[#This Row],[% uren 1:]]*Tabel1[[#This Row],[Totale uren:]])</f>
        <v/>
      </c>
      <c r="J784" s="68"/>
      <c r="K784" s="31"/>
      <c r="L784" s="86" t="str">
        <f>IF(Tabel1[[#This Row],[% uren 2:]]="","",Tabel1[[#This Row],[% uren 2:]]*Tabel1[[#This Row],[Totale uren:]])</f>
        <v/>
      </c>
      <c r="M784" s="72"/>
      <c r="N784" s="31"/>
      <c r="O784" s="85" t="str">
        <f>IF(Tabel1[[#This Row],[% uren 3:]]="","",Tabel1[[#This Row],[% uren 3:]]*Tabel1[[#This Row],[Totale uren:]])</f>
        <v/>
      </c>
      <c r="P784" s="138" t="str">
        <f>IF(Tabel1[[#This Row],[Ordernummer:]]="","",SUM(Tabel1[[#This Row],[% uren 1:]],Tabel1[[#This Row],[% uren 2:]],Tabel1[[#This Row],[% uren 3:]]))</f>
        <v/>
      </c>
      <c r="Q784" s="127"/>
      <c r="R784" s="128"/>
      <c r="S784" s="44"/>
      <c r="T784" s="25"/>
    </row>
    <row r="785" spans="2:20" x14ac:dyDescent="0.25">
      <c r="B785" s="7"/>
      <c r="C785" s="10"/>
      <c r="D785" s="10"/>
      <c r="E785" s="72"/>
      <c r="F785" s="73"/>
      <c r="G785" s="72"/>
      <c r="H785" s="31"/>
      <c r="I785" s="85" t="str">
        <f>IF(Tabel1[[#This Row],[% uren 1:]]="","",Tabel1[[#This Row],[% uren 1:]]*Tabel1[[#This Row],[Totale uren:]])</f>
        <v/>
      </c>
      <c r="J785" s="68"/>
      <c r="K785" s="31"/>
      <c r="L785" s="86" t="str">
        <f>IF(Tabel1[[#This Row],[% uren 2:]]="","",Tabel1[[#This Row],[% uren 2:]]*Tabel1[[#This Row],[Totale uren:]])</f>
        <v/>
      </c>
      <c r="M785" s="72"/>
      <c r="N785" s="31"/>
      <c r="O785" s="85" t="str">
        <f>IF(Tabel1[[#This Row],[% uren 3:]]="","",Tabel1[[#This Row],[% uren 3:]]*Tabel1[[#This Row],[Totale uren:]])</f>
        <v/>
      </c>
      <c r="P785" s="138" t="str">
        <f>IF(Tabel1[[#This Row],[Ordernummer:]]="","",SUM(Tabel1[[#This Row],[% uren 1:]],Tabel1[[#This Row],[% uren 2:]],Tabel1[[#This Row],[% uren 3:]]))</f>
        <v/>
      </c>
      <c r="Q785" s="127"/>
      <c r="R785" s="128"/>
      <c r="S785" s="44"/>
      <c r="T785" s="25"/>
    </row>
    <row r="786" spans="2:20" x14ac:dyDescent="0.25">
      <c r="B786" s="7"/>
      <c r="C786" s="10"/>
      <c r="D786" s="10"/>
      <c r="E786" s="72"/>
      <c r="F786" s="73"/>
      <c r="G786" s="72"/>
      <c r="H786" s="31"/>
      <c r="I786" s="85" t="str">
        <f>IF(Tabel1[[#This Row],[% uren 1:]]="","",Tabel1[[#This Row],[% uren 1:]]*Tabel1[[#This Row],[Totale uren:]])</f>
        <v/>
      </c>
      <c r="J786" s="68"/>
      <c r="K786" s="31"/>
      <c r="L786" s="86" t="str">
        <f>IF(Tabel1[[#This Row],[% uren 2:]]="","",Tabel1[[#This Row],[% uren 2:]]*Tabel1[[#This Row],[Totale uren:]])</f>
        <v/>
      </c>
      <c r="M786" s="72"/>
      <c r="N786" s="31"/>
      <c r="O786" s="85" t="str">
        <f>IF(Tabel1[[#This Row],[% uren 3:]]="","",Tabel1[[#This Row],[% uren 3:]]*Tabel1[[#This Row],[Totale uren:]])</f>
        <v/>
      </c>
      <c r="P786" s="138" t="str">
        <f>IF(Tabel1[[#This Row],[Ordernummer:]]="","",SUM(Tabel1[[#This Row],[% uren 1:]],Tabel1[[#This Row],[% uren 2:]],Tabel1[[#This Row],[% uren 3:]]))</f>
        <v/>
      </c>
      <c r="Q786" s="127"/>
      <c r="R786" s="128"/>
      <c r="S786" s="44"/>
      <c r="T786" s="25"/>
    </row>
    <row r="787" spans="2:20" x14ac:dyDescent="0.25">
      <c r="B787" s="7"/>
      <c r="C787" s="10"/>
      <c r="D787" s="10"/>
      <c r="E787" s="72"/>
      <c r="F787" s="73"/>
      <c r="G787" s="72"/>
      <c r="H787" s="31"/>
      <c r="I787" s="85" t="str">
        <f>IF(Tabel1[[#This Row],[% uren 1:]]="","",Tabel1[[#This Row],[% uren 1:]]*Tabel1[[#This Row],[Totale uren:]])</f>
        <v/>
      </c>
      <c r="J787" s="68"/>
      <c r="K787" s="31"/>
      <c r="L787" s="86" t="str">
        <f>IF(Tabel1[[#This Row],[% uren 2:]]="","",Tabel1[[#This Row],[% uren 2:]]*Tabel1[[#This Row],[Totale uren:]])</f>
        <v/>
      </c>
      <c r="M787" s="72"/>
      <c r="N787" s="31"/>
      <c r="O787" s="85" t="str">
        <f>IF(Tabel1[[#This Row],[% uren 3:]]="","",Tabel1[[#This Row],[% uren 3:]]*Tabel1[[#This Row],[Totale uren:]])</f>
        <v/>
      </c>
      <c r="P787" s="138" t="str">
        <f>IF(Tabel1[[#This Row],[Ordernummer:]]="","",SUM(Tabel1[[#This Row],[% uren 1:]],Tabel1[[#This Row],[% uren 2:]],Tabel1[[#This Row],[% uren 3:]]))</f>
        <v/>
      </c>
      <c r="Q787" s="127"/>
      <c r="R787" s="128"/>
      <c r="S787" s="44"/>
      <c r="T787" s="25"/>
    </row>
    <row r="788" spans="2:20" x14ac:dyDescent="0.25">
      <c r="B788" s="7"/>
      <c r="C788" s="10"/>
      <c r="D788" s="10"/>
      <c r="E788" s="72"/>
      <c r="F788" s="73"/>
      <c r="G788" s="72"/>
      <c r="H788" s="31"/>
      <c r="I788" s="85" t="str">
        <f>IF(Tabel1[[#This Row],[% uren 1:]]="","",Tabel1[[#This Row],[% uren 1:]]*Tabel1[[#This Row],[Totale uren:]])</f>
        <v/>
      </c>
      <c r="J788" s="68"/>
      <c r="K788" s="31"/>
      <c r="L788" s="86" t="str">
        <f>IF(Tabel1[[#This Row],[% uren 2:]]="","",Tabel1[[#This Row],[% uren 2:]]*Tabel1[[#This Row],[Totale uren:]])</f>
        <v/>
      </c>
      <c r="M788" s="72"/>
      <c r="N788" s="31"/>
      <c r="O788" s="85" t="str">
        <f>IF(Tabel1[[#This Row],[% uren 3:]]="","",Tabel1[[#This Row],[% uren 3:]]*Tabel1[[#This Row],[Totale uren:]])</f>
        <v/>
      </c>
      <c r="P788" s="138" t="str">
        <f>IF(Tabel1[[#This Row],[Ordernummer:]]="","",SUM(Tabel1[[#This Row],[% uren 1:]],Tabel1[[#This Row],[% uren 2:]],Tabel1[[#This Row],[% uren 3:]]))</f>
        <v/>
      </c>
      <c r="Q788" s="127"/>
      <c r="R788" s="128"/>
      <c r="S788" s="44"/>
      <c r="T788" s="25"/>
    </row>
    <row r="789" spans="2:20" x14ac:dyDescent="0.25">
      <c r="B789" s="7"/>
      <c r="C789" s="10"/>
      <c r="D789" s="10"/>
      <c r="E789" s="72"/>
      <c r="F789" s="73"/>
      <c r="G789" s="72"/>
      <c r="H789" s="31"/>
      <c r="I789" s="85" t="str">
        <f>IF(Tabel1[[#This Row],[% uren 1:]]="","",Tabel1[[#This Row],[% uren 1:]]*Tabel1[[#This Row],[Totale uren:]])</f>
        <v/>
      </c>
      <c r="J789" s="68"/>
      <c r="K789" s="31"/>
      <c r="L789" s="86" t="str">
        <f>IF(Tabel1[[#This Row],[% uren 2:]]="","",Tabel1[[#This Row],[% uren 2:]]*Tabel1[[#This Row],[Totale uren:]])</f>
        <v/>
      </c>
      <c r="M789" s="72"/>
      <c r="N789" s="31"/>
      <c r="O789" s="85" t="str">
        <f>IF(Tabel1[[#This Row],[% uren 3:]]="","",Tabel1[[#This Row],[% uren 3:]]*Tabel1[[#This Row],[Totale uren:]])</f>
        <v/>
      </c>
      <c r="P789" s="138" t="str">
        <f>IF(Tabel1[[#This Row],[Ordernummer:]]="","",SUM(Tabel1[[#This Row],[% uren 1:]],Tabel1[[#This Row],[% uren 2:]],Tabel1[[#This Row],[% uren 3:]]))</f>
        <v/>
      </c>
      <c r="Q789" s="127"/>
      <c r="R789" s="128"/>
      <c r="S789" s="44"/>
      <c r="T789" s="25"/>
    </row>
    <row r="790" spans="2:20" x14ac:dyDescent="0.25">
      <c r="B790" s="7"/>
      <c r="C790" s="10"/>
      <c r="D790" s="10"/>
      <c r="E790" s="72"/>
      <c r="F790" s="73"/>
      <c r="G790" s="72"/>
      <c r="H790" s="31"/>
      <c r="I790" s="85" t="str">
        <f>IF(Tabel1[[#This Row],[% uren 1:]]="","",Tabel1[[#This Row],[% uren 1:]]*Tabel1[[#This Row],[Totale uren:]])</f>
        <v/>
      </c>
      <c r="J790" s="68"/>
      <c r="K790" s="31"/>
      <c r="L790" s="86" t="str">
        <f>IF(Tabel1[[#This Row],[% uren 2:]]="","",Tabel1[[#This Row],[% uren 2:]]*Tabel1[[#This Row],[Totale uren:]])</f>
        <v/>
      </c>
      <c r="M790" s="72"/>
      <c r="N790" s="31"/>
      <c r="O790" s="85" t="str">
        <f>IF(Tabel1[[#This Row],[% uren 3:]]="","",Tabel1[[#This Row],[% uren 3:]]*Tabel1[[#This Row],[Totale uren:]])</f>
        <v/>
      </c>
      <c r="P790" s="138" t="str">
        <f>IF(Tabel1[[#This Row],[Ordernummer:]]="","",SUM(Tabel1[[#This Row],[% uren 1:]],Tabel1[[#This Row],[% uren 2:]],Tabel1[[#This Row],[% uren 3:]]))</f>
        <v/>
      </c>
      <c r="Q790" s="127"/>
      <c r="R790" s="128"/>
      <c r="S790" s="44"/>
      <c r="T790" s="25"/>
    </row>
    <row r="791" spans="2:20" x14ac:dyDescent="0.25">
      <c r="B791" s="7"/>
      <c r="C791" s="10"/>
      <c r="D791" s="10"/>
      <c r="E791" s="72"/>
      <c r="F791" s="73"/>
      <c r="G791" s="72"/>
      <c r="H791" s="31"/>
      <c r="I791" s="85" t="str">
        <f>IF(Tabel1[[#This Row],[% uren 1:]]="","",Tabel1[[#This Row],[% uren 1:]]*Tabel1[[#This Row],[Totale uren:]])</f>
        <v/>
      </c>
      <c r="J791" s="68"/>
      <c r="K791" s="31"/>
      <c r="L791" s="86" t="str">
        <f>IF(Tabel1[[#This Row],[% uren 2:]]="","",Tabel1[[#This Row],[% uren 2:]]*Tabel1[[#This Row],[Totale uren:]])</f>
        <v/>
      </c>
      <c r="M791" s="72"/>
      <c r="N791" s="31"/>
      <c r="O791" s="85" t="str">
        <f>IF(Tabel1[[#This Row],[% uren 3:]]="","",Tabel1[[#This Row],[% uren 3:]]*Tabel1[[#This Row],[Totale uren:]])</f>
        <v/>
      </c>
      <c r="P791" s="138" t="str">
        <f>IF(Tabel1[[#This Row],[Ordernummer:]]="","",SUM(Tabel1[[#This Row],[% uren 1:]],Tabel1[[#This Row],[% uren 2:]],Tabel1[[#This Row],[% uren 3:]]))</f>
        <v/>
      </c>
      <c r="Q791" s="127"/>
      <c r="R791" s="128"/>
      <c r="S791" s="44"/>
      <c r="T791" s="25"/>
    </row>
    <row r="792" spans="2:20" x14ac:dyDescent="0.25">
      <c r="B792" s="7"/>
      <c r="C792" s="10"/>
      <c r="D792" s="10"/>
      <c r="E792" s="72"/>
      <c r="F792" s="73"/>
      <c r="G792" s="72"/>
      <c r="H792" s="31"/>
      <c r="I792" s="85" t="str">
        <f>IF(Tabel1[[#This Row],[% uren 1:]]="","",Tabel1[[#This Row],[% uren 1:]]*Tabel1[[#This Row],[Totale uren:]])</f>
        <v/>
      </c>
      <c r="J792" s="68"/>
      <c r="K792" s="31"/>
      <c r="L792" s="86" t="str">
        <f>IF(Tabel1[[#This Row],[% uren 2:]]="","",Tabel1[[#This Row],[% uren 2:]]*Tabel1[[#This Row],[Totale uren:]])</f>
        <v/>
      </c>
      <c r="M792" s="72"/>
      <c r="N792" s="31"/>
      <c r="O792" s="85" t="str">
        <f>IF(Tabel1[[#This Row],[% uren 3:]]="","",Tabel1[[#This Row],[% uren 3:]]*Tabel1[[#This Row],[Totale uren:]])</f>
        <v/>
      </c>
      <c r="P792" s="138" t="str">
        <f>IF(Tabel1[[#This Row],[Ordernummer:]]="","",SUM(Tabel1[[#This Row],[% uren 1:]],Tabel1[[#This Row],[% uren 2:]],Tabel1[[#This Row],[% uren 3:]]))</f>
        <v/>
      </c>
      <c r="Q792" s="127"/>
      <c r="R792" s="128"/>
      <c r="S792" s="44"/>
      <c r="T792" s="25"/>
    </row>
    <row r="793" spans="2:20" x14ac:dyDescent="0.25">
      <c r="B793" s="7"/>
      <c r="C793" s="10"/>
      <c r="D793" s="10"/>
      <c r="E793" s="72"/>
      <c r="F793" s="73"/>
      <c r="G793" s="72"/>
      <c r="H793" s="31"/>
      <c r="I793" s="85" t="str">
        <f>IF(Tabel1[[#This Row],[% uren 1:]]="","",Tabel1[[#This Row],[% uren 1:]]*Tabel1[[#This Row],[Totale uren:]])</f>
        <v/>
      </c>
      <c r="J793" s="68"/>
      <c r="K793" s="31"/>
      <c r="L793" s="86" t="str">
        <f>IF(Tabel1[[#This Row],[% uren 2:]]="","",Tabel1[[#This Row],[% uren 2:]]*Tabel1[[#This Row],[Totale uren:]])</f>
        <v/>
      </c>
      <c r="M793" s="72"/>
      <c r="N793" s="31"/>
      <c r="O793" s="85" t="str">
        <f>IF(Tabel1[[#This Row],[% uren 3:]]="","",Tabel1[[#This Row],[% uren 3:]]*Tabel1[[#This Row],[Totale uren:]])</f>
        <v/>
      </c>
      <c r="P793" s="138" t="str">
        <f>IF(Tabel1[[#This Row],[Ordernummer:]]="","",SUM(Tabel1[[#This Row],[% uren 1:]],Tabel1[[#This Row],[% uren 2:]],Tabel1[[#This Row],[% uren 3:]]))</f>
        <v/>
      </c>
      <c r="Q793" s="127"/>
      <c r="R793" s="128"/>
      <c r="S793" s="44"/>
      <c r="T793" s="25"/>
    </row>
    <row r="794" spans="2:20" x14ac:dyDescent="0.25">
      <c r="B794" s="7"/>
      <c r="C794" s="10"/>
      <c r="D794" s="10"/>
      <c r="E794" s="72"/>
      <c r="F794" s="73"/>
      <c r="G794" s="72"/>
      <c r="H794" s="31"/>
      <c r="I794" s="85" t="str">
        <f>IF(Tabel1[[#This Row],[% uren 1:]]="","",Tabel1[[#This Row],[% uren 1:]]*Tabel1[[#This Row],[Totale uren:]])</f>
        <v/>
      </c>
      <c r="J794" s="68"/>
      <c r="K794" s="31"/>
      <c r="L794" s="86" t="str">
        <f>IF(Tabel1[[#This Row],[% uren 2:]]="","",Tabel1[[#This Row],[% uren 2:]]*Tabel1[[#This Row],[Totale uren:]])</f>
        <v/>
      </c>
      <c r="M794" s="72"/>
      <c r="N794" s="31"/>
      <c r="O794" s="85" t="str">
        <f>IF(Tabel1[[#This Row],[% uren 3:]]="","",Tabel1[[#This Row],[% uren 3:]]*Tabel1[[#This Row],[Totale uren:]])</f>
        <v/>
      </c>
      <c r="P794" s="138" t="str">
        <f>IF(Tabel1[[#This Row],[Ordernummer:]]="","",SUM(Tabel1[[#This Row],[% uren 1:]],Tabel1[[#This Row],[% uren 2:]],Tabel1[[#This Row],[% uren 3:]]))</f>
        <v/>
      </c>
      <c r="Q794" s="127"/>
      <c r="R794" s="128"/>
      <c r="S794" s="44"/>
      <c r="T794" s="25"/>
    </row>
    <row r="795" spans="2:20" x14ac:dyDescent="0.25">
      <c r="B795" s="7"/>
      <c r="C795" s="10"/>
      <c r="D795" s="10"/>
      <c r="E795" s="72"/>
      <c r="F795" s="73"/>
      <c r="G795" s="72"/>
      <c r="H795" s="31"/>
      <c r="I795" s="85" t="str">
        <f>IF(Tabel1[[#This Row],[% uren 1:]]="","",Tabel1[[#This Row],[% uren 1:]]*Tabel1[[#This Row],[Totale uren:]])</f>
        <v/>
      </c>
      <c r="J795" s="68"/>
      <c r="K795" s="31"/>
      <c r="L795" s="86" t="str">
        <f>IF(Tabel1[[#This Row],[% uren 2:]]="","",Tabel1[[#This Row],[% uren 2:]]*Tabel1[[#This Row],[Totale uren:]])</f>
        <v/>
      </c>
      <c r="M795" s="72"/>
      <c r="N795" s="31"/>
      <c r="O795" s="85" t="str">
        <f>IF(Tabel1[[#This Row],[% uren 3:]]="","",Tabel1[[#This Row],[% uren 3:]]*Tabel1[[#This Row],[Totale uren:]])</f>
        <v/>
      </c>
      <c r="P795" s="138" t="str">
        <f>IF(Tabel1[[#This Row],[Ordernummer:]]="","",SUM(Tabel1[[#This Row],[% uren 1:]],Tabel1[[#This Row],[% uren 2:]],Tabel1[[#This Row],[% uren 3:]]))</f>
        <v/>
      </c>
      <c r="Q795" s="127"/>
      <c r="R795" s="128"/>
      <c r="S795" s="44"/>
      <c r="T795" s="25"/>
    </row>
    <row r="796" spans="2:20" x14ac:dyDescent="0.25">
      <c r="B796" s="7"/>
      <c r="C796" s="10"/>
      <c r="D796" s="10"/>
      <c r="E796" s="72"/>
      <c r="F796" s="73"/>
      <c r="G796" s="72"/>
      <c r="H796" s="31"/>
      <c r="I796" s="85" t="str">
        <f>IF(Tabel1[[#This Row],[% uren 1:]]="","",Tabel1[[#This Row],[% uren 1:]]*Tabel1[[#This Row],[Totale uren:]])</f>
        <v/>
      </c>
      <c r="J796" s="68"/>
      <c r="K796" s="31"/>
      <c r="L796" s="86" t="str">
        <f>IF(Tabel1[[#This Row],[% uren 2:]]="","",Tabel1[[#This Row],[% uren 2:]]*Tabel1[[#This Row],[Totale uren:]])</f>
        <v/>
      </c>
      <c r="M796" s="72"/>
      <c r="N796" s="31"/>
      <c r="O796" s="85" t="str">
        <f>IF(Tabel1[[#This Row],[% uren 3:]]="","",Tabel1[[#This Row],[% uren 3:]]*Tabel1[[#This Row],[Totale uren:]])</f>
        <v/>
      </c>
      <c r="P796" s="138" t="str">
        <f>IF(Tabel1[[#This Row],[Ordernummer:]]="","",SUM(Tabel1[[#This Row],[% uren 1:]],Tabel1[[#This Row],[% uren 2:]],Tabel1[[#This Row],[% uren 3:]]))</f>
        <v/>
      </c>
      <c r="Q796" s="127"/>
      <c r="R796" s="128"/>
      <c r="S796" s="44"/>
      <c r="T796" s="25"/>
    </row>
    <row r="797" spans="2:20" x14ac:dyDescent="0.25">
      <c r="B797" s="7"/>
      <c r="C797" s="10"/>
      <c r="D797" s="10"/>
      <c r="E797" s="72"/>
      <c r="F797" s="73"/>
      <c r="G797" s="72"/>
      <c r="H797" s="31"/>
      <c r="I797" s="85" t="str">
        <f>IF(Tabel1[[#This Row],[% uren 1:]]="","",Tabel1[[#This Row],[% uren 1:]]*Tabel1[[#This Row],[Totale uren:]])</f>
        <v/>
      </c>
      <c r="J797" s="68"/>
      <c r="K797" s="31"/>
      <c r="L797" s="86" t="str">
        <f>IF(Tabel1[[#This Row],[% uren 2:]]="","",Tabel1[[#This Row],[% uren 2:]]*Tabel1[[#This Row],[Totale uren:]])</f>
        <v/>
      </c>
      <c r="M797" s="72"/>
      <c r="N797" s="31"/>
      <c r="O797" s="85" t="str">
        <f>IF(Tabel1[[#This Row],[% uren 3:]]="","",Tabel1[[#This Row],[% uren 3:]]*Tabel1[[#This Row],[Totale uren:]])</f>
        <v/>
      </c>
      <c r="P797" s="138" t="str">
        <f>IF(Tabel1[[#This Row],[Ordernummer:]]="","",SUM(Tabel1[[#This Row],[% uren 1:]],Tabel1[[#This Row],[% uren 2:]],Tabel1[[#This Row],[% uren 3:]]))</f>
        <v/>
      </c>
      <c r="Q797" s="127"/>
      <c r="R797" s="128"/>
      <c r="S797" s="44"/>
      <c r="T797" s="25"/>
    </row>
    <row r="798" spans="2:20" x14ac:dyDescent="0.25">
      <c r="B798" s="7"/>
      <c r="C798" s="10"/>
      <c r="D798" s="10"/>
      <c r="E798" s="72"/>
      <c r="F798" s="73"/>
      <c r="G798" s="72"/>
      <c r="H798" s="31"/>
      <c r="I798" s="85" t="str">
        <f>IF(Tabel1[[#This Row],[% uren 1:]]="","",Tabel1[[#This Row],[% uren 1:]]*Tabel1[[#This Row],[Totale uren:]])</f>
        <v/>
      </c>
      <c r="J798" s="68"/>
      <c r="K798" s="31"/>
      <c r="L798" s="86" t="str">
        <f>IF(Tabel1[[#This Row],[% uren 2:]]="","",Tabel1[[#This Row],[% uren 2:]]*Tabel1[[#This Row],[Totale uren:]])</f>
        <v/>
      </c>
      <c r="M798" s="72"/>
      <c r="N798" s="31"/>
      <c r="O798" s="85" t="str">
        <f>IF(Tabel1[[#This Row],[% uren 3:]]="","",Tabel1[[#This Row],[% uren 3:]]*Tabel1[[#This Row],[Totale uren:]])</f>
        <v/>
      </c>
      <c r="P798" s="138" t="str">
        <f>IF(Tabel1[[#This Row],[Ordernummer:]]="","",SUM(Tabel1[[#This Row],[% uren 1:]],Tabel1[[#This Row],[% uren 2:]],Tabel1[[#This Row],[% uren 3:]]))</f>
        <v/>
      </c>
      <c r="Q798" s="127"/>
      <c r="R798" s="128"/>
      <c r="S798" s="44"/>
      <c r="T798" s="25"/>
    </row>
    <row r="799" spans="2:20" x14ac:dyDescent="0.25">
      <c r="B799" s="7"/>
      <c r="C799" s="10"/>
      <c r="D799" s="10"/>
      <c r="E799" s="72"/>
      <c r="F799" s="73"/>
      <c r="G799" s="72"/>
      <c r="H799" s="31"/>
      <c r="I799" s="85" t="str">
        <f>IF(Tabel1[[#This Row],[% uren 1:]]="","",Tabel1[[#This Row],[% uren 1:]]*Tabel1[[#This Row],[Totale uren:]])</f>
        <v/>
      </c>
      <c r="J799" s="68"/>
      <c r="K799" s="31"/>
      <c r="L799" s="86" t="str">
        <f>IF(Tabel1[[#This Row],[% uren 2:]]="","",Tabel1[[#This Row],[% uren 2:]]*Tabel1[[#This Row],[Totale uren:]])</f>
        <v/>
      </c>
      <c r="M799" s="72"/>
      <c r="N799" s="31"/>
      <c r="O799" s="85" t="str">
        <f>IF(Tabel1[[#This Row],[% uren 3:]]="","",Tabel1[[#This Row],[% uren 3:]]*Tabel1[[#This Row],[Totale uren:]])</f>
        <v/>
      </c>
      <c r="P799" s="138" t="str">
        <f>IF(Tabel1[[#This Row],[Ordernummer:]]="","",SUM(Tabel1[[#This Row],[% uren 1:]],Tabel1[[#This Row],[% uren 2:]],Tabel1[[#This Row],[% uren 3:]]))</f>
        <v/>
      </c>
      <c r="Q799" s="127"/>
      <c r="R799" s="128"/>
      <c r="S799" s="44"/>
      <c r="T799" s="25"/>
    </row>
    <row r="800" spans="2:20" x14ac:dyDescent="0.25">
      <c r="B800" s="7"/>
      <c r="C800" s="10"/>
      <c r="D800" s="10"/>
      <c r="E800" s="72"/>
      <c r="F800" s="73"/>
      <c r="G800" s="72"/>
      <c r="H800" s="31"/>
      <c r="I800" s="85" t="str">
        <f>IF(Tabel1[[#This Row],[% uren 1:]]="","",Tabel1[[#This Row],[% uren 1:]]*Tabel1[[#This Row],[Totale uren:]])</f>
        <v/>
      </c>
      <c r="J800" s="68"/>
      <c r="K800" s="31"/>
      <c r="L800" s="86" t="str">
        <f>IF(Tabel1[[#This Row],[% uren 2:]]="","",Tabel1[[#This Row],[% uren 2:]]*Tabel1[[#This Row],[Totale uren:]])</f>
        <v/>
      </c>
      <c r="M800" s="72"/>
      <c r="N800" s="31"/>
      <c r="O800" s="85" t="str">
        <f>IF(Tabel1[[#This Row],[% uren 3:]]="","",Tabel1[[#This Row],[% uren 3:]]*Tabel1[[#This Row],[Totale uren:]])</f>
        <v/>
      </c>
      <c r="P800" s="138" t="str">
        <f>IF(Tabel1[[#This Row],[Ordernummer:]]="","",SUM(Tabel1[[#This Row],[% uren 1:]],Tabel1[[#This Row],[% uren 2:]],Tabel1[[#This Row],[% uren 3:]]))</f>
        <v/>
      </c>
      <c r="Q800" s="127"/>
      <c r="R800" s="128"/>
      <c r="S800" s="44"/>
      <c r="T800" s="25"/>
    </row>
    <row r="801" spans="2:20" x14ac:dyDescent="0.25">
      <c r="B801" s="7"/>
      <c r="C801" s="10"/>
      <c r="D801" s="10"/>
      <c r="E801" s="72"/>
      <c r="F801" s="73"/>
      <c r="G801" s="72"/>
      <c r="H801" s="31"/>
      <c r="I801" s="85" t="str">
        <f>IF(Tabel1[[#This Row],[% uren 1:]]="","",Tabel1[[#This Row],[% uren 1:]]*Tabel1[[#This Row],[Totale uren:]])</f>
        <v/>
      </c>
      <c r="J801" s="68"/>
      <c r="K801" s="31"/>
      <c r="L801" s="86" t="str">
        <f>IF(Tabel1[[#This Row],[% uren 2:]]="","",Tabel1[[#This Row],[% uren 2:]]*Tabel1[[#This Row],[Totale uren:]])</f>
        <v/>
      </c>
      <c r="M801" s="72"/>
      <c r="N801" s="31"/>
      <c r="O801" s="85" t="str">
        <f>IF(Tabel1[[#This Row],[% uren 3:]]="","",Tabel1[[#This Row],[% uren 3:]]*Tabel1[[#This Row],[Totale uren:]])</f>
        <v/>
      </c>
      <c r="P801" s="138" t="str">
        <f>IF(Tabel1[[#This Row],[Ordernummer:]]="","",SUM(Tabel1[[#This Row],[% uren 1:]],Tabel1[[#This Row],[% uren 2:]],Tabel1[[#This Row],[% uren 3:]]))</f>
        <v/>
      </c>
      <c r="Q801" s="127"/>
      <c r="R801" s="128"/>
      <c r="S801" s="44"/>
      <c r="T801" s="25"/>
    </row>
    <row r="802" spans="2:20" x14ac:dyDescent="0.25">
      <c r="B802" s="7"/>
      <c r="C802" s="10"/>
      <c r="D802" s="10"/>
      <c r="E802" s="72"/>
      <c r="F802" s="73"/>
      <c r="G802" s="72"/>
      <c r="H802" s="31"/>
      <c r="I802" s="85" t="str">
        <f>IF(Tabel1[[#This Row],[% uren 1:]]="","",Tabel1[[#This Row],[% uren 1:]]*Tabel1[[#This Row],[Totale uren:]])</f>
        <v/>
      </c>
      <c r="J802" s="68"/>
      <c r="K802" s="31"/>
      <c r="L802" s="86" t="str">
        <f>IF(Tabel1[[#This Row],[% uren 2:]]="","",Tabel1[[#This Row],[% uren 2:]]*Tabel1[[#This Row],[Totale uren:]])</f>
        <v/>
      </c>
      <c r="M802" s="72"/>
      <c r="N802" s="31"/>
      <c r="O802" s="85" t="str">
        <f>IF(Tabel1[[#This Row],[% uren 3:]]="","",Tabel1[[#This Row],[% uren 3:]]*Tabel1[[#This Row],[Totale uren:]])</f>
        <v/>
      </c>
      <c r="P802" s="138" t="str">
        <f>IF(Tabel1[[#This Row],[Ordernummer:]]="","",SUM(Tabel1[[#This Row],[% uren 1:]],Tabel1[[#This Row],[% uren 2:]],Tabel1[[#This Row],[% uren 3:]]))</f>
        <v/>
      </c>
      <c r="Q802" s="127"/>
      <c r="R802" s="128"/>
      <c r="S802" s="44"/>
      <c r="T802" s="25"/>
    </row>
    <row r="803" spans="2:20" x14ac:dyDescent="0.25">
      <c r="B803" s="7"/>
      <c r="C803" s="10"/>
      <c r="D803" s="10"/>
      <c r="E803" s="72"/>
      <c r="F803" s="73"/>
      <c r="G803" s="72"/>
      <c r="H803" s="31"/>
      <c r="I803" s="85" t="str">
        <f>IF(Tabel1[[#This Row],[% uren 1:]]="","",Tabel1[[#This Row],[% uren 1:]]*Tabel1[[#This Row],[Totale uren:]])</f>
        <v/>
      </c>
      <c r="J803" s="68"/>
      <c r="K803" s="31"/>
      <c r="L803" s="86" t="str">
        <f>IF(Tabel1[[#This Row],[% uren 2:]]="","",Tabel1[[#This Row],[% uren 2:]]*Tabel1[[#This Row],[Totale uren:]])</f>
        <v/>
      </c>
      <c r="M803" s="72"/>
      <c r="N803" s="31"/>
      <c r="O803" s="85" t="str">
        <f>IF(Tabel1[[#This Row],[% uren 3:]]="","",Tabel1[[#This Row],[% uren 3:]]*Tabel1[[#This Row],[Totale uren:]])</f>
        <v/>
      </c>
      <c r="P803" s="138" t="str">
        <f>IF(Tabel1[[#This Row],[Ordernummer:]]="","",SUM(Tabel1[[#This Row],[% uren 1:]],Tabel1[[#This Row],[% uren 2:]],Tabel1[[#This Row],[% uren 3:]]))</f>
        <v/>
      </c>
      <c r="Q803" s="127"/>
      <c r="R803" s="128"/>
      <c r="S803" s="44"/>
      <c r="T803" s="25"/>
    </row>
    <row r="804" spans="2:20" x14ac:dyDescent="0.25">
      <c r="B804" s="7"/>
      <c r="C804" s="10"/>
      <c r="D804" s="10"/>
      <c r="E804" s="72"/>
      <c r="F804" s="73"/>
      <c r="G804" s="72"/>
      <c r="H804" s="31"/>
      <c r="I804" s="85" t="str">
        <f>IF(Tabel1[[#This Row],[% uren 1:]]="","",Tabel1[[#This Row],[% uren 1:]]*Tabel1[[#This Row],[Totale uren:]])</f>
        <v/>
      </c>
      <c r="J804" s="68"/>
      <c r="K804" s="31"/>
      <c r="L804" s="86" t="str">
        <f>IF(Tabel1[[#This Row],[% uren 2:]]="","",Tabel1[[#This Row],[% uren 2:]]*Tabel1[[#This Row],[Totale uren:]])</f>
        <v/>
      </c>
      <c r="M804" s="72"/>
      <c r="N804" s="31"/>
      <c r="O804" s="85" t="str">
        <f>IF(Tabel1[[#This Row],[% uren 3:]]="","",Tabel1[[#This Row],[% uren 3:]]*Tabel1[[#This Row],[Totale uren:]])</f>
        <v/>
      </c>
      <c r="P804" s="138" t="str">
        <f>IF(Tabel1[[#This Row],[Ordernummer:]]="","",SUM(Tabel1[[#This Row],[% uren 1:]],Tabel1[[#This Row],[% uren 2:]],Tabel1[[#This Row],[% uren 3:]]))</f>
        <v/>
      </c>
      <c r="Q804" s="127"/>
      <c r="R804" s="128"/>
      <c r="S804" s="44"/>
      <c r="T804" s="25"/>
    </row>
    <row r="805" spans="2:20" x14ac:dyDescent="0.25">
      <c r="B805" s="7"/>
      <c r="C805" s="10"/>
      <c r="D805" s="10"/>
      <c r="E805" s="72"/>
      <c r="F805" s="73"/>
      <c r="G805" s="72"/>
      <c r="H805" s="31"/>
      <c r="I805" s="85" t="str">
        <f>IF(Tabel1[[#This Row],[% uren 1:]]="","",Tabel1[[#This Row],[% uren 1:]]*Tabel1[[#This Row],[Totale uren:]])</f>
        <v/>
      </c>
      <c r="J805" s="68"/>
      <c r="K805" s="31"/>
      <c r="L805" s="86" t="str">
        <f>IF(Tabel1[[#This Row],[% uren 2:]]="","",Tabel1[[#This Row],[% uren 2:]]*Tabel1[[#This Row],[Totale uren:]])</f>
        <v/>
      </c>
      <c r="M805" s="72"/>
      <c r="N805" s="31"/>
      <c r="O805" s="85" t="str">
        <f>IF(Tabel1[[#This Row],[% uren 3:]]="","",Tabel1[[#This Row],[% uren 3:]]*Tabel1[[#This Row],[Totale uren:]])</f>
        <v/>
      </c>
      <c r="P805" s="138" t="str">
        <f>IF(Tabel1[[#This Row],[Ordernummer:]]="","",SUM(Tabel1[[#This Row],[% uren 1:]],Tabel1[[#This Row],[% uren 2:]],Tabel1[[#This Row],[% uren 3:]]))</f>
        <v/>
      </c>
      <c r="Q805" s="127"/>
      <c r="R805" s="128"/>
      <c r="S805" s="44"/>
      <c r="T805" s="25"/>
    </row>
    <row r="806" spans="2:20" x14ac:dyDescent="0.25">
      <c r="B806" s="7"/>
      <c r="C806" s="10"/>
      <c r="D806" s="10"/>
      <c r="E806" s="72"/>
      <c r="F806" s="73"/>
      <c r="G806" s="72"/>
      <c r="H806" s="31"/>
      <c r="I806" s="85" t="str">
        <f>IF(Tabel1[[#This Row],[% uren 1:]]="","",Tabel1[[#This Row],[% uren 1:]]*Tabel1[[#This Row],[Totale uren:]])</f>
        <v/>
      </c>
      <c r="J806" s="68"/>
      <c r="K806" s="31"/>
      <c r="L806" s="86" t="str">
        <f>IF(Tabel1[[#This Row],[% uren 2:]]="","",Tabel1[[#This Row],[% uren 2:]]*Tabel1[[#This Row],[Totale uren:]])</f>
        <v/>
      </c>
      <c r="M806" s="72"/>
      <c r="N806" s="31"/>
      <c r="O806" s="85" t="str">
        <f>IF(Tabel1[[#This Row],[% uren 3:]]="","",Tabel1[[#This Row],[% uren 3:]]*Tabel1[[#This Row],[Totale uren:]])</f>
        <v/>
      </c>
      <c r="P806" s="138" t="str">
        <f>IF(Tabel1[[#This Row],[Ordernummer:]]="","",SUM(Tabel1[[#This Row],[% uren 1:]],Tabel1[[#This Row],[% uren 2:]],Tabel1[[#This Row],[% uren 3:]]))</f>
        <v/>
      </c>
      <c r="Q806" s="127"/>
      <c r="R806" s="128"/>
      <c r="S806" s="44"/>
      <c r="T806" s="25"/>
    </row>
    <row r="807" spans="2:20" x14ac:dyDescent="0.25">
      <c r="B807" s="7"/>
      <c r="C807" s="10"/>
      <c r="D807" s="10"/>
      <c r="E807" s="72"/>
      <c r="F807" s="73"/>
      <c r="G807" s="72"/>
      <c r="H807" s="31"/>
      <c r="I807" s="85" t="str">
        <f>IF(Tabel1[[#This Row],[% uren 1:]]="","",Tabel1[[#This Row],[% uren 1:]]*Tabel1[[#This Row],[Totale uren:]])</f>
        <v/>
      </c>
      <c r="J807" s="68"/>
      <c r="K807" s="31"/>
      <c r="L807" s="86" t="str">
        <f>IF(Tabel1[[#This Row],[% uren 2:]]="","",Tabel1[[#This Row],[% uren 2:]]*Tabel1[[#This Row],[Totale uren:]])</f>
        <v/>
      </c>
      <c r="M807" s="72"/>
      <c r="N807" s="31"/>
      <c r="O807" s="85" t="str">
        <f>IF(Tabel1[[#This Row],[% uren 3:]]="","",Tabel1[[#This Row],[% uren 3:]]*Tabel1[[#This Row],[Totale uren:]])</f>
        <v/>
      </c>
      <c r="P807" s="138" t="str">
        <f>IF(Tabel1[[#This Row],[Ordernummer:]]="","",SUM(Tabel1[[#This Row],[% uren 1:]],Tabel1[[#This Row],[% uren 2:]],Tabel1[[#This Row],[% uren 3:]]))</f>
        <v/>
      </c>
      <c r="Q807" s="127"/>
      <c r="R807" s="128"/>
      <c r="S807" s="44"/>
      <c r="T807" s="25"/>
    </row>
    <row r="808" spans="2:20" x14ac:dyDescent="0.25">
      <c r="B808" s="7"/>
      <c r="C808" s="10"/>
      <c r="D808" s="10"/>
      <c r="E808" s="72"/>
      <c r="F808" s="73"/>
      <c r="G808" s="72"/>
      <c r="H808" s="31"/>
      <c r="I808" s="85" t="str">
        <f>IF(Tabel1[[#This Row],[% uren 1:]]="","",Tabel1[[#This Row],[% uren 1:]]*Tabel1[[#This Row],[Totale uren:]])</f>
        <v/>
      </c>
      <c r="J808" s="68"/>
      <c r="K808" s="31"/>
      <c r="L808" s="86" t="str">
        <f>IF(Tabel1[[#This Row],[% uren 2:]]="","",Tabel1[[#This Row],[% uren 2:]]*Tabel1[[#This Row],[Totale uren:]])</f>
        <v/>
      </c>
      <c r="M808" s="72"/>
      <c r="N808" s="31"/>
      <c r="O808" s="85" t="str">
        <f>IF(Tabel1[[#This Row],[% uren 3:]]="","",Tabel1[[#This Row],[% uren 3:]]*Tabel1[[#This Row],[Totale uren:]])</f>
        <v/>
      </c>
      <c r="P808" s="138" t="str">
        <f>IF(Tabel1[[#This Row],[Ordernummer:]]="","",SUM(Tabel1[[#This Row],[% uren 1:]],Tabel1[[#This Row],[% uren 2:]],Tabel1[[#This Row],[% uren 3:]]))</f>
        <v/>
      </c>
      <c r="Q808" s="127"/>
      <c r="R808" s="128"/>
      <c r="S808" s="44"/>
      <c r="T808" s="25"/>
    </row>
    <row r="809" spans="2:20" x14ac:dyDescent="0.25">
      <c r="B809" s="7"/>
      <c r="C809" s="10"/>
      <c r="D809" s="10"/>
      <c r="E809" s="72"/>
      <c r="F809" s="73"/>
      <c r="G809" s="72"/>
      <c r="H809" s="31"/>
      <c r="I809" s="85" t="str">
        <f>IF(Tabel1[[#This Row],[% uren 1:]]="","",Tabel1[[#This Row],[% uren 1:]]*Tabel1[[#This Row],[Totale uren:]])</f>
        <v/>
      </c>
      <c r="J809" s="68"/>
      <c r="K809" s="31"/>
      <c r="L809" s="86" t="str">
        <f>IF(Tabel1[[#This Row],[% uren 2:]]="","",Tabel1[[#This Row],[% uren 2:]]*Tabel1[[#This Row],[Totale uren:]])</f>
        <v/>
      </c>
      <c r="M809" s="72"/>
      <c r="N809" s="31"/>
      <c r="O809" s="85" t="str">
        <f>IF(Tabel1[[#This Row],[% uren 3:]]="","",Tabel1[[#This Row],[% uren 3:]]*Tabel1[[#This Row],[Totale uren:]])</f>
        <v/>
      </c>
      <c r="P809" s="138" t="str">
        <f>IF(Tabel1[[#This Row],[Ordernummer:]]="","",SUM(Tabel1[[#This Row],[% uren 1:]],Tabel1[[#This Row],[% uren 2:]],Tabel1[[#This Row],[% uren 3:]]))</f>
        <v/>
      </c>
      <c r="Q809" s="127"/>
      <c r="R809" s="128"/>
      <c r="S809" s="44"/>
      <c r="T809" s="25"/>
    </row>
    <row r="810" spans="2:20" x14ac:dyDescent="0.25">
      <c r="B810" s="7"/>
      <c r="C810" s="10"/>
      <c r="D810" s="10"/>
      <c r="E810" s="72"/>
      <c r="F810" s="73"/>
      <c r="G810" s="72"/>
      <c r="H810" s="31"/>
      <c r="I810" s="85" t="str">
        <f>IF(Tabel1[[#This Row],[% uren 1:]]="","",Tabel1[[#This Row],[% uren 1:]]*Tabel1[[#This Row],[Totale uren:]])</f>
        <v/>
      </c>
      <c r="J810" s="68"/>
      <c r="K810" s="31"/>
      <c r="L810" s="86" t="str">
        <f>IF(Tabel1[[#This Row],[% uren 2:]]="","",Tabel1[[#This Row],[% uren 2:]]*Tabel1[[#This Row],[Totale uren:]])</f>
        <v/>
      </c>
      <c r="M810" s="72"/>
      <c r="N810" s="31"/>
      <c r="O810" s="85" t="str">
        <f>IF(Tabel1[[#This Row],[% uren 3:]]="","",Tabel1[[#This Row],[% uren 3:]]*Tabel1[[#This Row],[Totale uren:]])</f>
        <v/>
      </c>
      <c r="P810" s="138" t="str">
        <f>IF(Tabel1[[#This Row],[Ordernummer:]]="","",SUM(Tabel1[[#This Row],[% uren 1:]],Tabel1[[#This Row],[% uren 2:]],Tabel1[[#This Row],[% uren 3:]]))</f>
        <v/>
      </c>
      <c r="Q810" s="127"/>
      <c r="R810" s="128"/>
      <c r="S810" s="44"/>
      <c r="T810" s="25"/>
    </row>
    <row r="811" spans="2:20" x14ac:dyDescent="0.25">
      <c r="B811" s="7"/>
      <c r="C811" s="10"/>
      <c r="D811" s="10"/>
      <c r="E811" s="72"/>
      <c r="F811" s="73"/>
      <c r="G811" s="72"/>
      <c r="H811" s="31"/>
      <c r="I811" s="85" t="str">
        <f>IF(Tabel1[[#This Row],[% uren 1:]]="","",Tabel1[[#This Row],[% uren 1:]]*Tabel1[[#This Row],[Totale uren:]])</f>
        <v/>
      </c>
      <c r="J811" s="68"/>
      <c r="K811" s="31"/>
      <c r="L811" s="86" t="str">
        <f>IF(Tabel1[[#This Row],[% uren 2:]]="","",Tabel1[[#This Row],[% uren 2:]]*Tabel1[[#This Row],[Totale uren:]])</f>
        <v/>
      </c>
      <c r="M811" s="72"/>
      <c r="N811" s="31"/>
      <c r="O811" s="85" t="str">
        <f>IF(Tabel1[[#This Row],[% uren 3:]]="","",Tabel1[[#This Row],[% uren 3:]]*Tabel1[[#This Row],[Totale uren:]])</f>
        <v/>
      </c>
      <c r="P811" s="138" t="str">
        <f>IF(Tabel1[[#This Row],[Ordernummer:]]="","",SUM(Tabel1[[#This Row],[% uren 1:]],Tabel1[[#This Row],[% uren 2:]],Tabel1[[#This Row],[% uren 3:]]))</f>
        <v/>
      </c>
      <c r="Q811" s="127"/>
      <c r="R811" s="128"/>
      <c r="S811" s="44"/>
      <c r="T811" s="25"/>
    </row>
    <row r="812" spans="2:20" x14ac:dyDescent="0.25">
      <c r="B812" s="7"/>
      <c r="C812" s="10"/>
      <c r="D812" s="10"/>
      <c r="E812" s="72"/>
      <c r="F812" s="73"/>
      <c r="G812" s="72"/>
      <c r="H812" s="31"/>
      <c r="I812" s="85" t="str">
        <f>IF(Tabel1[[#This Row],[% uren 1:]]="","",Tabel1[[#This Row],[% uren 1:]]*Tabel1[[#This Row],[Totale uren:]])</f>
        <v/>
      </c>
      <c r="J812" s="68"/>
      <c r="K812" s="31"/>
      <c r="L812" s="86" t="str">
        <f>IF(Tabel1[[#This Row],[% uren 2:]]="","",Tabel1[[#This Row],[% uren 2:]]*Tabel1[[#This Row],[Totale uren:]])</f>
        <v/>
      </c>
      <c r="M812" s="72"/>
      <c r="N812" s="31"/>
      <c r="O812" s="85" t="str">
        <f>IF(Tabel1[[#This Row],[% uren 3:]]="","",Tabel1[[#This Row],[% uren 3:]]*Tabel1[[#This Row],[Totale uren:]])</f>
        <v/>
      </c>
      <c r="P812" s="138" t="str">
        <f>IF(Tabel1[[#This Row],[Ordernummer:]]="","",SUM(Tabel1[[#This Row],[% uren 1:]],Tabel1[[#This Row],[% uren 2:]],Tabel1[[#This Row],[% uren 3:]]))</f>
        <v/>
      </c>
      <c r="Q812" s="127"/>
      <c r="R812" s="128"/>
      <c r="S812" s="44"/>
      <c r="T812" s="25"/>
    </row>
    <row r="813" spans="2:20" x14ac:dyDescent="0.25">
      <c r="B813" s="7"/>
      <c r="C813" s="10"/>
      <c r="D813" s="10"/>
      <c r="E813" s="72"/>
      <c r="F813" s="73"/>
      <c r="G813" s="72"/>
      <c r="H813" s="31"/>
      <c r="I813" s="85" t="str">
        <f>IF(Tabel1[[#This Row],[% uren 1:]]="","",Tabel1[[#This Row],[% uren 1:]]*Tabel1[[#This Row],[Totale uren:]])</f>
        <v/>
      </c>
      <c r="J813" s="68"/>
      <c r="K813" s="31"/>
      <c r="L813" s="86" t="str">
        <f>IF(Tabel1[[#This Row],[% uren 2:]]="","",Tabel1[[#This Row],[% uren 2:]]*Tabel1[[#This Row],[Totale uren:]])</f>
        <v/>
      </c>
      <c r="M813" s="72"/>
      <c r="N813" s="31"/>
      <c r="O813" s="85" t="str">
        <f>IF(Tabel1[[#This Row],[% uren 3:]]="","",Tabel1[[#This Row],[% uren 3:]]*Tabel1[[#This Row],[Totale uren:]])</f>
        <v/>
      </c>
      <c r="P813" s="138" t="str">
        <f>IF(Tabel1[[#This Row],[Ordernummer:]]="","",SUM(Tabel1[[#This Row],[% uren 1:]],Tabel1[[#This Row],[% uren 2:]],Tabel1[[#This Row],[% uren 3:]]))</f>
        <v/>
      </c>
      <c r="Q813" s="127"/>
      <c r="R813" s="128"/>
      <c r="S813" s="44"/>
      <c r="T813" s="25"/>
    </row>
    <row r="814" spans="2:20" x14ac:dyDescent="0.25">
      <c r="B814" s="7"/>
      <c r="C814" s="10"/>
      <c r="D814" s="10"/>
      <c r="E814" s="72"/>
      <c r="F814" s="73"/>
      <c r="G814" s="72"/>
      <c r="H814" s="31"/>
      <c r="I814" s="85" t="str">
        <f>IF(Tabel1[[#This Row],[% uren 1:]]="","",Tabel1[[#This Row],[% uren 1:]]*Tabel1[[#This Row],[Totale uren:]])</f>
        <v/>
      </c>
      <c r="J814" s="68"/>
      <c r="K814" s="31"/>
      <c r="L814" s="86" t="str">
        <f>IF(Tabel1[[#This Row],[% uren 2:]]="","",Tabel1[[#This Row],[% uren 2:]]*Tabel1[[#This Row],[Totale uren:]])</f>
        <v/>
      </c>
      <c r="M814" s="72"/>
      <c r="N814" s="31"/>
      <c r="O814" s="85" t="str">
        <f>IF(Tabel1[[#This Row],[% uren 3:]]="","",Tabel1[[#This Row],[% uren 3:]]*Tabel1[[#This Row],[Totale uren:]])</f>
        <v/>
      </c>
      <c r="P814" s="138" t="str">
        <f>IF(Tabel1[[#This Row],[Ordernummer:]]="","",SUM(Tabel1[[#This Row],[% uren 1:]],Tabel1[[#This Row],[% uren 2:]],Tabel1[[#This Row],[% uren 3:]]))</f>
        <v/>
      </c>
      <c r="Q814" s="127"/>
      <c r="R814" s="128"/>
      <c r="S814" s="44"/>
      <c r="T814" s="25"/>
    </row>
    <row r="815" spans="2:20" x14ac:dyDescent="0.25">
      <c r="B815" s="7"/>
      <c r="C815" s="10"/>
      <c r="D815" s="10"/>
      <c r="E815" s="72"/>
      <c r="F815" s="73"/>
      <c r="G815" s="72"/>
      <c r="H815" s="31"/>
      <c r="I815" s="85" t="str">
        <f>IF(Tabel1[[#This Row],[% uren 1:]]="","",Tabel1[[#This Row],[% uren 1:]]*Tabel1[[#This Row],[Totale uren:]])</f>
        <v/>
      </c>
      <c r="J815" s="68"/>
      <c r="K815" s="31"/>
      <c r="L815" s="86" t="str">
        <f>IF(Tabel1[[#This Row],[% uren 2:]]="","",Tabel1[[#This Row],[% uren 2:]]*Tabel1[[#This Row],[Totale uren:]])</f>
        <v/>
      </c>
      <c r="M815" s="72"/>
      <c r="N815" s="31"/>
      <c r="O815" s="85" t="str">
        <f>IF(Tabel1[[#This Row],[% uren 3:]]="","",Tabel1[[#This Row],[% uren 3:]]*Tabel1[[#This Row],[Totale uren:]])</f>
        <v/>
      </c>
      <c r="P815" s="138" t="str">
        <f>IF(Tabel1[[#This Row],[Ordernummer:]]="","",SUM(Tabel1[[#This Row],[% uren 1:]],Tabel1[[#This Row],[% uren 2:]],Tabel1[[#This Row],[% uren 3:]]))</f>
        <v/>
      </c>
      <c r="Q815" s="127"/>
      <c r="R815" s="128"/>
      <c r="S815" s="44"/>
      <c r="T815" s="25"/>
    </row>
    <row r="816" spans="2:20" x14ac:dyDescent="0.25">
      <c r="B816" s="7"/>
      <c r="C816" s="10"/>
      <c r="D816" s="10"/>
      <c r="E816" s="72"/>
      <c r="F816" s="73"/>
      <c r="G816" s="72"/>
      <c r="H816" s="31"/>
      <c r="I816" s="85" t="str">
        <f>IF(Tabel1[[#This Row],[% uren 1:]]="","",Tabel1[[#This Row],[% uren 1:]]*Tabel1[[#This Row],[Totale uren:]])</f>
        <v/>
      </c>
      <c r="J816" s="68"/>
      <c r="K816" s="31"/>
      <c r="L816" s="86" t="str">
        <f>IF(Tabel1[[#This Row],[% uren 2:]]="","",Tabel1[[#This Row],[% uren 2:]]*Tabel1[[#This Row],[Totale uren:]])</f>
        <v/>
      </c>
      <c r="M816" s="72"/>
      <c r="N816" s="31"/>
      <c r="O816" s="85" t="str">
        <f>IF(Tabel1[[#This Row],[% uren 3:]]="","",Tabel1[[#This Row],[% uren 3:]]*Tabel1[[#This Row],[Totale uren:]])</f>
        <v/>
      </c>
      <c r="P816" s="138" t="str">
        <f>IF(Tabel1[[#This Row],[Ordernummer:]]="","",SUM(Tabel1[[#This Row],[% uren 1:]],Tabel1[[#This Row],[% uren 2:]],Tabel1[[#This Row],[% uren 3:]]))</f>
        <v/>
      </c>
      <c r="Q816" s="127"/>
      <c r="R816" s="128"/>
      <c r="S816" s="44"/>
      <c r="T816" s="25"/>
    </row>
    <row r="817" spans="2:20" x14ac:dyDescent="0.25">
      <c r="B817" s="7"/>
      <c r="C817" s="10"/>
      <c r="D817" s="10"/>
      <c r="E817" s="72"/>
      <c r="F817" s="73"/>
      <c r="G817" s="72"/>
      <c r="H817" s="31"/>
      <c r="I817" s="85" t="str">
        <f>IF(Tabel1[[#This Row],[% uren 1:]]="","",Tabel1[[#This Row],[% uren 1:]]*Tabel1[[#This Row],[Totale uren:]])</f>
        <v/>
      </c>
      <c r="J817" s="68"/>
      <c r="K817" s="31"/>
      <c r="L817" s="86" t="str">
        <f>IF(Tabel1[[#This Row],[% uren 2:]]="","",Tabel1[[#This Row],[% uren 2:]]*Tabel1[[#This Row],[Totale uren:]])</f>
        <v/>
      </c>
      <c r="M817" s="72"/>
      <c r="N817" s="31"/>
      <c r="O817" s="85" t="str">
        <f>IF(Tabel1[[#This Row],[% uren 3:]]="","",Tabel1[[#This Row],[% uren 3:]]*Tabel1[[#This Row],[Totale uren:]])</f>
        <v/>
      </c>
      <c r="P817" s="138" t="str">
        <f>IF(Tabel1[[#This Row],[Ordernummer:]]="","",SUM(Tabel1[[#This Row],[% uren 1:]],Tabel1[[#This Row],[% uren 2:]],Tabel1[[#This Row],[% uren 3:]]))</f>
        <v/>
      </c>
      <c r="Q817" s="127"/>
      <c r="R817" s="128"/>
      <c r="S817" s="44"/>
      <c r="T817" s="25"/>
    </row>
    <row r="818" spans="2:20" x14ac:dyDescent="0.25">
      <c r="B818" s="7"/>
      <c r="C818" s="10"/>
      <c r="D818" s="10"/>
      <c r="E818" s="72"/>
      <c r="F818" s="73"/>
      <c r="G818" s="72"/>
      <c r="H818" s="31"/>
      <c r="I818" s="85" t="str">
        <f>IF(Tabel1[[#This Row],[% uren 1:]]="","",Tabel1[[#This Row],[% uren 1:]]*Tabel1[[#This Row],[Totale uren:]])</f>
        <v/>
      </c>
      <c r="J818" s="68"/>
      <c r="K818" s="31"/>
      <c r="L818" s="86" t="str">
        <f>IF(Tabel1[[#This Row],[% uren 2:]]="","",Tabel1[[#This Row],[% uren 2:]]*Tabel1[[#This Row],[Totale uren:]])</f>
        <v/>
      </c>
      <c r="M818" s="72"/>
      <c r="N818" s="31"/>
      <c r="O818" s="85" t="str">
        <f>IF(Tabel1[[#This Row],[% uren 3:]]="","",Tabel1[[#This Row],[% uren 3:]]*Tabel1[[#This Row],[Totale uren:]])</f>
        <v/>
      </c>
      <c r="P818" s="138" t="str">
        <f>IF(Tabel1[[#This Row],[Ordernummer:]]="","",SUM(Tabel1[[#This Row],[% uren 1:]],Tabel1[[#This Row],[% uren 2:]],Tabel1[[#This Row],[% uren 3:]]))</f>
        <v/>
      </c>
      <c r="Q818" s="127"/>
      <c r="R818" s="128"/>
      <c r="S818" s="44"/>
      <c r="T818" s="25"/>
    </row>
    <row r="819" spans="2:20" x14ac:dyDescent="0.25">
      <c r="B819" s="7"/>
      <c r="C819" s="10"/>
      <c r="D819" s="10"/>
      <c r="E819" s="72"/>
      <c r="F819" s="73"/>
      <c r="G819" s="72"/>
      <c r="H819" s="31"/>
      <c r="I819" s="85" t="str">
        <f>IF(Tabel1[[#This Row],[% uren 1:]]="","",Tabel1[[#This Row],[% uren 1:]]*Tabel1[[#This Row],[Totale uren:]])</f>
        <v/>
      </c>
      <c r="J819" s="68"/>
      <c r="K819" s="31"/>
      <c r="L819" s="86" t="str">
        <f>IF(Tabel1[[#This Row],[% uren 2:]]="","",Tabel1[[#This Row],[% uren 2:]]*Tabel1[[#This Row],[Totale uren:]])</f>
        <v/>
      </c>
      <c r="M819" s="72"/>
      <c r="N819" s="31"/>
      <c r="O819" s="85" t="str">
        <f>IF(Tabel1[[#This Row],[% uren 3:]]="","",Tabel1[[#This Row],[% uren 3:]]*Tabel1[[#This Row],[Totale uren:]])</f>
        <v/>
      </c>
      <c r="P819" s="138" t="str">
        <f>IF(Tabel1[[#This Row],[Ordernummer:]]="","",SUM(Tabel1[[#This Row],[% uren 1:]],Tabel1[[#This Row],[% uren 2:]],Tabel1[[#This Row],[% uren 3:]]))</f>
        <v/>
      </c>
      <c r="Q819" s="127"/>
      <c r="R819" s="128"/>
      <c r="S819" s="44"/>
      <c r="T819" s="25"/>
    </row>
    <row r="820" spans="2:20" x14ac:dyDescent="0.25">
      <c r="B820" s="7"/>
      <c r="C820" s="10"/>
      <c r="D820" s="10"/>
      <c r="E820" s="72"/>
      <c r="F820" s="73"/>
      <c r="G820" s="72"/>
      <c r="H820" s="31"/>
      <c r="I820" s="85" t="str">
        <f>IF(Tabel1[[#This Row],[% uren 1:]]="","",Tabel1[[#This Row],[% uren 1:]]*Tabel1[[#This Row],[Totale uren:]])</f>
        <v/>
      </c>
      <c r="J820" s="68"/>
      <c r="K820" s="31"/>
      <c r="L820" s="86" t="str">
        <f>IF(Tabel1[[#This Row],[% uren 2:]]="","",Tabel1[[#This Row],[% uren 2:]]*Tabel1[[#This Row],[Totale uren:]])</f>
        <v/>
      </c>
      <c r="M820" s="72"/>
      <c r="N820" s="31"/>
      <c r="O820" s="85" t="str">
        <f>IF(Tabel1[[#This Row],[% uren 3:]]="","",Tabel1[[#This Row],[% uren 3:]]*Tabel1[[#This Row],[Totale uren:]])</f>
        <v/>
      </c>
      <c r="P820" s="138" t="str">
        <f>IF(Tabel1[[#This Row],[Ordernummer:]]="","",SUM(Tabel1[[#This Row],[% uren 1:]],Tabel1[[#This Row],[% uren 2:]],Tabel1[[#This Row],[% uren 3:]]))</f>
        <v/>
      </c>
      <c r="Q820" s="127"/>
      <c r="R820" s="128"/>
      <c r="S820" s="44"/>
      <c r="T820" s="25"/>
    </row>
    <row r="821" spans="2:20" x14ac:dyDescent="0.25">
      <c r="B821" s="7"/>
      <c r="C821" s="10"/>
      <c r="D821" s="10"/>
      <c r="E821" s="72"/>
      <c r="F821" s="73"/>
      <c r="G821" s="72"/>
      <c r="H821" s="31"/>
      <c r="I821" s="85" t="str">
        <f>IF(Tabel1[[#This Row],[% uren 1:]]="","",Tabel1[[#This Row],[% uren 1:]]*Tabel1[[#This Row],[Totale uren:]])</f>
        <v/>
      </c>
      <c r="J821" s="68"/>
      <c r="K821" s="31"/>
      <c r="L821" s="86" t="str">
        <f>IF(Tabel1[[#This Row],[% uren 2:]]="","",Tabel1[[#This Row],[% uren 2:]]*Tabel1[[#This Row],[Totale uren:]])</f>
        <v/>
      </c>
      <c r="M821" s="72"/>
      <c r="N821" s="31"/>
      <c r="O821" s="85" t="str">
        <f>IF(Tabel1[[#This Row],[% uren 3:]]="","",Tabel1[[#This Row],[% uren 3:]]*Tabel1[[#This Row],[Totale uren:]])</f>
        <v/>
      </c>
      <c r="P821" s="138" t="str">
        <f>IF(Tabel1[[#This Row],[Ordernummer:]]="","",SUM(Tabel1[[#This Row],[% uren 1:]],Tabel1[[#This Row],[% uren 2:]],Tabel1[[#This Row],[% uren 3:]]))</f>
        <v/>
      </c>
      <c r="Q821" s="127"/>
      <c r="R821" s="128"/>
      <c r="S821" s="44"/>
      <c r="T821" s="25"/>
    </row>
    <row r="822" spans="2:20" x14ac:dyDescent="0.25">
      <c r="B822" s="7"/>
      <c r="C822" s="10"/>
      <c r="D822" s="10"/>
      <c r="E822" s="72"/>
      <c r="F822" s="73"/>
      <c r="G822" s="72"/>
      <c r="H822" s="31"/>
      <c r="I822" s="85" t="str">
        <f>IF(Tabel1[[#This Row],[% uren 1:]]="","",Tabel1[[#This Row],[% uren 1:]]*Tabel1[[#This Row],[Totale uren:]])</f>
        <v/>
      </c>
      <c r="J822" s="68"/>
      <c r="K822" s="31"/>
      <c r="L822" s="86" t="str">
        <f>IF(Tabel1[[#This Row],[% uren 2:]]="","",Tabel1[[#This Row],[% uren 2:]]*Tabel1[[#This Row],[Totale uren:]])</f>
        <v/>
      </c>
      <c r="M822" s="72"/>
      <c r="N822" s="31"/>
      <c r="O822" s="85" t="str">
        <f>IF(Tabel1[[#This Row],[% uren 3:]]="","",Tabel1[[#This Row],[% uren 3:]]*Tabel1[[#This Row],[Totale uren:]])</f>
        <v/>
      </c>
      <c r="P822" s="138" t="str">
        <f>IF(Tabel1[[#This Row],[Ordernummer:]]="","",SUM(Tabel1[[#This Row],[% uren 1:]],Tabel1[[#This Row],[% uren 2:]],Tabel1[[#This Row],[% uren 3:]]))</f>
        <v/>
      </c>
      <c r="Q822" s="127"/>
      <c r="R822" s="128"/>
      <c r="S822" s="44"/>
      <c r="T822" s="25"/>
    </row>
    <row r="823" spans="2:20" x14ac:dyDescent="0.25">
      <c r="B823" s="7"/>
      <c r="C823" s="10"/>
      <c r="D823" s="10"/>
      <c r="E823" s="72"/>
      <c r="F823" s="73"/>
      <c r="G823" s="72"/>
      <c r="H823" s="31"/>
      <c r="I823" s="85" t="str">
        <f>IF(Tabel1[[#This Row],[% uren 1:]]="","",Tabel1[[#This Row],[% uren 1:]]*Tabel1[[#This Row],[Totale uren:]])</f>
        <v/>
      </c>
      <c r="J823" s="68"/>
      <c r="K823" s="31"/>
      <c r="L823" s="86" t="str">
        <f>IF(Tabel1[[#This Row],[% uren 2:]]="","",Tabel1[[#This Row],[% uren 2:]]*Tabel1[[#This Row],[Totale uren:]])</f>
        <v/>
      </c>
      <c r="M823" s="72"/>
      <c r="N823" s="31"/>
      <c r="O823" s="85" t="str">
        <f>IF(Tabel1[[#This Row],[% uren 3:]]="","",Tabel1[[#This Row],[% uren 3:]]*Tabel1[[#This Row],[Totale uren:]])</f>
        <v/>
      </c>
      <c r="P823" s="138" t="str">
        <f>IF(Tabel1[[#This Row],[Ordernummer:]]="","",SUM(Tabel1[[#This Row],[% uren 1:]],Tabel1[[#This Row],[% uren 2:]],Tabel1[[#This Row],[% uren 3:]]))</f>
        <v/>
      </c>
      <c r="Q823" s="127"/>
      <c r="R823" s="128"/>
      <c r="S823" s="44"/>
      <c r="T823" s="25"/>
    </row>
    <row r="824" spans="2:20" x14ac:dyDescent="0.25">
      <c r="B824" s="7"/>
      <c r="C824" s="10"/>
      <c r="D824" s="10"/>
      <c r="E824" s="72"/>
      <c r="F824" s="73"/>
      <c r="G824" s="72"/>
      <c r="H824" s="31"/>
      <c r="I824" s="85" t="str">
        <f>IF(Tabel1[[#This Row],[% uren 1:]]="","",Tabel1[[#This Row],[% uren 1:]]*Tabel1[[#This Row],[Totale uren:]])</f>
        <v/>
      </c>
      <c r="J824" s="68"/>
      <c r="K824" s="31"/>
      <c r="L824" s="86" t="str">
        <f>IF(Tabel1[[#This Row],[% uren 2:]]="","",Tabel1[[#This Row],[% uren 2:]]*Tabel1[[#This Row],[Totale uren:]])</f>
        <v/>
      </c>
      <c r="M824" s="72"/>
      <c r="N824" s="31"/>
      <c r="O824" s="85" t="str">
        <f>IF(Tabel1[[#This Row],[% uren 3:]]="","",Tabel1[[#This Row],[% uren 3:]]*Tabel1[[#This Row],[Totale uren:]])</f>
        <v/>
      </c>
      <c r="P824" s="138" t="str">
        <f>IF(Tabel1[[#This Row],[Ordernummer:]]="","",SUM(Tabel1[[#This Row],[% uren 1:]],Tabel1[[#This Row],[% uren 2:]],Tabel1[[#This Row],[% uren 3:]]))</f>
        <v/>
      </c>
      <c r="Q824" s="127"/>
      <c r="R824" s="128"/>
      <c r="S824" s="44"/>
      <c r="T824" s="25"/>
    </row>
    <row r="825" spans="2:20" x14ac:dyDescent="0.25">
      <c r="B825" s="7"/>
      <c r="C825" s="10"/>
      <c r="D825" s="10"/>
      <c r="E825" s="72"/>
      <c r="F825" s="73"/>
      <c r="G825" s="72"/>
      <c r="H825" s="31"/>
      <c r="I825" s="85" t="str">
        <f>IF(Tabel1[[#This Row],[% uren 1:]]="","",Tabel1[[#This Row],[% uren 1:]]*Tabel1[[#This Row],[Totale uren:]])</f>
        <v/>
      </c>
      <c r="J825" s="68"/>
      <c r="K825" s="31"/>
      <c r="L825" s="86" t="str">
        <f>IF(Tabel1[[#This Row],[% uren 2:]]="","",Tabel1[[#This Row],[% uren 2:]]*Tabel1[[#This Row],[Totale uren:]])</f>
        <v/>
      </c>
      <c r="M825" s="72"/>
      <c r="N825" s="31"/>
      <c r="O825" s="85" t="str">
        <f>IF(Tabel1[[#This Row],[% uren 3:]]="","",Tabel1[[#This Row],[% uren 3:]]*Tabel1[[#This Row],[Totale uren:]])</f>
        <v/>
      </c>
      <c r="P825" s="138" t="str">
        <f>IF(Tabel1[[#This Row],[Ordernummer:]]="","",SUM(Tabel1[[#This Row],[% uren 1:]],Tabel1[[#This Row],[% uren 2:]],Tabel1[[#This Row],[% uren 3:]]))</f>
        <v/>
      </c>
      <c r="Q825" s="127"/>
      <c r="R825" s="128"/>
      <c r="S825" s="44"/>
      <c r="T825" s="25"/>
    </row>
    <row r="826" spans="2:20" x14ac:dyDescent="0.25">
      <c r="B826" s="7"/>
      <c r="C826" s="10"/>
      <c r="D826" s="10"/>
      <c r="E826" s="72"/>
      <c r="F826" s="73"/>
      <c r="G826" s="72"/>
      <c r="H826" s="31"/>
      <c r="I826" s="85" t="str">
        <f>IF(Tabel1[[#This Row],[% uren 1:]]="","",Tabel1[[#This Row],[% uren 1:]]*Tabel1[[#This Row],[Totale uren:]])</f>
        <v/>
      </c>
      <c r="J826" s="68"/>
      <c r="K826" s="31"/>
      <c r="L826" s="86" t="str">
        <f>IF(Tabel1[[#This Row],[% uren 2:]]="","",Tabel1[[#This Row],[% uren 2:]]*Tabel1[[#This Row],[Totale uren:]])</f>
        <v/>
      </c>
      <c r="M826" s="72"/>
      <c r="N826" s="31"/>
      <c r="O826" s="85" t="str">
        <f>IF(Tabel1[[#This Row],[% uren 3:]]="","",Tabel1[[#This Row],[% uren 3:]]*Tabel1[[#This Row],[Totale uren:]])</f>
        <v/>
      </c>
      <c r="P826" s="138" t="str">
        <f>IF(Tabel1[[#This Row],[Ordernummer:]]="","",SUM(Tabel1[[#This Row],[% uren 1:]],Tabel1[[#This Row],[% uren 2:]],Tabel1[[#This Row],[% uren 3:]]))</f>
        <v/>
      </c>
      <c r="Q826" s="127"/>
      <c r="R826" s="128"/>
      <c r="S826" s="44"/>
      <c r="T826" s="25"/>
    </row>
    <row r="827" spans="2:20" x14ac:dyDescent="0.25">
      <c r="B827" s="7"/>
      <c r="C827" s="10"/>
      <c r="D827" s="10"/>
      <c r="E827" s="72"/>
      <c r="F827" s="73"/>
      <c r="G827" s="72"/>
      <c r="H827" s="31"/>
      <c r="I827" s="85" t="str">
        <f>IF(Tabel1[[#This Row],[% uren 1:]]="","",Tabel1[[#This Row],[% uren 1:]]*Tabel1[[#This Row],[Totale uren:]])</f>
        <v/>
      </c>
      <c r="J827" s="68"/>
      <c r="K827" s="31"/>
      <c r="L827" s="86" t="str">
        <f>IF(Tabel1[[#This Row],[% uren 2:]]="","",Tabel1[[#This Row],[% uren 2:]]*Tabel1[[#This Row],[Totale uren:]])</f>
        <v/>
      </c>
      <c r="M827" s="72"/>
      <c r="N827" s="31"/>
      <c r="O827" s="85" t="str">
        <f>IF(Tabel1[[#This Row],[% uren 3:]]="","",Tabel1[[#This Row],[% uren 3:]]*Tabel1[[#This Row],[Totale uren:]])</f>
        <v/>
      </c>
      <c r="P827" s="138" t="str">
        <f>IF(Tabel1[[#This Row],[Ordernummer:]]="","",SUM(Tabel1[[#This Row],[% uren 1:]],Tabel1[[#This Row],[% uren 2:]],Tabel1[[#This Row],[% uren 3:]]))</f>
        <v/>
      </c>
      <c r="Q827" s="127"/>
      <c r="R827" s="128"/>
      <c r="S827" s="44"/>
      <c r="T827" s="25"/>
    </row>
    <row r="828" spans="2:20" x14ac:dyDescent="0.25">
      <c r="B828" s="7"/>
      <c r="C828" s="10"/>
      <c r="D828" s="10"/>
      <c r="E828" s="72"/>
      <c r="F828" s="73"/>
      <c r="G828" s="72"/>
      <c r="H828" s="31"/>
      <c r="I828" s="85" t="str">
        <f>IF(Tabel1[[#This Row],[% uren 1:]]="","",Tabel1[[#This Row],[% uren 1:]]*Tabel1[[#This Row],[Totale uren:]])</f>
        <v/>
      </c>
      <c r="J828" s="68"/>
      <c r="K828" s="31"/>
      <c r="L828" s="86" t="str">
        <f>IF(Tabel1[[#This Row],[% uren 2:]]="","",Tabel1[[#This Row],[% uren 2:]]*Tabel1[[#This Row],[Totale uren:]])</f>
        <v/>
      </c>
      <c r="M828" s="72"/>
      <c r="N828" s="31"/>
      <c r="O828" s="85" t="str">
        <f>IF(Tabel1[[#This Row],[% uren 3:]]="","",Tabel1[[#This Row],[% uren 3:]]*Tabel1[[#This Row],[Totale uren:]])</f>
        <v/>
      </c>
      <c r="P828" s="138" t="str">
        <f>IF(Tabel1[[#This Row],[Ordernummer:]]="","",SUM(Tabel1[[#This Row],[% uren 1:]],Tabel1[[#This Row],[% uren 2:]],Tabel1[[#This Row],[% uren 3:]]))</f>
        <v/>
      </c>
      <c r="Q828" s="127"/>
      <c r="R828" s="128"/>
      <c r="S828" s="44"/>
      <c r="T828" s="25"/>
    </row>
    <row r="829" spans="2:20" x14ac:dyDescent="0.25">
      <c r="B829" s="7"/>
      <c r="C829" s="10"/>
      <c r="D829" s="10"/>
      <c r="E829" s="72"/>
      <c r="F829" s="73"/>
      <c r="G829" s="72"/>
      <c r="H829" s="31"/>
      <c r="I829" s="85" t="str">
        <f>IF(Tabel1[[#This Row],[% uren 1:]]="","",Tabel1[[#This Row],[% uren 1:]]*Tabel1[[#This Row],[Totale uren:]])</f>
        <v/>
      </c>
      <c r="J829" s="68"/>
      <c r="K829" s="31"/>
      <c r="L829" s="86" t="str">
        <f>IF(Tabel1[[#This Row],[% uren 2:]]="","",Tabel1[[#This Row],[% uren 2:]]*Tabel1[[#This Row],[Totale uren:]])</f>
        <v/>
      </c>
      <c r="M829" s="72"/>
      <c r="N829" s="31"/>
      <c r="O829" s="85" t="str">
        <f>IF(Tabel1[[#This Row],[% uren 3:]]="","",Tabel1[[#This Row],[% uren 3:]]*Tabel1[[#This Row],[Totale uren:]])</f>
        <v/>
      </c>
      <c r="P829" s="138" t="str">
        <f>IF(Tabel1[[#This Row],[Ordernummer:]]="","",SUM(Tabel1[[#This Row],[% uren 1:]],Tabel1[[#This Row],[% uren 2:]],Tabel1[[#This Row],[% uren 3:]]))</f>
        <v/>
      </c>
      <c r="Q829" s="127"/>
      <c r="R829" s="128"/>
      <c r="S829" s="44"/>
      <c r="T829" s="25"/>
    </row>
    <row r="830" spans="2:20" x14ac:dyDescent="0.25">
      <c r="B830" s="7"/>
      <c r="C830" s="10"/>
      <c r="D830" s="10"/>
      <c r="E830" s="72"/>
      <c r="F830" s="73"/>
      <c r="G830" s="72"/>
      <c r="H830" s="31"/>
      <c r="I830" s="85" t="str">
        <f>IF(Tabel1[[#This Row],[% uren 1:]]="","",Tabel1[[#This Row],[% uren 1:]]*Tabel1[[#This Row],[Totale uren:]])</f>
        <v/>
      </c>
      <c r="J830" s="68"/>
      <c r="K830" s="31"/>
      <c r="L830" s="86" t="str">
        <f>IF(Tabel1[[#This Row],[% uren 2:]]="","",Tabel1[[#This Row],[% uren 2:]]*Tabel1[[#This Row],[Totale uren:]])</f>
        <v/>
      </c>
      <c r="M830" s="72"/>
      <c r="N830" s="31"/>
      <c r="O830" s="85" t="str">
        <f>IF(Tabel1[[#This Row],[% uren 3:]]="","",Tabel1[[#This Row],[% uren 3:]]*Tabel1[[#This Row],[Totale uren:]])</f>
        <v/>
      </c>
      <c r="P830" s="138" t="str">
        <f>IF(Tabel1[[#This Row],[Ordernummer:]]="","",SUM(Tabel1[[#This Row],[% uren 1:]],Tabel1[[#This Row],[% uren 2:]],Tabel1[[#This Row],[% uren 3:]]))</f>
        <v/>
      </c>
      <c r="Q830" s="127"/>
      <c r="R830" s="128"/>
      <c r="S830" s="44"/>
      <c r="T830" s="25"/>
    </row>
    <row r="831" spans="2:20" x14ac:dyDescent="0.25">
      <c r="B831" s="7"/>
      <c r="C831" s="10"/>
      <c r="D831" s="10"/>
      <c r="E831" s="72"/>
      <c r="F831" s="73"/>
      <c r="G831" s="72"/>
      <c r="H831" s="31"/>
      <c r="I831" s="85" t="str">
        <f>IF(Tabel1[[#This Row],[% uren 1:]]="","",Tabel1[[#This Row],[% uren 1:]]*Tabel1[[#This Row],[Totale uren:]])</f>
        <v/>
      </c>
      <c r="J831" s="68"/>
      <c r="K831" s="31"/>
      <c r="L831" s="86" t="str">
        <f>IF(Tabel1[[#This Row],[% uren 2:]]="","",Tabel1[[#This Row],[% uren 2:]]*Tabel1[[#This Row],[Totale uren:]])</f>
        <v/>
      </c>
      <c r="M831" s="72"/>
      <c r="N831" s="31"/>
      <c r="O831" s="85" t="str">
        <f>IF(Tabel1[[#This Row],[% uren 3:]]="","",Tabel1[[#This Row],[% uren 3:]]*Tabel1[[#This Row],[Totale uren:]])</f>
        <v/>
      </c>
      <c r="P831" s="138" t="str">
        <f>IF(Tabel1[[#This Row],[Ordernummer:]]="","",SUM(Tabel1[[#This Row],[% uren 1:]],Tabel1[[#This Row],[% uren 2:]],Tabel1[[#This Row],[% uren 3:]]))</f>
        <v/>
      </c>
      <c r="Q831" s="127"/>
      <c r="R831" s="128"/>
      <c r="S831" s="44"/>
      <c r="T831" s="25"/>
    </row>
    <row r="832" spans="2:20" x14ac:dyDescent="0.25">
      <c r="B832" s="7"/>
      <c r="C832" s="10"/>
      <c r="D832" s="10"/>
      <c r="E832" s="72"/>
      <c r="F832" s="73"/>
      <c r="G832" s="72"/>
      <c r="H832" s="31"/>
      <c r="I832" s="85" t="str">
        <f>IF(Tabel1[[#This Row],[% uren 1:]]="","",Tabel1[[#This Row],[% uren 1:]]*Tabel1[[#This Row],[Totale uren:]])</f>
        <v/>
      </c>
      <c r="J832" s="68"/>
      <c r="K832" s="31"/>
      <c r="L832" s="86" t="str">
        <f>IF(Tabel1[[#This Row],[% uren 2:]]="","",Tabel1[[#This Row],[% uren 2:]]*Tabel1[[#This Row],[Totale uren:]])</f>
        <v/>
      </c>
      <c r="M832" s="72"/>
      <c r="N832" s="31"/>
      <c r="O832" s="85" t="str">
        <f>IF(Tabel1[[#This Row],[% uren 3:]]="","",Tabel1[[#This Row],[% uren 3:]]*Tabel1[[#This Row],[Totale uren:]])</f>
        <v/>
      </c>
      <c r="P832" s="138" t="str">
        <f>IF(Tabel1[[#This Row],[Ordernummer:]]="","",SUM(Tabel1[[#This Row],[% uren 1:]],Tabel1[[#This Row],[% uren 2:]],Tabel1[[#This Row],[% uren 3:]]))</f>
        <v/>
      </c>
      <c r="Q832" s="127"/>
      <c r="R832" s="128"/>
      <c r="S832" s="44"/>
      <c r="T832" s="25"/>
    </row>
    <row r="833" spans="2:20" x14ac:dyDescent="0.25">
      <c r="B833" s="7"/>
      <c r="C833" s="10"/>
      <c r="D833" s="10"/>
      <c r="E833" s="72"/>
      <c r="F833" s="73"/>
      <c r="G833" s="72"/>
      <c r="H833" s="31"/>
      <c r="I833" s="85" t="str">
        <f>IF(Tabel1[[#This Row],[% uren 1:]]="","",Tabel1[[#This Row],[% uren 1:]]*Tabel1[[#This Row],[Totale uren:]])</f>
        <v/>
      </c>
      <c r="J833" s="68"/>
      <c r="K833" s="31"/>
      <c r="L833" s="86" t="str">
        <f>IF(Tabel1[[#This Row],[% uren 2:]]="","",Tabel1[[#This Row],[% uren 2:]]*Tabel1[[#This Row],[Totale uren:]])</f>
        <v/>
      </c>
      <c r="M833" s="72"/>
      <c r="N833" s="31"/>
      <c r="O833" s="85" t="str">
        <f>IF(Tabel1[[#This Row],[% uren 3:]]="","",Tabel1[[#This Row],[% uren 3:]]*Tabel1[[#This Row],[Totale uren:]])</f>
        <v/>
      </c>
      <c r="P833" s="138" t="str">
        <f>IF(Tabel1[[#This Row],[Ordernummer:]]="","",SUM(Tabel1[[#This Row],[% uren 1:]],Tabel1[[#This Row],[% uren 2:]],Tabel1[[#This Row],[% uren 3:]]))</f>
        <v/>
      </c>
      <c r="Q833" s="127"/>
      <c r="R833" s="128"/>
      <c r="S833" s="44"/>
      <c r="T833" s="25"/>
    </row>
    <row r="834" spans="2:20" x14ac:dyDescent="0.25">
      <c r="B834" s="7"/>
      <c r="C834" s="10"/>
      <c r="D834" s="10"/>
      <c r="E834" s="72"/>
      <c r="F834" s="73"/>
      <c r="G834" s="72"/>
      <c r="H834" s="31"/>
      <c r="I834" s="85" t="str">
        <f>IF(Tabel1[[#This Row],[% uren 1:]]="","",Tabel1[[#This Row],[% uren 1:]]*Tabel1[[#This Row],[Totale uren:]])</f>
        <v/>
      </c>
      <c r="J834" s="68"/>
      <c r="K834" s="31"/>
      <c r="L834" s="86" t="str">
        <f>IF(Tabel1[[#This Row],[% uren 2:]]="","",Tabel1[[#This Row],[% uren 2:]]*Tabel1[[#This Row],[Totale uren:]])</f>
        <v/>
      </c>
      <c r="M834" s="72"/>
      <c r="N834" s="31"/>
      <c r="O834" s="85" t="str">
        <f>IF(Tabel1[[#This Row],[% uren 3:]]="","",Tabel1[[#This Row],[% uren 3:]]*Tabel1[[#This Row],[Totale uren:]])</f>
        <v/>
      </c>
      <c r="P834" s="138" t="str">
        <f>IF(Tabel1[[#This Row],[Ordernummer:]]="","",SUM(Tabel1[[#This Row],[% uren 1:]],Tabel1[[#This Row],[% uren 2:]],Tabel1[[#This Row],[% uren 3:]]))</f>
        <v/>
      </c>
      <c r="Q834" s="127"/>
      <c r="R834" s="128"/>
      <c r="S834" s="44"/>
      <c r="T834" s="25"/>
    </row>
    <row r="835" spans="2:20" x14ac:dyDescent="0.25">
      <c r="B835" s="7"/>
      <c r="C835" s="10"/>
      <c r="D835" s="10"/>
      <c r="E835" s="72"/>
      <c r="F835" s="73"/>
      <c r="G835" s="72"/>
      <c r="H835" s="31"/>
      <c r="I835" s="85" t="str">
        <f>IF(Tabel1[[#This Row],[% uren 1:]]="","",Tabel1[[#This Row],[% uren 1:]]*Tabel1[[#This Row],[Totale uren:]])</f>
        <v/>
      </c>
      <c r="J835" s="68"/>
      <c r="K835" s="31"/>
      <c r="L835" s="86" t="str">
        <f>IF(Tabel1[[#This Row],[% uren 2:]]="","",Tabel1[[#This Row],[% uren 2:]]*Tabel1[[#This Row],[Totale uren:]])</f>
        <v/>
      </c>
      <c r="M835" s="72"/>
      <c r="N835" s="31"/>
      <c r="O835" s="85" t="str">
        <f>IF(Tabel1[[#This Row],[% uren 3:]]="","",Tabel1[[#This Row],[% uren 3:]]*Tabel1[[#This Row],[Totale uren:]])</f>
        <v/>
      </c>
      <c r="P835" s="138" t="str">
        <f>IF(Tabel1[[#This Row],[Ordernummer:]]="","",SUM(Tabel1[[#This Row],[% uren 1:]],Tabel1[[#This Row],[% uren 2:]],Tabel1[[#This Row],[% uren 3:]]))</f>
        <v/>
      </c>
      <c r="Q835" s="127"/>
      <c r="R835" s="128"/>
      <c r="S835" s="44"/>
      <c r="T835" s="25"/>
    </row>
    <row r="836" spans="2:20" x14ac:dyDescent="0.25">
      <c r="B836" s="7"/>
      <c r="C836" s="10"/>
      <c r="D836" s="10"/>
      <c r="E836" s="72"/>
      <c r="F836" s="73"/>
      <c r="G836" s="72"/>
      <c r="H836" s="31"/>
      <c r="I836" s="85" t="str">
        <f>IF(Tabel1[[#This Row],[% uren 1:]]="","",Tabel1[[#This Row],[% uren 1:]]*Tabel1[[#This Row],[Totale uren:]])</f>
        <v/>
      </c>
      <c r="J836" s="68"/>
      <c r="K836" s="31"/>
      <c r="L836" s="86" t="str">
        <f>IF(Tabel1[[#This Row],[% uren 2:]]="","",Tabel1[[#This Row],[% uren 2:]]*Tabel1[[#This Row],[Totale uren:]])</f>
        <v/>
      </c>
      <c r="M836" s="72"/>
      <c r="N836" s="31"/>
      <c r="O836" s="85" t="str">
        <f>IF(Tabel1[[#This Row],[% uren 3:]]="","",Tabel1[[#This Row],[% uren 3:]]*Tabel1[[#This Row],[Totale uren:]])</f>
        <v/>
      </c>
      <c r="P836" s="138" t="str">
        <f>IF(Tabel1[[#This Row],[Ordernummer:]]="","",SUM(Tabel1[[#This Row],[% uren 1:]],Tabel1[[#This Row],[% uren 2:]],Tabel1[[#This Row],[% uren 3:]]))</f>
        <v/>
      </c>
      <c r="Q836" s="127"/>
      <c r="R836" s="128"/>
      <c r="S836" s="44"/>
      <c r="T836" s="25"/>
    </row>
    <row r="837" spans="2:20" x14ac:dyDescent="0.25">
      <c r="B837" s="7"/>
      <c r="C837" s="10"/>
      <c r="D837" s="10"/>
      <c r="E837" s="72"/>
      <c r="F837" s="73"/>
      <c r="G837" s="72"/>
      <c r="H837" s="31"/>
      <c r="I837" s="85" t="str">
        <f>IF(Tabel1[[#This Row],[% uren 1:]]="","",Tabel1[[#This Row],[% uren 1:]]*Tabel1[[#This Row],[Totale uren:]])</f>
        <v/>
      </c>
      <c r="J837" s="68"/>
      <c r="K837" s="31"/>
      <c r="L837" s="86" t="str">
        <f>IF(Tabel1[[#This Row],[% uren 2:]]="","",Tabel1[[#This Row],[% uren 2:]]*Tabel1[[#This Row],[Totale uren:]])</f>
        <v/>
      </c>
      <c r="M837" s="72"/>
      <c r="N837" s="31"/>
      <c r="O837" s="85" t="str">
        <f>IF(Tabel1[[#This Row],[% uren 3:]]="","",Tabel1[[#This Row],[% uren 3:]]*Tabel1[[#This Row],[Totale uren:]])</f>
        <v/>
      </c>
      <c r="P837" s="138" t="str">
        <f>IF(Tabel1[[#This Row],[Ordernummer:]]="","",SUM(Tabel1[[#This Row],[% uren 1:]],Tabel1[[#This Row],[% uren 2:]],Tabel1[[#This Row],[% uren 3:]]))</f>
        <v/>
      </c>
      <c r="Q837" s="127"/>
      <c r="R837" s="128"/>
      <c r="S837" s="44"/>
      <c r="T837" s="25"/>
    </row>
    <row r="838" spans="2:20" x14ac:dyDescent="0.25">
      <c r="B838" s="7"/>
      <c r="C838" s="10"/>
      <c r="D838" s="10"/>
      <c r="E838" s="72"/>
      <c r="F838" s="73"/>
      <c r="G838" s="72"/>
      <c r="H838" s="31"/>
      <c r="I838" s="85" t="str">
        <f>IF(Tabel1[[#This Row],[% uren 1:]]="","",Tabel1[[#This Row],[% uren 1:]]*Tabel1[[#This Row],[Totale uren:]])</f>
        <v/>
      </c>
      <c r="J838" s="68"/>
      <c r="K838" s="31"/>
      <c r="L838" s="86" t="str">
        <f>IF(Tabel1[[#This Row],[% uren 2:]]="","",Tabel1[[#This Row],[% uren 2:]]*Tabel1[[#This Row],[Totale uren:]])</f>
        <v/>
      </c>
      <c r="M838" s="72"/>
      <c r="N838" s="31"/>
      <c r="O838" s="85" t="str">
        <f>IF(Tabel1[[#This Row],[% uren 3:]]="","",Tabel1[[#This Row],[% uren 3:]]*Tabel1[[#This Row],[Totale uren:]])</f>
        <v/>
      </c>
      <c r="P838" s="138" t="str">
        <f>IF(Tabel1[[#This Row],[Ordernummer:]]="","",SUM(Tabel1[[#This Row],[% uren 1:]],Tabel1[[#This Row],[% uren 2:]],Tabel1[[#This Row],[% uren 3:]]))</f>
        <v/>
      </c>
      <c r="Q838" s="127"/>
      <c r="R838" s="128"/>
      <c r="S838" s="44"/>
      <c r="T838" s="25"/>
    </row>
    <row r="839" spans="2:20" x14ac:dyDescent="0.25">
      <c r="B839" s="7"/>
      <c r="C839" s="10"/>
      <c r="D839" s="10"/>
      <c r="E839" s="72"/>
      <c r="F839" s="73"/>
      <c r="G839" s="72"/>
      <c r="H839" s="31"/>
      <c r="I839" s="85" t="str">
        <f>IF(Tabel1[[#This Row],[% uren 1:]]="","",Tabel1[[#This Row],[% uren 1:]]*Tabel1[[#This Row],[Totale uren:]])</f>
        <v/>
      </c>
      <c r="J839" s="68"/>
      <c r="K839" s="31"/>
      <c r="L839" s="86" t="str">
        <f>IF(Tabel1[[#This Row],[% uren 2:]]="","",Tabel1[[#This Row],[% uren 2:]]*Tabel1[[#This Row],[Totale uren:]])</f>
        <v/>
      </c>
      <c r="M839" s="72"/>
      <c r="N839" s="31"/>
      <c r="O839" s="85" t="str">
        <f>IF(Tabel1[[#This Row],[% uren 3:]]="","",Tabel1[[#This Row],[% uren 3:]]*Tabel1[[#This Row],[Totale uren:]])</f>
        <v/>
      </c>
      <c r="P839" s="138" t="str">
        <f>IF(Tabel1[[#This Row],[Ordernummer:]]="","",SUM(Tabel1[[#This Row],[% uren 1:]],Tabel1[[#This Row],[% uren 2:]],Tabel1[[#This Row],[% uren 3:]]))</f>
        <v/>
      </c>
      <c r="Q839" s="127"/>
      <c r="R839" s="128"/>
      <c r="S839" s="44"/>
      <c r="T839" s="25"/>
    </row>
    <row r="840" spans="2:20" x14ac:dyDescent="0.25">
      <c r="B840" s="7"/>
      <c r="C840" s="10"/>
      <c r="D840" s="10"/>
      <c r="E840" s="72"/>
      <c r="F840" s="73"/>
      <c r="G840" s="72"/>
      <c r="H840" s="31"/>
      <c r="I840" s="85" t="str">
        <f>IF(Tabel1[[#This Row],[% uren 1:]]="","",Tabel1[[#This Row],[% uren 1:]]*Tabel1[[#This Row],[Totale uren:]])</f>
        <v/>
      </c>
      <c r="J840" s="68"/>
      <c r="K840" s="31"/>
      <c r="L840" s="86" t="str">
        <f>IF(Tabel1[[#This Row],[% uren 2:]]="","",Tabel1[[#This Row],[% uren 2:]]*Tabel1[[#This Row],[Totale uren:]])</f>
        <v/>
      </c>
      <c r="M840" s="72"/>
      <c r="N840" s="31"/>
      <c r="O840" s="85" t="str">
        <f>IF(Tabel1[[#This Row],[% uren 3:]]="","",Tabel1[[#This Row],[% uren 3:]]*Tabel1[[#This Row],[Totale uren:]])</f>
        <v/>
      </c>
      <c r="P840" s="138" t="str">
        <f>IF(Tabel1[[#This Row],[Ordernummer:]]="","",SUM(Tabel1[[#This Row],[% uren 1:]],Tabel1[[#This Row],[% uren 2:]],Tabel1[[#This Row],[% uren 3:]]))</f>
        <v/>
      </c>
      <c r="Q840" s="127"/>
      <c r="R840" s="128"/>
      <c r="S840" s="44"/>
      <c r="T840" s="25"/>
    </row>
    <row r="841" spans="2:20" x14ac:dyDescent="0.25">
      <c r="B841" s="7"/>
      <c r="C841" s="10"/>
      <c r="D841" s="10"/>
      <c r="E841" s="72"/>
      <c r="F841" s="73"/>
      <c r="G841" s="72"/>
      <c r="H841" s="31"/>
      <c r="I841" s="85" t="str">
        <f>IF(Tabel1[[#This Row],[% uren 1:]]="","",Tabel1[[#This Row],[% uren 1:]]*Tabel1[[#This Row],[Totale uren:]])</f>
        <v/>
      </c>
      <c r="J841" s="68"/>
      <c r="K841" s="31"/>
      <c r="L841" s="86" t="str">
        <f>IF(Tabel1[[#This Row],[% uren 2:]]="","",Tabel1[[#This Row],[% uren 2:]]*Tabel1[[#This Row],[Totale uren:]])</f>
        <v/>
      </c>
      <c r="M841" s="72"/>
      <c r="N841" s="31"/>
      <c r="O841" s="85" t="str">
        <f>IF(Tabel1[[#This Row],[% uren 3:]]="","",Tabel1[[#This Row],[% uren 3:]]*Tabel1[[#This Row],[Totale uren:]])</f>
        <v/>
      </c>
      <c r="P841" s="138" t="str">
        <f>IF(Tabel1[[#This Row],[Ordernummer:]]="","",SUM(Tabel1[[#This Row],[% uren 1:]],Tabel1[[#This Row],[% uren 2:]],Tabel1[[#This Row],[% uren 3:]]))</f>
        <v/>
      </c>
      <c r="Q841" s="127"/>
      <c r="R841" s="128"/>
      <c r="S841" s="44"/>
      <c r="T841" s="25"/>
    </row>
    <row r="842" spans="2:20" x14ac:dyDescent="0.25">
      <c r="B842" s="7"/>
      <c r="C842" s="10"/>
      <c r="D842" s="10"/>
      <c r="E842" s="72"/>
      <c r="F842" s="73"/>
      <c r="G842" s="72"/>
      <c r="H842" s="31"/>
      <c r="I842" s="85" t="str">
        <f>IF(Tabel1[[#This Row],[% uren 1:]]="","",Tabel1[[#This Row],[% uren 1:]]*Tabel1[[#This Row],[Totale uren:]])</f>
        <v/>
      </c>
      <c r="J842" s="68"/>
      <c r="K842" s="31"/>
      <c r="L842" s="86" t="str">
        <f>IF(Tabel1[[#This Row],[% uren 2:]]="","",Tabel1[[#This Row],[% uren 2:]]*Tabel1[[#This Row],[Totale uren:]])</f>
        <v/>
      </c>
      <c r="M842" s="72"/>
      <c r="N842" s="31"/>
      <c r="O842" s="85" t="str">
        <f>IF(Tabel1[[#This Row],[% uren 3:]]="","",Tabel1[[#This Row],[% uren 3:]]*Tabel1[[#This Row],[Totale uren:]])</f>
        <v/>
      </c>
      <c r="P842" s="138" t="str">
        <f>IF(Tabel1[[#This Row],[Ordernummer:]]="","",SUM(Tabel1[[#This Row],[% uren 1:]],Tabel1[[#This Row],[% uren 2:]],Tabel1[[#This Row],[% uren 3:]]))</f>
        <v/>
      </c>
      <c r="Q842" s="127"/>
      <c r="R842" s="128"/>
      <c r="S842" s="44"/>
      <c r="T842" s="25"/>
    </row>
    <row r="843" spans="2:20" x14ac:dyDescent="0.25">
      <c r="B843" s="7"/>
      <c r="C843" s="10"/>
      <c r="D843" s="10"/>
      <c r="E843" s="72"/>
      <c r="F843" s="73"/>
      <c r="G843" s="72"/>
      <c r="H843" s="31"/>
      <c r="I843" s="85" t="str">
        <f>IF(Tabel1[[#This Row],[% uren 1:]]="","",Tabel1[[#This Row],[% uren 1:]]*Tabel1[[#This Row],[Totale uren:]])</f>
        <v/>
      </c>
      <c r="J843" s="68"/>
      <c r="K843" s="31"/>
      <c r="L843" s="86" t="str">
        <f>IF(Tabel1[[#This Row],[% uren 2:]]="","",Tabel1[[#This Row],[% uren 2:]]*Tabel1[[#This Row],[Totale uren:]])</f>
        <v/>
      </c>
      <c r="M843" s="72"/>
      <c r="N843" s="31"/>
      <c r="O843" s="85" t="str">
        <f>IF(Tabel1[[#This Row],[% uren 3:]]="","",Tabel1[[#This Row],[% uren 3:]]*Tabel1[[#This Row],[Totale uren:]])</f>
        <v/>
      </c>
      <c r="P843" s="138" t="str">
        <f>IF(Tabel1[[#This Row],[Ordernummer:]]="","",SUM(Tabel1[[#This Row],[% uren 1:]],Tabel1[[#This Row],[% uren 2:]],Tabel1[[#This Row],[% uren 3:]]))</f>
        <v/>
      </c>
      <c r="Q843" s="127"/>
      <c r="R843" s="128"/>
      <c r="S843" s="44"/>
      <c r="T843" s="25"/>
    </row>
    <row r="844" spans="2:20" x14ac:dyDescent="0.25">
      <c r="B844" s="7"/>
      <c r="C844" s="10"/>
      <c r="D844" s="10"/>
      <c r="E844" s="72"/>
      <c r="F844" s="73"/>
      <c r="G844" s="72"/>
      <c r="H844" s="31"/>
      <c r="I844" s="85" t="str">
        <f>IF(Tabel1[[#This Row],[% uren 1:]]="","",Tabel1[[#This Row],[% uren 1:]]*Tabel1[[#This Row],[Totale uren:]])</f>
        <v/>
      </c>
      <c r="J844" s="68"/>
      <c r="K844" s="31"/>
      <c r="L844" s="86" t="str">
        <f>IF(Tabel1[[#This Row],[% uren 2:]]="","",Tabel1[[#This Row],[% uren 2:]]*Tabel1[[#This Row],[Totale uren:]])</f>
        <v/>
      </c>
      <c r="M844" s="72"/>
      <c r="N844" s="31"/>
      <c r="O844" s="85" t="str">
        <f>IF(Tabel1[[#This Row],[% uren 3:]]="","",Tabel1[[#This Row],[% uren 3:]]*Tabel1[[#This Row],[Totale uren:]])</f>
        <v/>
      </c>
      <c r="P844" s="138" t="str">
        <f>IF(Tabel1[[#This Row],[Ordernummer:]]="","",SUM(Tabel1[[#This Row],[% uren 1:]],Tabel1[[#This Row],[% uren 2:]],Tabel1[[#This Row],[% uren 3:]]))</f>
        <v/>
      </c>
      <c r="Q844" s="127"/>
      <c r="R844" s="128"/>
      <c r="S844" s="44"/>
      <c r="T844" s="25"/>
    </row>
    <row r="845" spans="2:20" x14ac:dyDescent="0.25">
      <c r="B845" s="7"/>
      <c r="C845" s="10"/>
      <c r="D845" s="10"/>
      <c r="E845" s="72"/>
      <c r="F845" s="73"/>
      <c r="G845" s="72"/>
      <c r="H845" s="31"/>
      <c r="I845" s="85" t="str">
        <f>IF(Tabel1[[#This Row],[% uren 1:]]="","",Tabel1[[#This Row],[% uren 1:]]*Tabel1[[#This Row],[Totale uren:]])</f>
        <v/>
      </c>
      <c r="J845" s="68"/>
      <c r="K845" s="31"/>
      <c r="L845" s="86" t="str">
        <f>IF(Tabel1[[#This Row],[% uren 2:]]="","",Tabel1[[#This Row],[% uren 2:]]*Tabel1[[#This Row],[Totale uren:]])</f>
        <v/>
      </c>
      <c r="M845" s="72"/>
      <c r="N845" s="31"/>
      <c r="O845" s="85" t="str">
        <f>IF(Tabel1[[#This Row],[% uren 3:]]="","",Tabel1[[#This Row],[% uren 3:]]*Tabel1[[#This Row],[Totale uren:]])</f>
        <v/>
      </c>
      <c r="P845" s="138" t="str">
        <f>IF(Tabel1[[#This Row],[Ordernummer:]]="","",SUM(Tabel1[[#This Row],[% uren 1:]],Tabel1[[#This Row],[% uren 2:]],Tabel1[[#This Row],[% uren 3:]]))</f>
        <v/>
      </c>
      <c r="Q845" s="127"/>
      <c r="R845" s="128"/>
      <c r="S845" s="44"/>
      <c r="T845" s="25"/>
    </row>
    <row r="846" spans="2:20" x14ac:dyDescent="0.25">
      <c r="B846" s="7"/>
      <c r="C846" s="10"/>
      <c r="D846" s="10"/>
      <c r="E846" s="72"/>
      <c r="F846" s="73"/>
      <c r="G846" s="72"/>
      <c r="H846" s="31"/>
      <c r="I846" s="85" t="str">
        <f>IF(Tabel1[[#This Row],[% uren 1:]]="","",Tabel1[[#This Row],[% uren 1:]]*Tabel1[[#This Row],[Totale uren:]])</f>
        <v/>
      </c>
      <c r="J846" s="68"/>
      <c r="K846" s="31"/>
      <c r="L846" s="86" t="str">
        <f>IF(Tabel1[[#This Row],[% uren 2:]]="","",Tabel1[[#This Row],[% uren 2:]]*Tabel1[[#This Row],[Totale uren:]])</f>
        <v/>
      </c>
      <c r="M846" s="72"/>
      <c r="N846" s="31"/>
      <c r="O846" s="85" t="str">
        <f>IF(Tabel1[[#This Row],[% uren 3:]]="","",Tabel1[[#This Row],[% uren 3:]]*Tabel1[[#This Row],[Totale uren:]])</f>
        <v/>
      </c>
      <c r="P846" s="138" t="str">
        <f>IF(Tabel1[[#This Row],[Ordernummer:]]="","",SUM(Tabel1[[#This Row],[% uren 1:]],Tabel1[[#This Row],[% uren 2:]],Tabel1[[#This Row],[% uren 3:]]))</f>
        <v/>
      </c>
      <c r="Q846" s="127"/>
      <c r="R846" s="128"/>
      <c r="S846" s="44"/>
      <c r="T846" s="25"/>
    </row>
    <row r="847" spans="2:20" x14ac:dyDescent="0.25">
      <c r="B847" s="7"/>
      <c r="C847" s="10"/>
      <c r="D847" s="10"/>
      <c r="E847" s="72"/>
      <c r="F847" s="73"/>
      <c r="G847" s="72"/>
      <c r="H847" s="31"/>
      <c r="I847" s="85" t="str">
        <f>IF(Tabel1[[#This Row],[% uren 1:]]="","",Tabel1[[#This Row],[% uren 1:]]*Tabel1[[#This Row],[Totale uren:]])</f>
        <v/>
      </c>
      <c r="J847" s="68"/>
      <c r="K847" s="31"/>
      <c r="L847" s="86" t="str">
        <f>IF(Tabel1[[#This Row],[% uren 2:]]="","",Tabel1[[#This Row],[% uren 2:]]*Tabel1[[#This Row],[Totale uren:]])</f>
        <v/>
      </c>
      <c r="M847" s="72"/>
      <c r="N847" s="31"/>
      <c r="O847" s="85" t="str">
        <f>IF(Tabel1[[#This Row],[% uren 3:]]="","",Tabel1[[#This Row],[% uren 3:]]*Tabel1[[#This Row],[Totale uren:]])</f>
        <v/>
      </c>
      <c r="P847" s="138" t="str">
        <f>IF(Tabel1[[#This Row],[Ordernummer:]]="","",SUM(Tabel1[[#This Row],[% uren 1:]],Tabel1[[#This Row],[% uren 2:]],Tabel1[[#This Row],[% uren 3:]]))</f>
        <v/>
      </c>
      <c r="Q847" s="127"/>
      <c r="R847" s="128"/>
      <c r="S847" s="44"/>
      <c r="T847" s="25"/>
    </row>
    <row r="848" spans="2:20" x14ac:dyDescent="0.25">
      <c r="B848" s="7"/>
      <c r="C848" s="10"/>
      <c r="D848" s="10"/>
      <c r="E848" s="72"/>
      <c r="F848" s="73"/>
      <c r="G848" s="72"/>
      <c r="H848" s="31"/>
      <c r="I848" s="85" t="str">
        <f>IF(Tabel1[[#This Row],[% uren 1:]]="","",Tabel1[[#This Row],[% uren 1:]]*Tabel1[[#This Row],[Totale uren:]])</f>
        <v/>
      </c>
      <c r="J848" s="68"/>
      <c r="K848" s="31"/>
      <c r="L848" s="86" t="str">
        <f>IF(Tabel1[[#This Row],[% uren 2:]]="","",Tabel1[[#This Row],[% uren 2:]]*Tabel1[[#This Row],[Totale uren:]])</f>
        <v/>
      </c>
      <c r="M848" s="72"/>
      <c r="N848" s="31"/>
      <c r="O848" s="85" t="str">
        <f>IF(Tabel1[[#This Row],[% uren 3:]]="","",Tabel1[[#This Row],[% uren 3:]]*Tabel1[[#This Row],[Totale uren:]])</f>
        <v/>
      </c>
      <c r="P848" s="138" t="str">
        <f>IF(Tabel1[[#This Row],[Ordernummer:]]="","",SUM(Tabel1[[#This Row],[% uren 1:]],Tabel1[[#This Row],[% uren 2:]],Tabel1[[#This Row],[% uren 3:]]))</f>
        <v/>
      </c>
      <c r="Q848" s="127"/>
      <c r="R848" s="128"/>
      <c r="S848" s="44"/>
      <c r="T848" s="25"/>
    </row>
    <row r="849" spans="2:20" x14ac:dyDescent="0.25">
      <c r="B849" s="7"/>
      <c r="C849" s="10"/>
      <c r="D849" s="10"/>
      <c r="E849" s="72"/>
      <c r="F849" s="73"/>
      <c r="G849" s="72"/>
      <c r="H849" s="31"/>
      <c r="I849" s="85" t="str">
        <f>IF(Tabel1[[#This Row],[% uren 1:]]="","",Tabel1[[#This Row],[% uren 1:]]*Tabel1[[#This Row],[Totale uren:]])</f>
        <v/>
      </c>
      <c r="J849" s="68"/>
      <c r="K849" s="31"/>
      <c r="L849" s="86" t="str">
        <f>IF(Tabel1[[#This Row],[% uren 2:]]="","",Tabel1[[#This Row],[% uren 2:]]*Tabel1[[#This Row],[Totale uren:]])</f>
        <v/>
      </c>
      <c r="M849" s="72"/>
      <c r="N849" s="31"/>
      <c r="O849" s="85" t="str">
        <f>IF(Tabel1[[#This Row],[% uren 3:]]="","",Tabel1[[#This Row],[% uren 3:]]*Tabel1[[#This Row],[Totale uren:]])</f>
        <v/>
      </c>
      <c r="P849" s="138" t="str">
        <f>IF(Tabel1[[#This Row],[Ordernummer:]]="","",SUM(Tabel1[[#This Row],[% uren 1:]],Tabel1[[#This Row],[% uren 2:]],Tabel1[[#This Row],[% uren 3:]]))</f>
        <v/>
      </c>
      <c r="Q849" s="127"/>
      <c r="R849" s="128"/>
      <c r="S849" s="44"/>
      <c r="T849" s="25"/>
    </row>
    <row r="850" spans="2:20" x14ac:dyDescent="0.25">
      <c r="B850" s="7"/>
      <c r="C850" s="10"/>
      <c r="D850" s="10"/>
      <c r="E850" s="72"/>
      <c r="F850" s="73"/>
      <c r="G850" s="72"/>
      <c r="H850" s="31"/>
      <c r="I850" s="85" t="str">
        <f>IF(Tabel1[[#This Row],[% uren 1:]]="","",Tabel1[[#This Row],[% uren 1:]]*Tabel1[[#This Row],[Totale uren:]])</f>
        <v/>
      </c>
      <c r="J850" s="68"/>
      <c r="K850" s="31"/>
      <c r="L850" s="86" t="str">
        <f>IF(Tabel1[[#This Row],[% uren 2:]]="","",Tabel1[[#This Row],[% uren 2:]]*Tabel1[[#This Row],[Totale uren:]])</f>
        <v/>
      </c>
      <c r="M850" s="72"/>
      <c r="N850" s="31"/>
      <c r="O850" s="85" t="str">
        <f>IF(Tabel1[[#This Row],[% uren 3:]]="","",Tabel1[[#This Row],[% uren 3:]]*Tabel1[[#This Row],[Totale uren:]])</f>
        <v/>
      </c>
      <c r="P850" s="138" t="str">
        <f>IF(Tabel1[[#This Row],[Ordernummer:]]="","",SUM(Tabel1[[#This Row],[% uren 1:]],Tabel1[[#This Row],[% uren 2:]],Tabel1[[#This Row],[% uren 3:]]))</f>
        <v/>
      </c>
      <c r="Q850" s="127"/>
      <c r="R850" s="128"/>
      <c r="S850" s="44"/>
      <c r="T850" s="25"/>
    </row>
    <row r="851" spans="2:20" x14ac:dyDescent="0.25">
      <c r="B851" s="7"/>
      <c r="C851" s="10"/>
      <c r="D851" s="10"/>
      <c r="E851" s="72"/>
      <c r="F851" s="73"/>
      <c r="G851" s="72"/>
      <c r="H851" s="31"/>
      <c r="I851" s="85" t="str">
        <f>IF(Tabel1[[#This Row],[% uren 1:]]="","",Tabel1[[#This Row],[% uren 1:]]*Tabel1[[#This Row],[Totale uren:]])</f>
        <v/>
      </c>
      <c r="J851" s="68"/>
      <c r="K851" s="31"/>
      <c r="L851" s="86" t="str">
        <f>IF(Tabel1[[#This Row],[% uren 2:]]="","",Tabel1[[#This Row],[% uren 2:]]*Tabel1[[#This Row],[Totale uren:]])</f>
        <v/>
      </c>
      <c r="M851" s="72"/>
      <c r="N851" s="31"/>
      <c r="O851" s="85" t="str">
        <f>IF(Tabel1[[#This Row],[% uren 3:]]="","",Tabel1[[#This Row],[% uren 3:]]*Tabel1[[#This Row],[Totale uren:]])</f>
        <v/>
      </c>
      <c r="P851" s="138" t="str">
        <f>IF(Tabel1[[#This Row],[Ordernummer:]]="","",SUM(Tabel1[[#This Row],[% uren 1:]],Tabel1[[#This Row],[% uren 2:]],Tabel1[[#This Row],[% uren 3:]]))</f>
        <v/>
      </c>
      <c r="Q851" s="127"/>
      <c r="R851" s="128"/>
      <c r="S851" s="44"/>
      <c r="T851" s="25"/>
    </row>
    <row r="852" spans="2:20" x14ac:dyDescent="0.25">
      <c r="B852" s="7"/>
      <c r="C852" s="10"/>
      <c r="D852" s="10"/>
      <c r="E852" s="72"/>
      <c r="F852" s="73"/>
      <c r="G852" s="72"/>
      <c r="H852" s="31"/>
      <c r="I852" s="85" t="str">
        <f>IF(Tabel1[[#This Row],[% uren 1:]]="","",Tabel1[[#This Row],[% uren 1:]]*Tabel1[[#This Row],[Totale uren:]])</f>
        <v/>
      </c>
      <c r="J852" s="68"/>
      <c r="K852" s="31"/>
      <c r="L852" s="86" t="str">
        <f>IF(Tabel1[[#This Row],[% uren 2:]]="","",Tabel1[[#This Row],[% uren 2:]]*Tabel1[[#This Row],[Totale uren:]])</f>
        <v/>
      </c>
      <c r="M852" s="72"/>
      <c r="N852" s="31"/>
      <c r="O852" s="85" t="str">
        <f>IF(Tabel1[[#This Row],[% uren 3:]]="","",Tabel1[[#This Row],[% uren 3:]]*Tabel1[[#This Row],[Totale uren:]])</f>
        <v/>
      </c>
      <c r="P852" s="138" t="str">
        <f>IF(Tabel1[[#This Row],[Ordernummer:]]="","",SUM(Tabel1[[#This Row],[% uren 1:]],Tabel1[[#This Row],[% uren 2:]],Tabel1[[#This Row],[% uren 3:]]))</f>
        <v/>
      </c>
      <c r="Q852" s="127"/>
      <c r="R852" s="128"/>
      <c r="S852" s="44"/>
      <c r="T852" s="25"/>
    </row>
    <row r="853" spans="2:20" x14ac:dyDescent="0.25">
      <c r="B853" s="7"/>
      <c r="C853" s="10"/>
      <c r="D853" s="10"/>
      <c r="E853" s="72"/>
      <c r="F853" s="73"/>
      <c r="G853" s="72"/>
      <c r="H853" s="31"/>
      <c r="I853" s="85" t="str">
        <f>IF(Tabel1[[#This Row],[% uren 1:]]="","",Tabel1[[#This Row],[% uren 1:]]*Tabel1[[#This Row],[Totale uren:]])</f>
        <v/>
      </c>
      <c r="J853" s="68"/>
      <c r="K853" s="31"/>
      <c r="L853" s="86" t="str">
        <f>IF(Tabel1[[#This Row],[% uren 2:]]="","",Tabel1[[#This Row],[% uren 2:]]*Tabel1[[#This Row],[Totale uren:]])</f>
        <v/>
      </c>
      <c r="M853" s="72"/>
      <c r="N853" s="31"/>
      <c r="O853" s="85" t="str">
        <f>IF(Tabel1[[#This Row],[% uren 3:]]="","",Tabel1[[#This Row],[% uren 3:]]*Tabel1[[#This Row],[Totale uren:]])</f>
        <v/>
      </c>
      <c r="P853" s="138" t="str">
        <f>IF(Tabel1[[#This Row],[Ordernummer:]]="","",SUM(Tabel1[[#This Row],[% uren 1:]],Tabel1[[#This Row],[% uren 2:]],Tabel1[[#This Row],[% uren 3:]]))</f>
        <v/>
      </c>
      <c r="Q853" s="127"/>
      <c r="R853" s="128"/>
      <c r="S853" s="44"/>
      <c r="T853" s="25"/>
    </row>
    <row r="854" spans="2:20" x14ac:dyDescent="0.25">
      <c r="B854" s="7"/>
      <c r="C854" s="10"/>
      <c r="D854" s="10"/>
      <c r="E854" s="72"/>
      <c r="F854" s="73"/>
      <c r="G854" s="72"/>
      <c r="H854" s="31"/>
      <c r="I854" s="85" t="str">
        <f>IF(Tabel1[[#This Row],[% uren 1:]]="","",Tabel1[[#This Row],[% uren 1:]]*Tabel1[[#This Row],[Totale uren:]])</f>
        <v/>
      </c>
      <c r="J854" s="68"/>
      <c r="K854" s="31"/>
      <c r="L854" s="86" t="str">
        <f>IF(Tabel1[[#This Row],[% uren 2:]]="","",Tabel1[[#This Row],[% uren 2:]]*Tabel1[[#This Row],[Totale uren:]])</f>
        <v/>
      </c>
      <c r="M854" s="72"/>
      <c r="N854" s="31"/>
      <c r="O854" s="85" t="str">
        <f>IF(Tabel1[[#This Row],[% uren 3:]]="","",Tabel1[[#This Row],[% uren 3:]]*Tabel1[[#This Row],[Totale uren:]])</f>
        <v/>
      </c>
      <c r="P854" s="138" t="str">
        <f>IF(Tabel1[[#This Row],[Ordernummer:]]="","",SUM(Tabel1[[#This Row],[% uren 1:]],Tabel1[[#This Row],[% uren 2:]],Tabel1[[#This Row],[% uren 3:]]))</f>
        <v/>
      </c>
      <c r="Q854" s="127"/>
      <c r="R854" s="128"/>
      <c r="S854" s="44"/>
      <c r="T854" s="25"/>
    </row>
    <row r="855" spans="2:20" x14ac:dyDescent="0.25">
      <c r="B855" s="7"/>
      <c r="C855" s="10"/>
      <c r="D855" s="10"/>
      <c r="E855" s="72"/>
      <c r="F855" s="73"/>
      <c r="G855" s="72"/>
      <c r="H855" s="31"/>
      <c r="I855" s="85" t="str">
        <f>IF(Tabel1[[#This Row],[% uren 1:]]="","",Tabel1[[#This Row],[% uren 1:]]*Tabel1[[#This Row],[Totale uren:]])</f>
        <v/>
      </c>
      <c r="J855" s="68"/>
      <c r="K855" s="31"/>
      <c r="L855" s="86" t="str">
        <f>IF(Tabel1[[#This Row],[% uren 2:]]="","",Tabel1[[#This Row],[% uren 2:]]*Tabel1[[#This Row],[Totale uren:]])</f>
        <v/>
      </c>
      <c r="M855" s="72"/>
      <c r="N855" s="31"/>
      <c r="O855" s="85" t="str">
        <f>IF(Tabel1[[#This Row],[% uren 3:]]="","",Tabel1[[#This Row],[% uren 3:]]*Tabel1[[#This Row],[Totale uren:]])</f>
        <v/>
      </c>
      <c r="P855" s="138" t="str">
        <f>IF(Tabel1[[#This Row],[Ordernummer:]]="","",SUM(Tabel1[[#This Row],[% uren 1:]],Tabel1[[#This Row],[% uren 2:]],Tabel1[[#This Row],[% uren 3:]]))</f>
        <v/>
      </c>
      <c r="Q855" s="127"/>
      <c r="R855" s="128"/>
      <c r="S855" s="44"/>
      <c r="T855" s="25"/>
    </row>
    <row r="856" spans="2:20" x14ac:dyDescent="0.25">
      <c r="B856" s="7"/>
      <c r="C856" s="10"/>
      <c r="D856" s="10"/>
      <c r="E856" s="72"/>
      <c r="F856" s="73"/>
      <c r="G856" s="72"/>
      <c r="H856" s="31"/>
      <c r="I856" s="85" t="str">
        <f>IF(Tabel1[[#This Row],[% uren 1:]]="","",Tabel1[[#This Row],[% uren 1:]]*Tabel1[[#This Row],[Totale uren:]])</f>
        <v/>
      </c>
      <c r="J856" s="68"/>
      <c r="K856" s="31"/>
      <c r="L856" s="86" t="str">
        <f>IF(Tabel1[[#This Row],[% uren 2:]]="","",Tabel1[[#This Row],[% uren 2:]]*Tabel1[[#This Row],[Totale uren:]])</f>
        <v/>
      </c>
      <c r="M856" s="72"/>
      <c r="N856" s="31"/>
      <c r="O856" s="85" t="str">
        <f>IF(Tabel1[[#This Row],[% uren 3:]]="","",Tabel1[[#This Row],[% uren 3:]]*Tabel1[[#This Row],[Totale uren:]])</f>
        <v/>
      </c>
      <c r="P856" s="138" t="str">
        <f>IF(Tabel1[[#This Row],[Ordernummer:]]="","",SUM(Tabel1[[#This Row],[% uren 1:]],Tabel1[[#This Row],[% uren 2:]],Tabel1[[#This Row],[% uren 3:]]))</f>
        <v/>
      </c>
      <c r="Q856" s="127"/>
      <c r="R856" s="128"/>
      <c r="S856" s="44"/>
      <c r="T856" s="25"/>
    </row>
    <row r="857" spans="2:20" x14ac:dyDescent="0.25">
      <c r="B857" s="7"/>
      <c r="C857" s="10"/>
      <c r="D857" s="10"/>
      <c r="E857" s="72"/>
      <c r="F857" s="73"/>
      <c r="G857" s="72"/>
      <c r="H857" s="31"/>
      <c r="I857" s="85" t="str">
        <f>IF(Tabel1[[#This Row],[% uren 1:]]="","",Tabel1[[#This Row],[% uren 1:]]*Tabel1[[#This Row],[Totale uren:]])</f>
        <v/>
      </c>
      <c r="J857" s="68"/>
      <c r="K857" s="31"/>
      <c r="L857" s="86" t="str">
        <f>IF(Tabel1[[#This Row],[% uren 2:]]="","",Tabel1[[#This Row],[% uren 2:]]*Tabel1[[#This Row],[Totale uren:]])</f>
        <v/>
      </c>
      <c r="M857" s="72"/>
      <c r="N857" s="31"/>
      <c r="O857" s="85" t="str">
        <f>IF(Tabel1[[#This Row],[% uren 3:]]="","",Tabel1[[#This Row],[% uren 3:]]*Tabel1[[#This Row],[Totale uren:]])</f>
        <v/>
      </c>
      <c r="P857" s="138" t="str">
        <f>IF(Tabel1[[#This Row],[Ordernummer:]]="","",SUM(Tabel1[[#This Row],[% uren 1:]],Tabel1[[#This Row],[% uren 2:]],Tabel1[[#This Row],[% uren 3:]]))</f>
        <v/>
      </c>
      <c r="Q857" s="127"/>
      <c r="R857" s="128"/>
      <c r="S857" s="44"/>
      <c r="T857" s="25"/>
    </row>
    <row r="858" spans="2:20" x14ac:dyDescent="0.25">
      <c r="B858" s="7"/>
      <c r="C858" s="10"/>
      <c r="D858" s="10"/>
      <c r="E858" s="72"/>
      <c r="F858" s="73"/>
      <c r="G858" s="72"/>
      <c r="H858" s="31"/>
      <c r="I858" s="85" t="str">
        <f>IF(Tabel1[[#This Row],[% uren 1:]]="","",Tabel1[[#This Row],[% uren 1:]]*Tabel1[[#This Row],[Totale uren:]])</f>
        <v/>
      </c>
      <c r="J858" s="68"/>
      <c r="K858" s="31"/>
      <c r="L858" s="86" t="str">
        <f>IF(Tabel1[[#This Row],[% uren 2:]]="","",Tabel1[[#This Row],[% uren 2:]]*Tabel1[[#This Row],[Totale uren:]])</f>
        <v/>
      </c>
      <c r="M858" s="72"/>
      <c r="N858" s="31"/>
      <c r="O858" s="85" t="str">
        <f>IF(Tabel1[[#This Row],[% uren 3:]]="","",Tabel1[[#This Row],[% uren 3:]]*Tabel1[[#This Row],[Totale uren:]])</f>
        <v/>
      </c>
      <c r="P858" s="138" t="str">
        <f>IF(Tabel1[[#This Row],[Ordernummer:]]="","",SUM(Tabel1[[#This Row],[% uren 1:]],Tabel1[[#This Row],[% uren 2:]],Tabel1[[#This Row],[% uren 3:]]))</f>
        <v/>
      </c>
      <c r="Q858" s="127"/>
      <c r="R858" s="128"/>
      <c r="S858" s="44"/>
      <c r="T858" s="25"/>
    </row>
    <row r="859" spans="2:20" x14ac:dyDescent="0.25">
      <c r="B859" s="7"/>
      <c r="C859" s="10"/>
      <c r="D859" s="10"/>
      <c r="E859" s="72"/>
      <c r="F859" s="73"/>
      <c r="G859" s="72"/>
      <c r="H859" s="31"/>
      <c r="I859" s="85" t="str">
        <f>IF(Tabel1[[#This Row],[% uren 1:]]="","",Tabel1[[#This Row],[% uren 1:]]*Tabel1[[#This Row],[Totale uren:]])</f>
        <v/>
      </c>
      <c r="J859" s="68"/>
      <c r="K859" s="31"/>
      <c r="L859" s="86" t="str">
        <f>IF(Tabel1[[#This Row],[% uren 2:]]="","",Tabel1[[#This Row],[% uren 2:]]*Tabel1[[#This Row],[Totale uren:]])</f>
        <v/>
      </c>
      <c r="M859" s="72"/>
      <c r="N859" s="31"/>
      <c r="O859" s="85" t="str">
        <f>IF(Tabel1[[#This Row],[% uren 3:]]="","",Tabel1[[#This Row],[% uren 3:]]*Tabel1[[#This Row],[Totale uren:]])</f>
        <v/>
      </c>
      <c r="P859" s="138" t="str">
        <f>IF(Tabel1[[#This Row],[Ordernummer:]]="","",SUM(Tabel1[[#This Row],[% uren 1:]],Tabel1[[#This Row],[% uren 2:]],Tabel1[[#This Row],[% uren 3:]]))</f>
        <v/>
      </c>
      <c r="Q859" s="127"/>
      <c r="R859" s="128"/>
      <c r="S859" s="44"/>
      <c r="T859" s="25"/>
    </row>
    <row r="860" spans="2:20" x14ac:dyDescent="0.25">
      <c r="B860" s="7"/>
      <c r="C860" s="10"/>
      <c r="D860" s="10"/>
      <c r="E860" s="72"/>
      <c r="F860" s="73"/>
      <c r="G860" s="72"/>
      <c r="H860" s="31"/>
      <c r="I860" s="85" t="str">
        <f>IF(Tabel1[[#This Row],[% uren 1:]]="","",Tabel1[[#This Row],[% uren 1:]]*Tabel1[[#This Row],[Totale uren:]])</f>
        <v/>
      </c>
      <c r="J860" s="68"/>
      <c r="K860" s="31"/>
      <c r="L860" s="86" t="str">
        <f>IF(Tabel1[[#This Row],[% uren 2:]]="","",Tabel1[[#This Row],[% uren 2:]]*Tabel1[[#This Row],[Totale uren:]])</f>
        <v/>
      </c>
      <c r="M860" s="72"/>
      <c r="N860" s="31"/>
      <c r="O860" s="85" t="str">
        <f>IF(Tabel1[[#This Row],[% uren 3:]]="","",Tabel1[[#This Row],[% uren 3:]]*Tabel1[[#This Row],[Totale uren:]])</f>
        <v/>
      </c>
      <c r="P860" s="138" t="str">
        <f>IF(Tabel1[[#This Row],[Ordernummer:]]="","",SUM(Tabel1[[#This Row],[% uren 1:]],Tabel1[[#This Row],[% uren 2:]],Tabel1[[#This Row],[% uren 3:]]))</f>
        <v/>
      </c>
      <c r="Q860" s="127"/>
      <c r="R860" s="128"/>
      <c r="S860" s="44"/>
      <c r="T860" s="25"/>
    </row>
    <row r="861" spans="2:20" x14ac:dyDescent="0.25">
      <c r="B861" s="7"/>
      <c r="C861" s="10"/>
      <c r="D861" s="10"/>
      <c r="E861" s="72"/>
      <c r="F861" s="73"/>
      <c r="G861" s="72"/>
      <c r="H861" s="31"/>
      <c r="I861" s="85" t="str">
        <f>IF(Tabel1[[#This Row],[% uren 1:]]="","",Tabel1[[#This Row],[% uren 1:]]*Tabel1[[#This Row],[Totale uren:]])</f>
        <v/>
      </c>
      <c r="J861" s="68"/>
      <c r="K861" s="31"/>
      <c r="L861" s="86" t="str">
        <f>IF(Tabel1[[#This Row],[% uren 2:]]="","",Tabel1[[#This Row],[% uren 2:]]*Tabel1[[#This Row],[Totale uren:]])</f>
        <v/>
      </c>
      <c r="M861" s="72"/>
      <c r="N861" s="31"/>
      <c r="O861" s="85" t="str">
        <f>IF(Tabel1[[#This Row],[% uren 3:]]="","",Tabel1[[#This Row],[% uren 3:]]*Tabel1[[#This Row],[Totale uren:]])</f>
        <v/>
      </c>
      <c r="P861" s="138" t="str">
        <f>IF(Tabel1[[#This Row],[Ordernummer:]]="","",SUM(Tabel1[[#This Row],[% uren 1:]],Tabel1[[#This Row],[% uren 2:]],Tabel1[[#This Row],[% uren 3:]]))</f>
        <v/>
      </c>
      <c r="Q861" s="127"/>
      <c r="R861" s="128"/>
      <c r="S861" s="44"/>
      <c r="T861" s="25"/>
    </row>
    <row r="862" spans="2:20" x14ac:dyDescent="0.25">
      <c r="B862" s="7"/>
      <c r="C862" s="10"/>
      <c r="D862" s="10"/>
      <c r="E862" s="72"/>
      <c r="F862" s="73"/>
      <c r="G862" s="72"/>
      <c r="H862" s="31"/>
      <c r="I862" s="85" t="str">
        <f>IF(Tabel1[[#This Row],[% uren 1:]]="","",Tabel1[[#This Row],[% uren 1:]]*Tabel1[[#This Row],[Totale uren:]])</f>
        <v/>
      </c>
      <c r="J862" s="68"/>
      <c r="K862" s="31"/>
      <c r="L862" s="86" t="str">
        <f>IF(Tabel1[[#This Row],[% uren 2:]]="","",Tabel1[[#This Row],[% uren 2:]]*Tabel1[[#This Row],[Totale uren:]])</f>
        <v/>
      </c>
      <c r="M862" s="72"/>
      <c r="N862" s="31"/>
      <c r="O862" s="85" t="str">
        <f>IF(Tabel1[[#This Row],[% uren 3:]]="","",Tabel1[[#This Row],[% uren 3:]]*Tabel1[[#This Row],[Totale uren:]])</f>
        <v/>
      </c>
      <c r="P862" s="138" t="str">
        <f>IF(Tabel1[[#This Row],[Ordernummer:]]="","",SUM(Tabel1[[#This Row],[% uren 1:]],Tabel1[[#This Row],[% uren 2:]],Tabel1[[#This Row],[% uren 3:]]))</f>
        <v/>
      </c>
      <c r="Q862" s="127"/>
      <c r="R862" s="128"/>
      <c r="S862" s="44"/>
      <c r="T862" s="25"/>
    </row>
    <row r="863" spans="2:20" x14ac:dyDescent="0.25">
      <c r="B863" s="7"/>
      <c r="C863" s="10"/>
      <c r="D863" s="10"/>
      <c r="E863" s="72"/>
      <c r="F863" s="73"/>
      <c r="G863" s="72"/>
      <c r="H863" s="31"/>
      <c r="I863" s="85" t="str">
        <f>IF(Tabel1[[#This Row],[% uren 1:]]="","",Tabel1[[#This Row],[% uren 1:]]*Tabel1[[#This Row],[Totale uren:]])</f>
        <v/>
      </c>
      <c r="J863" s="68"/>
      <c r="K863" s="31"/>
      <c r="L863" s="86" t="str">
        <f>IF(Tabel1[[#This Row],[% uren 2:]]="","",Tabel1[[#This Row],[% uren 2:]]*Tabel1[[#This Row],[Totale uren:]])</f>
        <v/>
      </c>
      <c r="M863" s="72"/>
      <c r="N863" s="31"/>
      <c r="O863" s="85" t="str">
        <f>IF(Tabel1[[#This Row],[% uren 3:]]="","",Tabel1[[#This Row],[% uren 3:]]*Tabel1[[#This Row],[Totale uren:]])</f>
        <v/>
      </c>
      <c r="P863" s="138" t="str">
        <f>IF(Tabel1[[#This Row],[Ordernummer:]]="","",SUM(Tabel1[[#This Row],[% uren 1:]],Tabel1[[#This Row],[% uren 2:]],Tabel1[[#This Row],[% uren 3:]]))</f>
        <v/>
      </c>
      <c r="Q863" s="127"/>
      <c r="R863" s="128"/>
      <c r="S863" s="44"/>
      <c r="T863" s="25"/>
    </row>
    <row r="864" spans="2:20" x14ac:dyDescent="0.25">
      <c r="B864" s="7"/>
      <c r="C864" s="10"/>
      <c r="D864" s="10"/>
      <c r="E864" s="72"/>
      <c r="F864" s="73"/>
      <c r="G864" s="72"/>
      <c r="H864" s="31"/>
      <c r="I864" s="85" t="str">
        <f>IF(Tabel1[[#This Row],[% uren 1:]]="","",Tabel1[[#This Row],[% uren 1:]]*Tabel1[[#This Row],[Totale uren:]])</f>
        <v/>
      </c>
      <c r="J864" s="68"/>
      <c r="K864" s="31"/>
      <c r="L864" s="86" t="str">
        <f>IF(Tabel1[[#This Row],[% uren 2:]]="","",Tabel1[[#This Row],[% uren 2:]]*Tabel1[[#This Row],[Totale uren:]])</f>
        <v/>
      </c>
      <c r="M864" s="72"/>
      <c r="N864" s="31"/>
      <c r="O864" s="85" t="str">
        <f>IF(Tabel1[[#This Row],[% uren 3:]]="","",Tabel1[[#This Row],[% uren 3:]]*Tabel1[[#This Row],[Totale uren:]])</f>
        <v/>
      </c>
      <c r="P864" s="138" t="str">
        <f>IF(Tabel1[[#This Row],[Ordernummer:]]="","",SUM(Tabel1[[#This Row],[% uren 1:]],Tabel1[[#This Row],[% uren 2:]],Tabel1[[#This Row],[% uren 3:]]))</f>
        <v/>
      </c>
      <c r="Q864" s="127"/>
      <c r="R864" s="128"/>
      <c r="S864" s="44"/>
      <c r="T864" s="25"/>
    </row>
    <row r="865" spans="2:20" x14ac:dyDescent="0.25">
      <c r="B865" s="7"/>
      <c r="C865" s="10"/>
      <c r="D865" s="10"/>
      <c r="E865" s="72"/>
      <c r="F865" s="73"/>
      <c r="G865" s="72"/>
      <c r="H865" s="31"/>
      <c r="I865" s="85" t="str">
        <f>IF(Tabel1[[#This Row],[% uren 1:]]="","",Tabel1[[#This Row],[% uren 1:]]*Tabel1[[#This Row],[Totale uren:]])</f>
        <v/>
      </c>
      <c r="J865" s="68"/>
      <c r="K865" s="31"/>
      <c r="L865" s="86" t="str">
        <f>IF(Tabel1[[#This Row],[% uren 2:]]="","",Tabel1[[#This Row],[% uren 2:]]*Tabel1[[#This Row],[Totale uren:]])</f>
        <v/>
      </c>
      <c r="M865" s="72"/>
      <c r="N865" s="31"/>
      <c r="O865" s="85" t="str">
        <f>IF(Tabel1[[#This Row],[% uren 3:]]="","",Tabel1[[#This Row],[% uren 3:]]*Tabel1[[#This Row],[Totale uren:]])</f>
        <v/>
      </c>
      <c r="P865" s="138" t="str">
        <f>IF(Tabel1[[#This Row],[Ordernummer:]]="","",SUM(Tabel1[[#This Row],[% uren 1:]],Tabel1[[#This Row],[% uren 2:]],Tabel1[[#This Row],[% uren 3:]]))</f>
        <v/>
      </c>
      <c r="Q865" s="127"/>
      <c r="R865" s="128"/>
      <c r="S865" s="44"/>
      <c r="T865" s="25"/>
    </row>
    <row r="866" spans="2:20" x14ac:dyDescent="0.25">
      <c r="B866" s="7"/>
      <c r="C866" s="10"/>
      <c r="D866" s="10"/>
      <c r="E866" s="72"/>
      <c r="F866" s="73"/>
      <c r="G866" s="72"/>
      <c r="H866" s="31"/>
      <c r="I866" s="85" t="str">
        <f>IF(Tabel1[[#This Row],[% uren 1:]]="","",Tabel1[[#This Row],[% uren 1:]]*Tabel1[[#This Row],[Totale uren:]])</f>
        <v/>
      </c>
      <c r="J866" s="68"/>
      <c r="K866" s="31"/>
      <c r="L866" s="86" t="str">
        <f>IF(Tabel1[[#This Row],[% uren 2:]]="","",Tabel1[[#This Row],[% uren 2:]]*Tabel1[[#This Row],[Totale uren:]])</f>
        <v/>
      </c>
      <c r="M866" s="72"/>
      <c r="N866" s="31"/>
      <c r="O866" s="85" t="str">
        <f>IF(Tabel1[[#This Row],[% uren 3:]]="","",Tabel1[[#This Row],[% uren 3:]]*Tabel1[[#This Row],[Totale uren:]])</f>
        <v/>
      </c>
      <c r="P866" s="138" t="str">
        <f>IF(Tabel1[[#This Row],[Ordernummer:]]="","",SUM(Tabel1[[#This Row],[% uren 1:]],Tabel1[[#This Row],[% uren 2:]],Tabel1[[#This Row],[% uren 3:]]))</f>
        <v/>
      </c>
      <c r="Q866" s="127"/>
      <c r="R866" s="128"/>
      <c r="S866" s="44"/>
      <c r="T866" s="25"/>
    </row>
    <row r="867" spans="2:20" x14ac:dyDescent="0.25">
      <c r="B867" s="7"/>
      <c r="C867" s="10"/>
      <c r="D867" s="10"/>
      <c r="E867" s="72"/>
      <c r="F867" s="73"/>
      <c r="G867" s="72"/>
      <c r="H867" s="31"/>
      <c r="I867" s="85" t="str">
        <f>IF(Tabel1[[#This Row],[% uren 1:]]="","",Tabel1[[#This Row],[% uren 1:]]*Tabel1[[#This Row],[Totale uren:]])</f>
        <v/>
      </c>
      <c r="J867" s="68"/>
      <c r="K867" s="31"/>
      <c r="L867" s="86" t="str">
        <f>IF(Tabel1[[#This Row],[% uren 2:]]="","",Tabel1[[#This Row],[% uren 2:]]*Tabel1[[#This Row],[Totale uren:]])</f>
        <v/>
      </c>
      <c r="M867" s="72"/>
      <c r="N867" s="31"/>
      <c r="O867" s="85" t="str">
        <f>IF(Tabel1[[#This Row],[% uren 3:]]="","",Tabel1[[#This Row],[% uren 3:]]*Tabel1[[#This Row],[Totale uren:]])</f>
        <v/>
      </c>
      <c r="P867" s="138" t="str">
        <f>IF(Tabel1[[#This Row],[Ordernummer:]]="","",SUM(Tabel1[[#This Row],[% uren 1:]],Tabel1[[#This Row],[% uren 2:]],Tabel1[[#This Row],[% uren 3:]]))</f>
        <v/>
      </c>
      <c r="Q867" s="127"/>
      <c r="R867" s="128"/>
      <c r="S867" s="44"/>
      <c r="T867" s="25"/>
    </row>
    <row r="868" spans="2:20" x14ac:dyDescent="0.25">
      <c r="B868" s="7"/>
      <c r="C868" s="10"/>
      <c r="D868" s="10"/>
      <c r="E868" s="72"/>
      <c r="F868" s="73"/>
      <c r="G868" s="72"/>
      <c r="H868" s="31"/>
      <c r="I868" s="85" t="str">
        <f>IF(Tabel1[[#This Row],[% uren 1:]]="","",Tabel1[[#This Row],[% uren 1:]]*Tabel1[[#This Row],[Totale uren:]])</f>
        <v/>
      </c>
      <c r="J868" s="68"/>
      <c r="K868" s="31"/>
      <c r="L868" s="86" t="str">
        <f>IF(Tabel1[[#This Row],[% uren 2:]]="","",Tabel1[[#This Row],[% uren 2:]]*Tabel1[[#This Row],[Totale uren:]])</f>
        <v/>
      </c>
      <c r="M868" s="72"/>
      <c r="N868" s="31"/>
      <c r="O868" s="85" t="str">
        <f>IF(Tabel1[[#This Row],[% uren 3:]]="","",Tabel1[[#This Row],[% uren 3:]]*Tabel1[[#This Row],[Totale uren:]])</f>
        <v/>
      </c>
      <c r="P868" s="138" t="str">
        <f>IF(Tabel1[[#This Row],[Ordernummer:]]="","",SUM(Tabel1[[#This Row],[% uren 1:]],Tabel1[[#This Row],[% uren 2:]],Tabel1[[#This Row],[% uren 3:]]))</f>
        <v/>
      </c>
      <c r="Q868" s="127"/>
      <c r="R868" s="128"/>
      <c r="S868" s="44"/>
      <c r="T868" s="25"/>
    </row>
    <row r="869" spans="2:20" x14ac:dyDescent="0.25">
      <c r="B869" s="7"/>
      <c r="C869" s="10"/>
      <c r="D869" s="10"/>
      <c r="E869" s="72"/>
      <c r="F869" s="73"/>
      <c r="G869" s="72"/>
      <c r="H869" s="31"/>
      <c r="I869" s="85" t="str">
        <f>IF(Tabel1[[#This Row],[% uren 1:]]="","",Tabel1[[#This Row],[% uren 1:]]*Tabel1[[#This Row],[Totale uren:]])</f>
        <v/>
      </c>
      <c r="J869" s="68"/>
      <c r="K869" s="31"/>
      <c r="L869" s="86" t="str">
        <f>IF(Tabel1[[#This Row],[% uren 2:]]="","",Tabel1[[#This Row],[% uren 2:]]*Tabel1[[#This Row],[Totale uren:]])</f>
        <v/>
      </c>
      <c r="M869" s="72"/>
      <c r="N869" s="31"/>
      <c r="O869" s="85" t="str">
        <f>IF(Tabel1[[#This Row],[% uren 3:]]="","",Tabel1[[#This Row],[% uren 3:]]*Tabel1[[#This Row],[Totale uren:]])</f>
        <v/>
      </c>
      <c r="P869" s="138" t="str">
        <f>IF(Tabel1[[#This Row],[Ordernummer:]]="","",SUM(Tabel1[[#This Row],[% uren 1:]],Tabel1[[#This Row],[% uren 2:]],Tabel1[[#This Row],[% uren 3:]]))</f>
        <v/>
      </c>
      <c r="Q869" s="127"/>
      <c r="R869" s="128"/>
      <c r="S869" s="44"/>
      <c r="T869" s="25"/>
    </row>
    <row r="870" spans="2:20" x14ac:dyDescent="0.25">
      <c r="B870" s="7"/>
      <c r="C870" s="10"/>
      <c r="D870" s="10"/>
      <c r="E870" s="72"/>
      <c r="F870" s="73"/>
      <c r="G870" s="72"/>
      <c r="H870" s="31"/>
      <c r="I870" s="85" t="str">
        <f>IF(Tabel1[[#This Row],[% uren 1:]]="","",Tabel1[[#This Row],[% uren 1:]]*Tabel1[[#This Row],[Totale uren:]])</f>
        <v/>
      </c>
      <c r="J870" s="68"/>
      <c r="K870" s="31"/>
      <c r="L870" s="86" t="str">
        <f>IF(Tabel1[[#This Row],[% uren 2:]]="","",Tabel1[[#This Row],[% uren 2:]]*Tabel1[[#This Row],[Totale uren:]])</f>
        <v/>
      </c>
      <c r="M870" s="72"/>
      <c r="N870" s="31"/>
      <c r="O870" s="85" t="str">
        <f>IF(Tabel1[[#This Row],[% uren 3:]]="","",Tabel1[[#This Row],[% uren 3:]]*Tabel1[[#This Row],[Totale uren:]])</f>
        <v/>
      </c>
      <c r="P870" s="138" t="str">
        <f>IF(Tabel1[[#This Row],[Ordernummer:]]="","",SUM(Tabel1[[#This Row],[% uren 1:]],Tabel1[[#This Row],[% uren 2:]],Tabel1[[#This Row],[% uren 3:]]))</f>
        <v/>
      </c>
      <c r="Q870" s="127"/>
      <c r="R870" s="128"/>
      <c r="S870" s="44"/>
      <c r="T870" s="25"/>
    </row>
    <row r="871" spans="2:20" x14ac:dyDescent="0.25">
      <c r="B871" s="7"/>
      <c r="C871" s="10"/>
      <c r="D871" s="10"/>
      <c r="E871" s="72"/>
      <c r="F871" s="73"/>
      <c r="G871" s="72"/>
      <c r="H871" s="31"/>
      <c r="I871" s="85" t="str">
        <f>IF(Tabel1[[#This Row],[% uren 1:]]="","",Tabel1[[#This Row],[% uren 1:]]*Tabel1[[#This Row],[Totale uren:]])</f>
        <v/>
      </c>
      <c r="J871" s="68"/>
      <c r="K871" s="31"/>
      <c r="L871" s="86" t="str">
        <f>IF(Tabel1[[#This Row],[% uren 2:]]="","",Tabel1[[#This Row],[% uren 2:]]*Tabel1[[#This Row],[Totale uren:]])</f>
        <v/>
      </c>
      <c r="M871" s="72"/>
      <c r="N871" s="31"/>
      <c r="O871" s="85" t="str">
        <f>IF(Tabel1[[#This Row],[% uren 3:]]="","",Tabel1[[#This Row],[% uren 3:]]*Tabel1[[#This Row],[Totale uren:]])</f>
        <v/>
      </c>
      <c r="P871" s="138" t="str">
        <f>IF(Tabel1[[#This Row],[Ordernummer:]]="","",SUM(Tabel1[[#This Row],[% uren 1:]],Tabel1[[#This Row],[% uren 2:]],Tabel1[[#This Row],[% uren 3:]]))</f>
        <v/>
      </c>
      <c r="Q871" s="127"/>
      <c r="R871" s="128"/>
      <c r="S871" s="44"/>
      <c r="T871" s="25"/>
    </row>
    <row r="872" spans="2:20" x14ac:dyDescent="0.25">
      <c r="B872" s="7"/>
      <c r="C872" s="10"/>
      <c r="D872" s="10"/>
      <c r="E872" s="72"/>
      <c r="F872" s="73"/>
      <c r="G872" s="72"/>
      <c r="H872" s="31"/>
      <c r="I872" s="85" t="str">
        <f>IF(Tabel1[[#This Row],[% uren 1:]]="","",Tabel1[[#This Row],[% uren 1:]]*Tabel1[[#This Row],[Totale uren:]])</f>
        <v/>
      </c>
      <c r="J872" s="68"/>
      <c r="K872" s="31"/>
      <c r="L872" s="86" t="str">
        <f>IF(Tabel1[[#This Row],[% uren 2:]]="","",Tabel1[[#This Row],[% uren 2:]]*Tabel1[[#This Row],[Totale uren:]])</f>
        <v/>
      </c>
      <c r="M872" s="72"/>
      <c r="N872" s="31"/>
      <c r="O872" s="85" t="str">
        <f>IF(Tabel1[[#This Row],[% uren 3:]]="","",Tabel1[[#This Row],[% uren 3:]]*Tabel1[[#This Row],[Totale uren:]])</f>
        <v/>
      </c>
      <c r="P872" s="138" t="str">
        <f>IF(Tabel1[[#This Row],[Ordernummer:]]="","",SUM(Tabel1[[#This Row],[% uren 1:]],Tabel1[[#This Row],[% uren 2:]],Tabel1[[#This Row],[% uren 3:]]))</f>
        <v/>
      </c>
      <c r="Q872" s="127"/>
      <c r="R872" s="128"/>
      <c r="S872" s="44"/>
      <c r="T872" s="25"/>
    </row>
    <row r="873" spans="2:20" x14ac:dyDescent="0.25">
      <c r="B873" s="7"/>
      <c r="C873" s="10"/>
      <c r="D873" s="10"/>
      <c r="E873" s="72"/>
      <c r="F873" s="73"/>
      <c r="G873" s="72"/>
      <c r="H873" s="31"/>
      <c r="I873" s="85" t="str">
        <f>IF(Tabel1[[#This Row],[% uren 1:]]="","",Tabel1[[#This Row],[% uren 1:]]*Tabel1[[#This Row],[Totale uren:]])</f>
        <v/>
      </c>
      <c r="J873" s="68"/>
      <c r="K873" s="31"/>
      <c r="L873" s="86" t="str">
        <f>IF(Tabel1[[#This Row],[% uren 2:]]="","",Tabel1[[#This Row],[% uren 2:]]*Tabel1[[#This Row],[Totale uren:]])</f>
        <v/>
      </c>
      <c r="M873" s="72"/>
      <c r="N873" s="31"/>
      <c r="O873" s="85" t="str">
        <f>IF(Tabel1[[#This Row],[% uren 3:]]="","",Tabel1[[#This Row],[% uren 3:]]*Tabel1[[#This Row],[Totale uren:]])</f>
        <v/>
      </c>
      <c r="P873" s="138" t="str">
        <f>IF(Tabel1[[#This Row],[Ordernummer:]]="","",SUM(Tabel1[[#This Row],[% uren 1:]],Tabel1[[#This Row],[% uren 2:]],Tabel1[[#This Row],[% uren 3:]]))</f>
        <v/>
      </c>
      <c r="Q873" s="127"/>
      <c r="R873" s="128"/>
      <c r="S873" s="44"/>
      <c r="T873" s="25"/>
    </row>
    <row r="874" spans="2:20" x14ac:dyDescent="0.25">
      <c r="B874" s="7"/>
      <c r="C874" s="10"/>
      <c r="D874" s="10"/>
      <c r="E874" s="72"/>
      <c r="F874" s="73"/>
      <c r="G874" s="72"/>
      <c r="H874" s="31"/>
      <c r="I874" s="85" t="str">
        <f>IF(Tabel1[[#This Row],[% uren 1:]]="","",Tabel1[[#This Row],[% uren 1:]]*Tabel1[[#This Row],[Totale uren:]])</f>
        <v/>
      </c>
      <c r="J874" s="68"/>
      <c r="K874" s="31"/>
      <c r="L874" s="86" t="str">
        <f>IF(Tabel1[[#This Row],[% uren 2:]]="","",Tabel1[[#This Row],[% uren 2:]]*Tabel1[[#This Row],[Totale uren:]])</f>
        <v/>
      </c>
      <c r="M874" s="72"/>
      <c r="N874" s="31"/>
      <c r="O874" s="85" t="str">
        <f>IF(Tabel1[[#This Row],[% uren 3:]]="","",Tabel1[[#This Row],[% uren 3:]]*Tabel1[[#This Row],[Totale uren:]])</f>
        <v/>
      </c>
      <c r="P874" s="138" t="str">
        <f>IF(Tabel1[[#This Row],[Ordernummer:]]="","",SUM(Tabel1[[#This Row],[% uren 1:]],Tabel1[[#This Row],[% uren 2:]],Tabel1[[#This Row],[% uren 3:]]))</f>
        <v/>
      </c>
      <c r="Q874" s="127"/>
      <c r="R874" s="128"/>
      <c r="S874" s="44"/>
      <c r="T874" s="25"/>
    </row>
    <row r="875" spans="2:20" x14ac:dyDescent="0.25">
      <c r="B875" s="7"/>
      <c r="C875" s="10"/>
      <c r="D875" s="10"/>
      <c r="E875" s="72"/>
      <c r="F875" s="73"/>
      <c r="G875" s="72"/>
      <c r="H875" s="31"/>
      <c r="I875" s="85" t="str">
        <f>IF(Tabel1[[#This Row],[% uren 1:]]="","",Tabel1[[#This Row],[% uren 1:]]*Tabel1[[#This Row],[Totale uren:]])</f>
        <v/>
      </c>
      <c r="J875" s="68"/>
      <c r="K875" s="31"/>
      <c r="L875" s="86" t="str">
        <f>IF(Tabel1[[#This Row],[% uren 2:]]="","",Tabel1[[#This Row],[% uren 2:]]*Tabel1[[#This Row],[Totale uren:]])</f>
        <v/>
      </c>
      <c r="M875" s="72"/>
      <c r="N875" s="31"/>
      <c r="O875" s="85" t="str">
        <f>IF(Tabel1[[#This Row],[% uren 3:]]="","",Tabel1[[#This Row],[% uren 3:]]*Tabel1[[#This Row],[Totale uren:]])</f>
        <v/>
      </c>
      <c r="P875" s="138" t="str">
        <f>IF(Tabel1[[#This Row],[Ordernummer:]]="","",SUM(Tabel1[[#This Row],[% uren 1:]],Tabel1[[#This Row],[% uren 2:]],Tabel1[[#This Row],[% uren 3:]]))</f>
        <v/>
      </c>
      <c r="Q875" s="127"/>
      <c r="R875" s="128"/>
      <c r="S875" s="44"/>
      <c r="T875" s="25"/>
    </row>
    <row r="876" spans="2:20" x14ac:dyDescent="0.25">
      <c r="B876" s="7"/>
      <c r="C876" s="10"/>
      <c r="D876" s="10"/>
      <c r="E876" s="72"/>
      <c r="F876" s="73"/>
      <c r="G876" s="72"/>
      <c r="H876" s="31"/>
      <c r="I876" s="85" t="str">
        <f>IF(Tabel1[[#This Row],[% uren 1:]]="","",Tabel1[[#This Row],[% uren 1:]]*Tabel1[[#This Row],[Totale uren:]])</f>
        <v/>
      </c>
      <c r="J876" s="68"/>
      <c r="K876" s="31"/>
      <c r="L876" s="86" t="str">
        <f>IF(Tabel1[[#This Row],[% uren 2:]]="","",Tabel1[[#This Row],[% uren 2:]]*Tabel1[[#This Row],[Totale uren:]])</f>
        <v/>
      </c>
      <c r="M876" s="72"/>
      <c r="N876" s="31"/>
      <c r="O876" s="85" t="str">
        <f>IF(Tabel1[[#This Row],[% uren 3:]]="","",Tabel1[[#This Row],[% uren 3:]]*Tabel1[[#This Row],[Totale uren:]])</f>
        <v/>
      </c>
      <c r="P876" s="138" t="str">
        <f>IF(Tabel1[[#This Row],[Ordernummer:]]="","",SUM(Tabel1[[#This Row],[% uren 1:]],Tabel1[[#This Row],[% uren 2:]],Tabel1[[#This Row],[% uren 3:]]))</f>
        <v/>
      </c>
      <c r="Q876" s="127"/>
      <c r="R876" s="128"/>
      <c r="S876" s="44"/>
      <c r="T876" s="25"/>
    </row>
    <row r="877" spans="2:20" x14ac:dyDescent="0.25">
      <c r="B877" s="7"/>
      <c r="C877" s="10"/>
      <c r="D877" s="10"/>
      <c r="E877" s="72"/>
      <c r="F877" s="73"/>
      <c r="G877" s="72"/>
      <c r="H877" s="31"/>
      <c r="I877" s="85" t="str">
        <f>IF(Tabel1[[#This Row],[% uren 1:]]="","",Tabel1[[#This Row],[% uren 1:]]*Tabel1[[#This Row],[Totale uren:]])</f>
        <v/>
      </c>
      <c r="J877" s="68"/>
      <c r="K877" s="31"/>
      <c r="L877" s="86" t="str">
        <f>IF(Tabel1[[#This Row],[% uren 2:]]="","",Tabel1[[#This Row],[% uren 2:]]*Tabel1[[#This Row],[Totale uren:]])</f>
        <v/>
      </c>
      <c r="M877" s="72"/>
      <c r="N877" s="31"/>
      <c r="O877" s="85" t="str">
        <f>IF(Tabel1[[#This Row],[% uren 3:]]="","",Tabel1[[#This Row],[% uren 3:]]*Tabel1[[#This Row],[Totale uren:]])</f>
        <v/>
      </c>
      <c r="P877" s="138" t="str">
        <f>IF(Tabel1[[#This Row],[Ordernummer:]]="","",SUM(Tabel1[[#This Row],[% uren 1:]],Tabel1[[#This Row],[% uren 2:]],Tabel1[[#This Row],[% uren 3:]]))</f>
        <v/>
      </c>
      <c r="Q877" s="127"/>
      <c r="R877" s="128"/>
      <c r="S877" s="44"/>
      <c r="T877" s="25"/>
    </row>
    <row r="878" spans="2:20" x14ac:dyDescent="0.25">
      <c r="B878" s="7"/>
      <c r="C878" s="10"/>
      <c r="D878" s="10"/>
      <c r="E878" s="72"/>
      <c r="F878" s="73"/>
      <c r="G878" s="72"/>
      <c r="H878" s="31"/>
      <c r="I878" s="85" t="str">
        <f>IF(Tabel1[[#This Row],[% uren 1:]]="","",Tabel1[[#This Row],[% uren 1:]]*Tabel1[[#This Row],[Totale uren:]])</f>
        <v/>
      </c>
      <c r="J878" s="68"/>
      <c r="K878" s="31"/>
      <c r="L878" s="86" t="str">
        <f>IF(Tabel1[[#This Row],[% uren 2:]]="","",Tabel1[[#This Row],[% uren 2:]]*Tabel1[[#This Row],[Totale uren:]])</f>
        <v/>
      </c>
      <c r="M878" s="72"/>
      <c r="N878" s="31"/>
      <c r="O878" s="85" t="str">
        <f>IF(Tabel1[[#This Row],[% uren 3:]]="","",Tabel1[[#This Row],[% uren 3:]]*Tabel1[[#This Row],[Totale uren:]])</f>
        <v/>
      </c>
      <c r="P878" s="138" t="str">
        <f>IF(Tabel1[[#This Row],[Ordernummer:]]="","",SUM(Tabel1[[#This Row],[% uren 1:]],Tabel1[[#This Row],[% uren 2:]],Tabel1[[#This Row],[% uren 3:]]))</f>
        <v/>
      </c>
      <c r="Q878" s="127"/>
      <c r="R878" s="128"/>
      <c r="S878" s="44"/>
      <c r="T878" s="25"/>
    </row>
    <row r="879" spans="2:20" x14ac:dyDescent="0.25">
      <c r="B879" s="7"/>
      <c r="C879" s="10"/>
      <c r="D879" s="10"/>
      <c r="E879" s="72"/>
      <c r="F879" s="73"/>
      <c r="G879" s="72"/>
      <c r="H879" s="31"/>
      <c r="I879" s="85" t="str">
        <f>IF(Tabel1[[#This Row],[% uren 1:]]="","",Tabel1[[#This Row],[% uren 1:]]*Tabel1[[#This Row],[Totale uren:]])</f>
        <v/>
      </c>
      <c r="J879" s="68"/>
      <c r="K879" s="31"/>
      <c r="L879" s="86" t="str">
        <f>IF(Tabel1[[#This Row],[% uren 2:]]="","",Tabel1[[#This Row],[% uren 2:]]*Tabel1[[#This Row],[Totale uren:]])</f>
        <v/>
      </c>
      <c r="M879" s="72"/>
      <c r="N879" s="31"/>
      <c r="O879" s="85" t="str">
        <f>IF(Tabel1[[#This Row],[% uren 3:]]="","",Tabel1[[#This Row],[% uren 3:]]*Tabel1[[#This Row],[Totale uren:]])</f>
        <v/>
      </c>
      <c r="P879" s="138" t="str">
        <f>IF(Tabel1[[#This Row],[Ordernummer:]]="","",SUM(Tabel1[[#This Row],[% uren 1:]],Tabel1[[#This Row],[% uren 2:]],Tabel1[[#This Row],[% uren 3:]]))</f>
        <v/>
      </c>
      <c r="Q879" s="127"/>
      <c r="R879" s="128"/>
      <c r="S879" s="44"/>
      <c r="T879" s="25"/>
    </row>
    <row r="880" spans="2:20" x14ac:dyDescent="0.25">
      <c r="B880" s="7"/>
      <c r="C880" s="10"/>
      <c r="D880" s="10"/>
      <c r="E880" s="72"/>
      <c r="F880" s="73"/>
      <c r="G880" s="72"/>
      <c r="H880" s="31"/>
      <c r="I880" s="85" t="str">
        <f>IF(Tabel1[[#This Row],[% uren 1:]]="","",Tabel1[[#This Row],[% uren 1:]]*Tabel1[[#This Row],[Totale uren:]])</f>
        <v/>
      </c>
      <c r="J880" s="68"/>
      <c r="K880" s="31"/>
      <c r="L880" s="86" t="str">
        <f>IF(Tabel1[[#This Row],[% uren 2:]]="","",Tabel1[[#This Row],[% uren 2:]]*Tabel1[[#This Row],[Totale uren:]])</f>
        <v/>
      </c>
      <c r="M880" s="72"/>
      <c r="N880" s="31"/>
      <c r="O880" s="85" t="str">
        <f>IF(Tabel1[[#This Row],[% uren 3:]]="","",Tabel1[[#This Row],[% uren 3:]]*Tabel1[[#This Row],[Totale uren:]])</f>
        <v/>
      </c>
      <c r="P880" s="138" t="str">
        <f>IF(Tabel1[[#This Row],[Ordernummer:]]="","",SUM(Tabel1[[#This Row],[% uren 1:]],Tabel1[[#This Row],[% uren 2:]],Tabel1[[#This Row],[% uren 3:]]))</f>
        <v/>
      </c>
      <c r="Q880" s="127"/>
      <c r="R880" s="128"/>
      <c r="S880" s="44"/>
      <c r="T880" s="25"/>
    </row>
    <row r="881" spans="2:20" x14ac:dyDescent="0.25">
      <c r="B881" s="7"/>
      <c r="C881" s="10"/>
      <c r="D881" s="10"/>
      <c r="E881" s="72"/>
      <c r="F881" s="73"/>
      <c r="G881" s="72"/>
      <c r="H881" s="31"/>
      <c r="I881" s="85" t="str">
        <f>IF(Tabel1[[#This Row],[% uren 1:]]="","",Tabel1[[#This Row],[% uren 1:]]*Tabel1[[#This Row],[Totale uren:]])</f>
        <v/>
      </c>
      <c r="J881" s="68"/>
      <c r="K881" s="31"/>
      <c r="L881" s="86" t="str">
        <f>IF(Tabel1[[#This Row],[% uren 2:]]="","",Tabel1[[#This Row],[% uren 2:]]*Tabel1[[#This Row],[Totale uren:]])</f>
        <v/>
      </c>
      <c r="M881" s="72"/>
      <c r="N881" s="31"/>
      <c r="O881" s="85" t="str">
        <f>IF(Tabel1[[#This Row],[% uren 3:]]="","",Tabel1[[#This Row],[% uren 3:]]*Tabel1[[#This Row],[Totale uren:]])</f>
        <v/>
      </c>
      <c r="P881" s="138" t="str">
        <f>IF(Tabel1[[#This Row],[Ordernummer:]]="","",SUM(Tabel1[[#This Row],[% uren 1:]],Tabel1[[#This Row],[% uren 2:]],Tabel1[[#This Row],[% uren 3:]]))</f>
        <v/>
      </c>
      <c r="Q881" s="127"/>
      <c r="R881" s="128"/>
      <c r="S881" s="44"/>
      <c r="T881" s="25"/>
    </row>
    <row r="882" spans="2:20" x14ac:dyDescent="0.25">
      <c r="B882" s="7"/>
      <c r="C882" s="10"/>
      <c r="D882" s="10"/>
      <c r="E882" s="72"/>
      <c r="F882" s="73"/>
      <c r="G882" s="72"/>
      <c r="H882" s="31"/>
      <c r="I882" s="85" t="str">
        <f>IF(Tabel1[[#This Row],[% uren 1:]]="","",Tabel1[[#This Row],[% uren 1:]]*Tabel1[[#This Row],[Totale uren:]])</f>
        <v/>
      </c>
      <c r="J882" s="68"/>
      <c r="K882" s="31"/>
      <c r="L882" s="86" t="str">
        <f>IF(Tabel1[[#This Row],[% uren 2:]]="","",Tabel1[[#This Row],[% uren 2:]]*Tabel1[[#This Row],[Totale uren:]])</f>
        <v/>
      </c>
      <c r="M882" s="72"/>
      <c r="N882" s="31"/>
      <c r="O882" s="85" t="str">
        <f>IF(Tabel1[[#This Row],[% uren 3:]]="","",Tabel1[[#This Row],[% uren 3:]]*Tabel1[[#This Row],[Totale uren:]])</f>
        <v/>
      </c>
      <c r="P882" s="138" t="str">
        <f>IF(Tabel1[[#This Row],[Ordernummer:]]="","",SUM(Tabel1[[#This Row],[% uren 1:]],Tabel1[[#This Row],[% uren 2:]],Tabel1[[#This Row],[% uren 3:]]))</f>
        <v/>
      </c>
      <c r="Q882" s="127"/>
      <c r="R882" s="128"/>
      <c r="S882" s="44"/>
      <c r="T882" s="25"/>
    </row>
    <row r="883" spans="2:20" x14ac:dyDescent="0.25">
      <c r="B883" s="7"/>
      <c r="C883" s="10"/>
      <c r="D883" s="10"/>
      <c r="E883" s="72"/>
      <c r="F883" s="73"/>
      <c r="G883" s="72"/>
      <c r="H883" s="31"/>
      <c r="I883" s="85" t="str">
        <f>IF(Tabel1[[#This Row],[% uren 1:]]="","",Tabel1[[#This Row],[% uren 1:]]*Tabel1[[#This Row],[Totale uren:]])</f>
        <v/>
      </c>
      <c r="J883" s="68"/>
      <c r="K883" s="31"/>
      <c r="L883" s="86" t="str">
        <f>IF(Tabel1[[#This Row],[% uren 2:]]="","",Tabel1[[#This Row],[% uren 2:]]*Tabel1[[#This Row],[Totale uren:]])</f>
        <v/>
      </c>
      <c r="M883" s="72"/>
      <c r="N883" s="31"/>
      <c r="O883" s="85" t="str">
        <f>IF(Tabel1[[#This Row],[% uren 3:]]="","",Tabel1[[#This Row],[% uren 3:]]*Tabel1[[#This Row],[Totale uren:]])</f>
        <v/>
      </c>
      <c r="P883" s="138" t="str">
        <f>IF(Tabel1[[#This Row],[Ordernummer:]]="","",SUM(Tabel1[[#This Row],[% uren 1:]],Tabel1[[#This Row],[% uren 2:]],Tabel1[[#This Row],[% uren 3:]]))</f>
        <v/>
      </c>
      <c r="Q883" s="127"/>
      <c r="R883" s="128"/>
      <c r="S883" s="44"/>
      <c r="T883" s="25"/>
    </row>
    <row r="884" spans="2:20" x14ac:dyDescent="0.25">
      <c r="B884" s="7"/>
      <c r="C884" s="10"/>
      <c r="D884" s="10"/>
      <c r="E884" s="72"/>
      <c r="F884" s="73"/>
      <c r="G884" s="72"/>
      <c r="H884" s="31"/>
      <c r="I884" s="85" t="str">
        <f>IF(Tabel1[[#This Row],[% uren 1:]]="","",Tabel1[[#This Row],[% uren 1:]]*Tabel1[[#This Row],[Totale uren:]])</f>
        <v/>
      </c>
      <c r="J884" s="68"/>
      <c r="K884" s="31"/>
      <c r="L884" s="86" t="str">
        <f>IF(Tabel1[[#This Row],[% uren 2:]]="","",Tabel1[[#This Row],[% uren 2:]]*Tabel1[[#This Row],[Totale uren:]])</f>
        <v/>
      </c>
      <c r="M884" s="72"/>
      <c r="N884" s="31"/>
      <c r="O884" s="85" t="str">
        <f>IF(Tabel1[[#This Row],[% uren 3:]]="","",Tabel1[[#This Row],[% uren 3:]]*Tabel1[[#This Row],[Totale uren:]])</f>
        <v/>
      </c>
      <c r="P884" s="138" t="str">
        <f>IF(Tabel1[[#This Row],[Ordernummer:]]="","",SUM(Tabel1[[#This Row],[% uren 1:]],Tabel1[[#This Row],[% uren 2:]],Tabel1[[#This Row],[% uren 3:]]))</f>
        <v/>
      </c>
      <c r="Q884" s="127"/>
      <c r="R884" s="128"/>
      <c r="S884" s="44"/>
      <c r="T884" s="25"/>
    </row>
    <row r="885" spans="2:20" x14ac:dyDescent="0.25">
      <c r="B885" s="7"/>
      <c r="C885" s="10"/>
      <c r="D885" s="10"/>
      <c r="E885" s="72"/>
      <c r="F885" s="73"/>
      <c r="G885" s="72"/>
      <c r="H885" s="31"/>
      <c r="I885" s="85" t="str">
        <f>IF(Tabel1[[#This Row],[% uren 1:]]="","",Tabel1[[#This Row],[% uren 1:]]*Tabel1[[#This Row],[Totale uren:]])</f>
        <v/>
      </c>
      <c r="J885" s="68"/>
      <c r="K885" s="31"/>
      <c r="L885" s="86" t="str">
        <f>IF(Tabel1[[#This Row],[% uren 2:]]="","",Tabel1[[#This Row],[% uren 2:]]*Tabel1[[#This Row],[Totale uren:]])</f>
        <v/>
      </c>
      <c r="M885" s="72"/>
      <c r="N885" s="31"/>
      <c r="O885" s="85" t="str">
        <f>IF(Tabel1[[#This Row],[% uren 3:]]="","",Tabel1[[#This Row],[% uren 3:]]*Tabel1[[#This Row],[Totale uren:]])</f>
        <v/>
      </c>
      <c r="P885" s="138" t="str">
        <f>IF(Tabel1[[#This Row],[Ordernummer:]]="","",SUM(Tabel1[[#This Row],[% uren 1:]],Tabel1[[#This Row],[% uren 2:]],Tabel1[[#This Row],[% uren 3:]]))</f>
        <v/>
      </c>
      <c r="Q885" s="127"/>
      <c r="R885" s="128"/>
      <c r="S885" s="44"/>
      <c r="T885" s="25"/>
    </row>
    <row r="886" spans="2:20" x14ac:dyDescent="0.25">
      <c r="B886" s="7"/>
      <c r="C886" s="10"/>
      <c r="D886" s="10"/>
      <c r="E886" s="72"/>
      <c r="F886" s="73"/>
      <c r="G886" s="72"/>
      <c r="H886" s="31"/>
      <c r="I886" s="85" t="str">
        <f>IF(Tabel1[[#This Row],[% uren 1:]]="","",Tabel1[[#This Row],[% uren 1:]]*Tabel1[[#This Row],[Totale uren:]])</f>
        <v/>
      </c>
      <c r="J886" s="68"/>
      <c r="K886" s="31"/>
      <c r="L886" s="86" t="str">
        <f>IF(Tabel1[[#This Row],[% uren 2:]]="","",Tabel1[[#This Row],[% uren 2:]]*Tabel1[[#This Row],[Totale uren:]])</f>
        <v/>
      </c>
      <c r="M886" s="72"/>
      <c r="N886" s="31"/>
      <c r="O886" s="85" t="str">
        <f>IF(Tabel1[[#This Row],[% uren 3:]]="","",Tabel1[[#This Row],[% uren 3:]]*Tabel1[[#This Row],[Totale uren:]])</f>
        <v/>
      </c>
      <c r="P886" s="138" t="str">
        <f>IF(Tabel1[[#This Row],[Ordernummer:]]="","",SUM(Tabel1[[#This Row],[% uren 1:]],Tabel1[[#This Row],[% uren 2:]],Tabel1[[#This Row],[% uren 3:]]))</f>
        <v/>
      </c>
      <c r="Q886" s="127"/>
      <c r="R886" s="128"/>
      <c r="S886" s="44"/>
      <c r="T886" s="25"/>
    </row>
    <row r="887" spans="2:20" x14ac:dyDescent="0.25">
      <c r="B887" s="7"/>
      <c r="C887" s="10"/>
      <c r="D887" s="10"/>
      <c r="E887" s="72"/>
      <c r="F887" s="73"/>
      <c r="G887" s="72"/>
      <c r="H887" s="31"/>
      <c r="I887" s="85" t="str">
        <f>IF(Tabel1[[#This Row],[% uren 1:]]="","",Tabel1[[#This Row],[% uren 1:]]*Tabel1[[#This Row],[Totale uren:]])</f>
        <v/>
      </c>
      <c r="J887" s="68"/>
      <c r="K887" s="31"/>
      <c r="L887" s="86" t="str">
        <f>IF(Tabel1[[#This Row],[% uren 2:]]="","",Tabel1[[#This Row],[% uren 2:]]*Tabel1[[#This Row],[Totale uren:]])</f>
        <v/>
      </c>
      <c r="M887" s="72"/>
      <c r="N887" s="31"/>
      <c r="O887" s="85" t="str">
        <f>IF(Tabel1[[#This Row],[% uren 3:]]="","",Tabel1[[#This Row],[% uren 3:]]*Tabel1[[#This Row],[Totale uren:]])</f>
        <v/>
      </c>
      <c r="P887" s="138" t="str">
        <f>IF(Tabel1[[#This Row],[Ordernummer:]]="","",SUM(Tabel1[[#This Row],[% uren 1:]],Tabel1[[#This Row],[% uren 2:]],Tabel1[[#This Row],[% uren 3:]]))</f>
        <v/>
      </c>
      <c r="Q887" s="127"/>
      <c r="R887" s="128"/>
      <c r="S887" s="44"/>
      <c r="T887" s="25"/>
    </row>
    <row r="888" spans="2:20" x14ac:dyDescent="0.25">
      <c r="B888" s="7"/>
      <c r="C888" s="10"/>
      <c r="D888" s="10"/>
      <c r="E888" s="72"/>
      <c r="F888" s="73"/>
      <c r="G888" s="72"/>
      <c r="H888" s="31"/>
      <c r="I888" s="85" t="str">
        <f>IF(Tabel1[[#This Row],[% uren 1:]]="","",Tabel1[[#This Row],[% uren 1:]]*Tabel1[[#This Row],[Totale uren:]])</f>
        <v/>
      </c>
      <c r="J888" s="68"/>
      <c r="K888" s="31"/>
      <c r="L888" s="86" t="str">
        <f>IF(Tabel1[[#This Row],[% uren 2:]]="","",Tabel1[[#This Row],[% uren 2:]]*Tabel1[[#This Row],[Totale uren:]])</f>
        <v/>
      </c>
      <c r="M888" s="72"/>
      <c r="N888" s="31"/>
      <c r="O888" s="85" t="str">
        <f>IF(Tabel1[[#This Row],[% uren 3:]]="","",Tabel1[[#This Row],[% uren 3:]]*Tabel1[[#This Row],[Totale uren:]])</f>
        <v/>
      </c>
      <c r="P888" s="138" t="str">
        <f>IF(Tabel1[[#This Row],[Ordernummer:]]="","",SUM(Tabel1[[#This Row],[% uren 1:]],Tabel1[[#This Row],[% uren 2:]],Tabel1[[#This Row],[% uren 3:]]))</f>
        <v/>
      </c>
      <c r="Q888" s="127"/>
      <c r="R888" s="128"/>
      <c r="S888" s="44"/>
      <c r="T888" s="25"/>
    </row>
    <row r="889" spans="2:20" x14ac:dyDescent="0.25">
      <c r="B889" s="7"/>
      <c r="C889" s="10"/>
      <c r="D889" s="10"/>
      <c r="E889" s="72"/>
      <c r="F889" s="73"/>
      <c r="G889" s="72"/>
      <c r="H889" s="31"/>
      <c r="I889" s="85" t="str">
        <f>IF(Tabel1[[#This Row],[% uren 1:]]="","",Tabel1[[#This Row],[% uren 1:]]*Tabel1[[#This Row],[Totale uren:]])</f>
        <v/>
      </c>
      <c r="J889" s="68"/>
      <c r="K889" s="31"/>
      <c r="L889" s="86" t="str">
        <f>IF(Tabel1[[#This Row],[% uren 2:]]="","",Tabel1[[#This Row],[% uren 2:]]*Tabel1[[#This Row],[Totale uren:]])</f>
        <v/>
      </c>
      <c r="M889" s="72"/>
      <c r="N889" s="31"/>
      <c r="O889" s="85" t="str">
        <f>IF(Tabel1[[#This Row],[% uren 3:]]="","",Tabel1[[#This Row],[% uren 3:]]*Tabel1[[#This Row],[Totale uren:]])</f>
        <v/>
      </c>
      <c r="P889" s="138" t="str">
        <f>IF(Tabel1[[#This Row],[Ordernummer:]]="","",SUM(Tabel1[[#This Row],[% uren 1:]],Tabel1[[#This Row],[% uren 2:]],Tabel1[[#This Row],[% uren 3:]]))</f>
        <v/>
      </c>
      <c r="Q889" s="127"/>
      <c r="R889" s="128"/>
      <c r="S889" s="44"/>
      <c r="T889" s="25"/>
    </row>
    <row r="890" spans="2:20" x14ac:dyDescent="0.25">
      <c r="B890" s="7"/>
      <c r="C890" s="10"/>
      <c r="D890" s="10"/>
      <c r="E890" s="72"/>
      <c r="F890" s="73"/>
      <c r="G890" s="72"/>
      <c r="H890" s="31"/>
      <c r="I890" s="85" t="str">
        <f>IF(Tabel1[[#This Row],[% uren 1:]]="","",Tabel1[[#This Row],[% uren 1:]]*Tabel1[[#This Row],[Totale uren:]])</f>
        <v/>
      </c>
      <c r="J890" s="68"/>
      <c r="K890" s="31"/>
      <c r="L890" s="86" t="str">
        <f>IF(Tabel1[[#This Row],[% uren 2:]]="","",Tabel1[[#This Row],[% uren 2:]]*Tabel1[[#This Row],[Totale uren:]])</f>
        <v/>
      </c>
      <c r="M890" s="72"/>
      <c r="N890" s="31"/>
      <c r="O890" s="85" t="str">
        <f>IF(Tabel1[[#This Row],[% uren 3:]]="","",Tabel1[[#This Row],[% uren 3:]]*Tabel1[[#This Row],[Totale uren:]])</f>
        <v/>
      </c>
      <c r="P890" s="138" t="str">
        <f>IF(Tabel1[[#This Row],[Ordernummer:]]="","",SUM(Tabel1[[#This Row],[% uren 1:]],Tabel1[[#This Row],[% uren 2:]],Tabel1[[#This Row],[% uren 3:]]))</f>
        <v/>
      </c>
      <c r="Q890" s="127"/>
      <c r="R890" s="128"/>
      <c r="S890" s="44"/>
      <c r="T890" s="25"/>
    </row>
    <row r="891" spans="2:20" x14ac:dyDescent="0.25">
      <c r="B891" s="7"/>
      <c r="C891" s="10"/>
      <c r="D891" s="10"/>
      <c r="E891" s="72"/>
      <c r="F891" s="73"/>
      <c r="G891" s="72"/>
      <c r="H891" s="31"/>
      <c r="I891" s="85" t="str">
        <f>IF(Tabel1[[#This Row],[% uren 1:]]="","",Tabel1[[#This Row],[% uren 1:]]*Tabel1[[#This Row],[Totale uren:]])</f>
        <v/>
      </c>
      <c r="J891" s="68"/>
      <c r="K891" s="31"/>
      <c r="L891" s="86" t="str">
        <f>IF(Tabel1[[#This Row],[% uren 2:]]="","",Tabel1[[#This Row],[% uren 2:]]*Tabel1[[#This Row],[Totale uren:]])</f>
        <v/>
      </c>
      <c r="M891" s="72"/>
      <c r="N891" s="31"/>
      <c r="O891" s="85" t="str">
        <f>IF(Tabel1[[#This Row],[% uren 3:]]="","",Tabel1[[#This Row],[% uren 3:]]*Tabel1[[#This Row],[Totale uren:]])</f>
        <v/>
      </c>
      <c r="P891" s="138" t="str">
        <f>IF(Tabel1[[#This Row],[Ordernummer:]]="","",SUM(Tabel1[[#This Row],[% uren 1:]],Tabel1[[#This Row],[% uren 2:]],Tabel1[[#This Row],[% uren 3:]]))</f>
        <v/>
      </c>
      <c r="Q891" s="127"/>
      <c r="R891" s="128"/>
      <c r="S891" s="44"/>
      <c r="T891" s="25"/>
    </row>
    <row r="892" spans="2:20" x14ac:dyDescent="0.25">
      <c r="B892" s="7"/>
      <c r="C892" s="10"/>
      <c r="D892" s="10"/>
      <c r="E892" s="72"/>
      <c r="F892" s="73"/>
      <c r="G892" s="72"/>
      <c r="H892" s="31"/>
      <c r="I892" s="85" t="str">
        <f>IF(Tabel1[[#This Row],[% uren 1:]]="","",Tabel1[[#This Row],[% uren 1:]]*Tabel1[[#This Row],[Totale uren:]])</f>
        <v/>
      </c>
      <c r="J892" s="68"/>
      <c r="K892" s="31"/>
      <c r="L892" s="86" t="str">
        <f>IF(Tabel1[[#This Row],[% uren 2:]]="","",Tabel1[[#This Row],[% uren 2:]]*Tabel1[[#This Row],[Totale uren:]])</f>
        <v/>
      </c>
      <c r="M892" s="72"/>
      <c r="N892" s="31"/>
      <c r="O892" s="85" t="str">
        <f>IF(Tabel1[[#This Row],[% uren 3:]]="","",Tabel1[[#This Row],[% uren 3:]]*Tabel1[[#This Row],[Totale uren:]])</f>
        <v/>
      </c>
      <c r="P892" s="138" t="str">
        <f>IF(Tabel1[[#This Row],[Ordernummer:]]="","",SUM(Tabel1[[#This Row],[% uren 1:]],Tabel1[[#This Row],[% uren 2:]],Tabel1[[#This Row],[% uren 3:]]))</f>
        <v/>
      </c>
      <c r="Q892" s="127"/>
      <c r="R892" s="128"/>
      <c r="S892" s="44"/>
      <c r="T892" s="25"/>
    </row>
    <row r="893" spans="2:20" x14ac:dyDescent="0.25">
      <c r="B893" s="7"/>
      <c r="C893" s="10"/>
      <c r="D893" s="10"/>
      <c r="E893" s="72"/>
      <c r="F893" s="73"/>
      <c r="G893" s="72"/>
      <c r="H893" s="31"/>
      <c r="I893" s="85" t="str">
        <f>IF(Tabel1[[#This Row],[% uren 1:]]="","",Tabel1[[#This Row],[% uren 1:]]*Tabel1[[#This Row],[Totale uren:]])</f>
        <v/>
      </c>
      <c r="J893" s="68"/>
      <c r="K893" s="31"/>
      <c r="L893" s="86" t="str">
        <f>IF(Tabel1[[#This Row],[% uren 2:]]="","",Tabel1[[#This Row],[% uren 2:]]*Tabel1[[#This Row],[Totale uren:]])</f>
        <v/>
      </c>
      <c r="M893" s="72"/>
      <c r="N893" s="31"/>
      <c r="O893" s="85" t="str">
        <f>IF(Tabel1[[#This Row],[% uren 3:]]="","",Tabel1[[#This Row],[% uren 3:]]*Tabel1[[#This Row],[Totale uren:]])</f>
        <v/>
      </c>
      <c r="P893" s="138" t="str">
        <f>IF(Tabel1[[#This Row],[Ordernummer:]]="","",SUM(Tabel1[[#This Row],[% uren 1:]],Tabel1[[#This Row],[% uren 2:]],Tabel1[[#This Row],[% uren 3:]]))</f>
        <v/>
      </c>
      <c r="Q893" s="127"/>
      <c r="R893" s="128"/>
      <c r="S893" s="44"/>
      <c r="T893" s="25"/>
    </row>
    <row r="894" spans="2:20" x14ac:dyDescent="0.25">
      <c r="B894" s="7"/>
      <c r="C894" s="10"/>
      <c r="D894" s="10"/>
      <c r="E894" s="72"/>
      <c r="F894" s="73"/>
      <c r="G894" s="72"/>
      <c r="H894" s="31"/>
      <c r="I894" s="85" t="str">
        <f>IF(Tabel1[[#This Row],[% uren 1:]]="","",Tabel1[[#This Row],[% uren 1:]]*Tabel1[[#This Row],[Totale uren:]])</f>
        <v/>
      </c>
      <c r="J894" s="68"/>
      <c r="K894" s="31"/>
      <c r="L894" s="86" t="str">
        <f>IF(Tabel1[[#This Row],[% uren 2:]]="","",Tabel1[[#This Row],[% uren 2:]]*Tabel1[[#This Row],[Totale uren:]])</f>
        <v/>
      </c>
      <c r="M894" s="72"/>
      <c r="N894" s="31"/>
      <c r="O894" s="85" t="str">
        <f>IF(Tabel1[[#This Row],[% uren 3:]]="","",Tabel1[[#This Row],[% uren 3:]]*Tabel1[[#This Row],[Totale uren:]])</f>
        <v/>
      </c>
      <c r="P894" s="138" t="str">
        <f>IF(Tabel1[[#This Row],[Ordernummer:]]="","",SUM(Tabel1[[#This Row],[% uren 1:]],Tabel1[[#This Row],[% uren 2:]],Tabel1[[#This Row],[% uren 3:]]))</f>
        <v/>
      </c>
      <c r="Q894" s="127"/>
      <c r="R894" s="128"/>
      <c r="S894" s="44"/>
      <c r="T894" s="25"/>
    </row>
    <row r="895" spans="2:20" x14ac:dyDescent="0.25">
      <c r="B895" s="7"/>
      <c r="C895" s="10"/>
      <c r="D895" s="10"/>
      <c r="E895" s="72"/>
      <c r="F895" s="73"/>
      <c r="G895" s="72"/>
      <c r="H895" s="31"/>
      <c r="I895" s="85" t="str">
        <f>IF(Tabel1[[#This Row],[% uren 1:]]="","",Tabel1[[#This Row],[% uren 1:]]*Tabel1[[#This Row],[Totale uren:]])</f>
        <v/>
      </c>
      <c r="J895" s="68"/>
      <c r="K895" s="31"/>
      <c r="L895" s="86" t="str">
        <f>IF(Tabel1[[#This Row],[% uren 2:]]="","",Tabel1[[#This Row],[% uren 2:]]*Tabel1[[#This Row],[Totale uren:]])</f>
        <v/>
      </c>
      <c r="M895" s="72"/>
      <c r="N895" s="31"/>
      <c r="O895" s="85" t="str">
        <f>IF(Tabel1[[#This Row],[% uren 3:]]="","",Tabel1[[#This Row],[% uren 3:]]*Tabel1[[#This Row],[Totale uren:]])</f>
        <v/>
      </c>
      <c r="P895" s="138" t="str">
        <f>IF(Tabel1[[#This Row],[Ordernummer:]]="","",SUM(Tabel1[[#This Row],[% uren 1:]],Tabel1[[#This Row],[% uren 2:]],Tabel1[[#This Row],[% uren 3:]]))</f>
        <v/>
      </c>
      <c r="Q895" s="127"/>
      <c r="R895" s="128"/>
      <c r="S895" s="44"/>
      <c r="T895" s="25"/>
    </row>
    <row r="896" spans="2:20" x14ac:dyDescent="0.25">
      <c r="B896" s="7"/>
      <c r="C896" s="10"/>
      <c r="D896" s="10"/>
      <c r="E896" s="72"/>
      <c r="F896" s="73"/>
      <c r="G896" s="72"/>
      <c r="H896" s="31"/>
      <c r="I896" s="85" t="str">
        <f>IF(Tabel1[[#This Row],[% uren 1:]]="","",Tabel1[[#This Row],[% uren 1:]]*Tabel1[[#This Row],[Totale uren:]])</f>
        <v/>
      </c>
      <c r="J896" s="68"/>
      <c r="K896" s="31"/>
      <c r="L896" s="86" t="str">
        <f>IF(Tabel1[[#This Row],[% uren 2:]]="","",Tabel1[[#This Row],[% uren 2:]]*Tabel1[[#This Row],[Totale uren:]])</f>
        <v/>
      </c>
      <c r="M896" s="72"/>
      <c r="N896" s="31"/>
      <c r="O896" s="85" t="str">
        <f>IF(Tabel1[[#This Row],[% uren 3:]]="","",Tabel1[[#This Row],[% uren 3:]]*Tabel1[[#This Row],[Totale uren:]])</f>
        <v/>
      </c>
      <c r="P896" s="138" t="str">
        <f>IF(Tabel1[[#This Row],[Ordernummer:]]="","",SUM(Tabel1[[#This Row],[% uren 1:]],Tabel1[[#This Row],[% uren 2:]],Tabel1[[#This Row],[% uren 3:]]))</f>
        <v/>
      </c>
      <c r="Q896" s="127"/>
      <c r="R896" s="128"/>
      <c r="S896" s="44"/>
      <c r="T896" s="25"/>
    </row>
    <row r="897" spans="2:20" x14ac:dyDescent="0.25">
      <c r="B897" s="7"/>
      <c r="C897" s="10"/>
      <c r="D897" s="10"/>
      <c r="E897" s="72"/>
      <c r="F897" s="73"/>
      <c r="G897" s="72"/>
      <c r="H897" s="31"/>
      <c r="I897" s="85" t="str">
        <f>IF(Tabel1[[#This Row],[% uren 1:]]="","",Tabel1[[#This Row],[% uren 1:]]*Tabel1[[#This Row],[Totale uren:]])</f>
        <v/>
      </c>
      <c r="J897" s="68"/>
      <c r="K897" s="31"/>
      <c r="L897" s="86" t="str">
        <f>IF(Tabel1[[#This Row],[% uren 2:]]="","",Tabel1[[#This Row],[% uren 2:]]*Tabel1[[#This Row],[Totale uren:]])</f>
        <v/>
      </c>
      <c r="M897" s="72"/>
      <c r="N897" s="31"/>
      <c r="O897" s="85" t="str">
        <f>IF(Tabel1[[#This Row],[% uren 3:]]="","",Tabel1[[#This Row],[% uren 3:]]*Tabel1[[#This Row],[Totale uren:]])</f>
        <v/>
      </c>
      <c r="P897" s="138" t="str">
        <f>IF(Tabel1[[#This Row],[Ordernummer:]]="","",SUM(Tabel1[[#This Row],[% uren 1:]],Tabel1[[#This Row],[% uren 2:]],Tabel1[[#This Row],[% uren 3:]]))</f>
        <v/>
      </c>
      <c r="Q897" s="127"/>
      <c r="R897" s="128"/>
      <c r="S897" s="44"/>
      <c r="T897" s="25"/>
    </row>
    <row r="898" spans="2:20" x14ac:dyDescent="0.25">
      <c r="B898" s="7"/>
      <c r="C898" s="10"/>
      <c r="D898" s="10"/>
      <c r="E898" s="72"/>
      <c r="F898" s="73"/>
      <c r="G898" s="72"/>
      <c r="H898" s="31"/>
      <c r="I898" s="85" t="str">
        <f>IF(Tabel1[[#This Row],[% uren 1:]]="","",Tabel1[[#This Row],[% uren 1:]]*Tabel1[[#This Row],[Totale uren:]])</f>
        <v/>
      </c>
      <c r="J898" s="68"/>
      <c r="K898" s="31"/>
      <c r="L898" s="86" t="str">
        <f>IF(Tabel1[[#This Row],[% uren 2:]]="","",Tabel1[[#This Row],[% uren 2:]]*Tabel1[[#This Row],[Totale uren:]])</f>
        <v/>
      </c>
      <c r="M898" s="72"/>
      <c r="N898" s="31"/>
      <c r="O898" s="85" t="str">
        <f>IF(Tabel1[[#This Row],[% uren 3:]]="","",Tabel1[[#This Row],[% uren 3:]]*Tabel1[[#This Row],[Totale uren:]])</f>
        <v/>
      </c>
      <c r="P898" s="138" t="str">
        <f>IF(Tabel1[[#This Row],[Ordernummer:]]="","",SUM(Tabel1[[#This Row],[% uren 1:]],Tabel1[[#This Row],[% uren 2:]],Tabel1[[#This Row],[% uren 3:]]))</f>
        <v/>
      </c>
      <c r="Q898" s="127"/>
      <c r="R898" s="128"/>
      <c r="S898" s="44"/>
      <c r="T898" s="25"/>
    </row>
    <row r="899" spans="2:20" x14ac:dyDescent="0.25">
      <c r="B899" s="7"/>
      <c r="C899" s="10"/>
      <c r="D899" s="10"/>
      <c r="E899" s="72"/>
      <c r="F899" s="73"/>
      <c r="G899" s="72"/>
      <c r="H899" s="31"/>
      <c r="I899" s="85" t="str">
        <f>IF(Tabel1[[#This Row],[% uren 1:]]="","",Tabel1[[#This Row],[% uren 1:]]*Tabel1[[#This Row],[Totale uren:]])</f>
        <v/>
      </c>
      <c r="J899" s="68"/>
      <c r="K899" s="31"/>
      <c r="L899" s="86" t="str">
        <f>IF(Tabel1[[#This Row],[% uren 2:]]="","",Tabel1[[#This Row],[% uren 2:]]*Tabel1[[#This Row],[Totale uren:]])</f>
        <v/>
      </c>
      <c r="M899" s="72"/>
      <c r="N899" s="31"/>
      <c r="O899" s="85" t="str">
        <f>IF(Tabel1[[#This Row],[% uren 3:]]="","",Tabel1[[#This Row],[% uren 3:]]*Tabel1[[#This Row],[Totale uren:]])</f>
        <v/>
      </c>
      <c r="P899" s="138" t="str">
        <f>IF(Tabel1[[#This Row],[Ordernummer:]]="","",SUM(Tabel1[[#This Row],[% uren 1:]],Tabel1[[#This Row],[% uren 2:]],Tabel1[[#This Row],[% uren 3:]]))</f>
        <v/>
      </c>
      <c r="Q899" s="127"/>
      <c r="R899" s="128"/>
      <c r="S899" s="44"/>
      <c r="T899" s="25"/>
    </row>
    <row r="900" spans="2:20" x14ac:dyDescent="0.25">
      <c r="B900" s="7"/>
      <c r="C900" s="10"/>
      <c r="D900" s="10"/>
      <c r="E900" s="72"/>
      <c r="F900" s="73"/>
      <c r="G900" s="72"/>
      <c r="H900" s="31"/>
      <c r="I900" s="85" t="str">
        <f>IF(Tabel1[[#This Row],[% uren 1:]]="","",Tabel1[[#This Row],[% uren 1:]]*Tabel1[[#This Row],[Totale uren:]])</f>
        <v/>
      </c>
      <c r="J900" s="68"/>
      <c r="K900" s="31"/>
      <c r="L900" s="86" t="str">
        <f>IF(Tabel1[[#This Row],[% uren 2:]]="","",Tabel1[[#This Row],[% uren 2:]]*Tabel1[[#This Row],[Totale uren:]])</f>
        <v/>
      </c>
      <c r="M900" s="72"/>
      <c r="N900" s="31"/>
      <c r="O900" s="85" t="str">
        <f>IF(Tabel1[[#This Row],[% uren 3:]]="","",Tabel1[[#This Row],[% uren 3:]]*Tabel1[[#This Row],[Totale uren:]])</f>
        <v/>
      </c>
      <c r="P900" s="138" t="str">
        <f>IF(Tabel1[[#This Row],[Ordernummer:]]="","",SUM(Tabel1[[#This Row],[% uren 1:]],Tabel1[[#This Row],[% uren 2:]],Tabel1[[#This Row],[% uren 3:]]))</f>
        <v/>
      </c>
      <c r="Q900" s="127"/>
      <c r="R900" s="128"/>
      <c r="S900" s="44"/>
      <c r="T900" s="25"/>
    </row>
    <row r="901" spans="2:20" x14ac:dyDescent="0.25">
      <c r="B901" s="7"/>
      <c r="C901" s="10"/>
      <c r="D901" s="10"/>
      <c r="E901" s="72"/>
      <c r="F901" s="73"/>
      <c r="G901" s="72"/>
      <c r="H901" s="31"/>
      <c r="I901" s="85" t="str">
        <f>IF(Tabel1[[#This Row],[% uren 1:]]="","",Tabel1[[#This Row],[% uren 1:]]*Tabel1[[#This Row],[Totale uren:]])</f>
        <v/>
      </c>
      <c r="J901" s="68"/>
      <c r="K901" s="31"/>
      <c r="L901" s="86" t="str">
        <f>IF(Tabel1[[#This Row],[% uren 2:]]="","",Tabel1[[#This Row],[% uren 2:]]*Tabel1[[#This Row],[Totale uren:]])</f>
        <v/>
      </c>
      <c r="M901" s="72"/>
      <c r="N901" s="31"/>
      <c r="O901" s="85" t="str">
        <f>IF(Tabel1[[#This Row],[% uren 3:]]="","",Tabel1[[#This Row],[% uren 3:]]*Tabel1[[#This Row],[Totale uren:]])</f>
        <v/>
      </c>
      <c r="P901" s="138" t="str">
        <f>IF(Tabel1[[#This Row],[Ordernummer:]]="","",SUM(Tabel1[[#This Row],[% uren 1:]],Tabel1[[#This Row],[% uren 2:]],Tabel1[[#This Row],[% uren 3:]]))</f>
        <v/>
      </c>
      <c r="Q901" s="127"/>
      <c r="R901" s="128"/>
      <c r="S901" s="44"/>
      <c r="T901" s="25"/>
    </row>
    <row r="902" spans="2:20" x14ac:dyDescent="0.25">
      <c r="B902" s="7"/>
      <c r="C902" s="10"/>
      <c r="D902" s="10"/>
      <c r="E902" s="72"/>
      <c r="F902" s="73"/>
      <c r="G902" s="72"/>
      <c r="H902" s="31"/>
      <c r="I902" s="85" t="str">
        <f>IF(Tabel1[[#This Row],[% uren 1:]]="","",Tabel1[[#This Row],[% uren 1:]]*Tabel1[[#This Row],[Totale uren:]])</f>
        <v/>
      </c>
      <c r="J902" s="68"/>
      <c r="K902" s="31"/>
      <c r="L902" s="86" t="str">
        <f>IF(Tabel1[[#This Row],[% uren 2:]]="","",Tabel1[[#This Row],[% uren 2:]]*Tabel1[[#This Row],[Totale uren:]])</f>
        <v/>
      </c>
      <c r="M902" s="72"/>
      <c r="N902" s="31"/>
      <c r="O902" s="85" t="str">
        <f>IF(Tabel1[[#This Row],[% uren 3:]]="","",Tabel1[[#This Row],[% uren 3:]]*Tabel1[[#This Row],[Totale uren:]])</f>
        <v/>
      </c>
      <c r="P902" s="138" t="str">
        <f>IF(Tabel1[[#This Row],[Ordernummer:]]="","",SUM(Tabel1[[#This Row],[% uren 1:]],Tabel1[[#This Row],[% uren 2:]],Tabel1[[#This Row],[% uren 3:]]))</f>
        <v/>
      </c>
      <c r="Q902" s="127"/>
      <c r="R902" s="128"/>
      <c r="S902" s="44"/>
      <c r="T902" s="25"/>
    </row>
    <row r="903" spans="2:20" x14ac:dyDescent="0.25">
      <c r="B903" s="7"/>
      <c r="C903" s="10"/>
      <c r="D903" s="10"/>
      <c r="E903" s="72"/>
      <c r="F903" s="73"/>
      <c r="G903" s="72"/>
      <c r="H903" s="31"/>
      <c r="I903" s="85" t="str">
        <f>IF(Tabel1[[#This Row],[% uren 1:]]="","",Tabel1[[#This Row],[% uren 1:]]*Tabel1[[#This Row],[Totale uren:]])</f>
        <v/>
      </c>
      <c r="J903" s="68"/>
      <c r="K903" s="31"/>
      <c r="L903" s="86" t="str">
        <f>IF(Tabel1[[#This Row],[% uren 2:]]="","",Tabel1[[#This Row],[% uren 2:]]*Tabel1[[#This Row],[Totale uren:]])</f>
        <v/>
      </c>
      <c r="M903" s="72"/>
      <c r="N903" s="31"/>
      <c r="O903" s="85" t="str">
        <f>IF(Tabel1[[#This Row],[% uren 3:]]="","",Tabel1[[#This Row],[% uren 3:]]*Tabel1[[#This Row],[Totale uren:]])</f>
        <v/>
      </c>
      <c r="P903" s="138" t="str">
        <f>IF(Tabel1[[#This Row],[Ordernummer:]]="","",SUM(Tabel1[[#This Row],[% uren 1:]],Tabel1[[#This Row],[% uren 2:]],Tabel1[[#This Row],[% uren 3:]]))</f>
        <v/>
      </c>
      <c r="Q903" s="127"/>
      <c r="R903" s="128"/>
      <c r="S903" s="44"/>
      <c r="T903" s="25"/>
    </row>
    <row r="904" spans="2:20" x14ac:dyDescent="0.25">
      <c r="B904" s="7"/>
      <c r="C904" s="10"/>
      <c r="D904" s="10"/>
      <c r="E904" s="72"/>
      <c r="F904" s="73"/>
      <c r="G904" s="72"/>
      <c r="H904" s="31"/>
      <c r="I904" s="85" t="str">
        <f>IF(Tabel1[[#This Row],[% uren 1:]]="","",Tabel1[[#This Row],[% uren 1:]]*Tabel1[[#This Row],[Totale uren:]])</f>
        <v/>
      </c>
      <c r="J904" s="68"/>
      <c r="K904" s="31"/>
      <c r="L904" s="86" t="str">
        <f>IF(Tabel1[[#This Row],[% uren 2:]]="","",Tabel1[[#This Row],[% uren 2:]]*Tabel1[[#This Row],[Totale uren:]])</f>
        <v/>
      </c>
      <c r="M904" s="72"/>
      <c r="N904" s="31"/>
      <c r="O904" s="85" t="str">
        <f>IF(Tabel1[[#This Row],[% uren 3:]]="","",Tabel1[[#This Row],[% uren 3:]]*Tabel1[[#This Row],[Totale uren:]])</f>
        <v/>
      </c>
      <c r="P904" s="138" t="str">
        <f>IF(Tabel1[[#This Row],[Ordernummer:]]="","",SUM(Tabel1[[#This Row],[% uren 1:]],Tabel1[[#This Row],[% uren 2:]],Tabel1[[#This Row],[% uren 3:]]))</f>
        <v/>
      </c>
      <c r="Q904" s="127"/>
      <c r="R904" s="128"/>
      <c r="S904" s="44"/>
      <c r="T904" s="25"/>
    </row>
    <row r="905" spans="2:20" x14ac:dyDescent="0.25">
      <c r="B905" s="7"/>
      <c r="C905" s="10"/>
      <c r="D905" s="10"/>
      <c r="E905" s="72"/>
      <c r="F905" s="73"/>
      <c r="G905" s="72"/>
      <c r="H905" s="31"/>
      <c r="I905" s="85" t="str">
        <f>IF(Tabel1[[#This Row],[% uren 1:]]="","",Tabel1[[#This Row],[% uren 1:]]*Tabel1[[#This Row],[Totale uren:]])</f>
        <v/>
      </c>
      <c r="J905" s="68"/>
      <c r="K905" s="31"/>
      <c r="L905" s="86" t="str">
        <f>IF(Tabel1[[#This Row],[% uren 2:]]="","",Tabel1[[#This Row],[% uren 2:]]*Tabel1[[#This Row],[Totale uren:]])</f>
        <v/>
      </c>
      <c r="M905" s="72"/>
      <c r="N905" s="31"/>
      <c r="O905" s="85" t="str">
        <f>IF(Tabel1[[#This Row],[% uren 3:]]="","",Tabel1[[#This Row],[% uren 3:]]*Tabel1[[#This Row],[Totale uren:]])</f>
        <v/>
      </c>
      <c r="P905" s="138" t="str">
        <f>IF(Tabel1[[#This Row],[Ordernummer:]]="","",SUM(Tabel1[[#This Row],[% uren 1:]],Tabel1[[#This Row],[% uren 2:]],Tabel1[[#This Row],[% uren 3:]]))</f>
        <v/>
      </c>
      <c r="Q905" s="127"/>
      <c r="R905" s="128"/>
      <c r="S905" s="44"/>
      <c r="T905" s="25"/>
    </row>
    <row r="906" spans="2:20" x14ac:dyDescent="0.25">
      <c r="B906" s="7"/>
      <c r="C906" s="10"/>
      <c r="D906" s="10"/>
      <c r="E906" s="72"/>
      <c r="F906" s="73"/>
      <c r="G906" s="72"/>
      <c r="H906" s="31"/>
      <c r="I906" s="85" t="str">
        <f>IF(Tabel1[[#This Row],[% uren 1:]]="","",Tabel1[[#This Row],[% uren 1:]]*Tabel1[[#This Row],[Totale uren:]])</f>
        <v/>
      </c>
      <c r="J906" s="68"/>
      <c r="K906" s="31"/>
      <c r="L906" s="86" t="str">
        <f>IF(Tabel1[[#This Row],[% uren 2:]]="","",Tabel1[[#This Row],[% uren 2:]]*Tabel1[[#This Row],[Totale uren:]])</f>
        <v/>
      </c>
      <c r="M906" s="72"/>
      <c r="N906" s="31"/>
      <c r="O906" s="85" t="str">
        <f>IF(Tabel1[[#This Row],[% uren 3:]]="","",Tabel1[[#This Row],[% uren 3:]]*Tabel1[[#This Row],[Totale uren:]])</f>
        <v/>
      </c>
      <c r="P906" s="138" t="str">
        <f>IF(Tabel1[[#This Row],[Ordernummer:]]="","",SUM(Tabel1[[#This Row],[% uren 1:]],Tabel1[[#This Row],[% uren 2:]],Tabel1[[#This Row],[% uren 3:]]))</f>
        <v/>
      </c>
      <c r="Q906" s="127"/>
      <c r="R906" s="128"/>
      <c r="S906" s="44"/>
      <c r="T906" s="25"/>
    </row>
    <row r="907" spans="2:20" x14ac:dyDescent="0.25">
      <c r="B907" s="7"/>
      <c r="C907" s="10"/>
      <c r="D907" s="10"/>
      <c r="E907" s="72"/>
      <c r="F907" s="73"/>
      <c r="G907" s="72"/>
      <c r="H907" s="31"/>
      <c r="I907" s="85" t="str">
        <f>IF(Tabel1[[#This Row],[% uren 1:]]="","",Tabel1[[#This Row],[% uren 1:]]*Tabel1[[#This Row],[Totale uren:]])</f>
        <v/>
      </c>
      <c r="J907" s="68"/>
      <c r="K907" s="31"/>
      <c r="L907" s="86" t="str">
        <f>IF(Tabel1[[#This Row],[% uren 2:]]="","",Tabel1[[#This Row],[% uren 2:]]*Tabel1[[#This Row],[Totale uren:]])</f>
        <v/>
      </c>
      <c r="M907" s="72"/>
      <c r="N907" s="31"/>
      <c r="O907" s="85" t="str">
        <f>IF(Tabel1[[#This Row],[% uren 3:]]="","",Tabel1[[#This Row],[% uren 3:]]*Tabel1[[#This Row],[Totale uren:]])</f>
        <v/>
      </c>
      <c r="P907" s="138" t="str">
        <f>IF(Tabel1[[#This Row],[Ordernummer:]]="","",SUM(Tabel1[[#This Row],[% uren 1:]],Tabel1[[#This Row],[% uren 2:]],Tabel1[[#This Row],[% uren 3:]]))</f>
        <v/>
      </c>
      <c r="Q907" s="127"/>
      <c r="R907" s="128"/>
      <c r="S907" s="44"/>
      <c r="T907" s="25"/>
    </row>
    <row r="908" spans="2:20" x14ac:dyDescent="0.25">
      <c r="B908" s="7"/>
      <c r="C908" s="10"/>
      <c r="D908" s="10"/>
      <c r="E908" s="72"/>
      <c r="F908" s="73"/>
      <c r="G908" s="72"/>
      <c r="H908" s="31"/>
      <c r="I908" s="85" t="str">
        <f>IF(Tabel1[[#This Row],[% uren 1:]]="","",Tabel1[[#This Row],[% uren 1:]]*Tabel1[[#This Row],[Totale uren:]])</f>
        <v/>
      </c>
      <c r="J908" s="68"/>
      <c r="K908" s="31"/>
      <c r="L908" s="86" t="str">
        <f>IF(Tabel1[[#This Row],[% uren 2:]]="","",Tabel1[[#This Row],[% uren 2:]]*Tabel1[[#This Row],[Totale uren:]])</f>
        <v/>
      </c>
      <c r="M908" s="72"/>
      <c r="N908" s="31"/>
      <c r="O908" s="85" t="str">
        <f>IF(Tabel1[[#This Row],[% uren 3:]]="","",Tabel1[[#This Row],[% uren 3:]]*Tabel1[[#This Row],[Totale uren:]])</f>
        <v/>
      </c>
      <c r="P908" s="138" t="str">
        <f>IF(Tabel1[[#This Row],[Ordernummer:]]="","",SUM(Tabel1[[#This Row],[% uren 1:]],Tabel1[[#This Row],[% uren 2:]],Tabel1[[#This Row],[% uren 3:]]))</f>
        <v/>
      </c>
      <c r="Q908" s="127"/>
      <c r="R908" s="128"/>
      <c r="S908" s="44"/>
      <c r="T908" s="25"/>
    </row>
    <row r="909" spans="2:20" x14ac:dyDescent="0.25">
      <c r="B909" s="7"/>
      <c r="C909" s="10"/>
      <c r="D909" s="10"/>
      <c r="E909" s="72"/>
      <c r="F909" s="73"/>
      <c r="G909" s="72"/>
      <c r="H909" s="31"/>
      <c r="I909" s="85" t="str">
        <f>IF(Tabel1[[#This Row],[% uren 1:]]="","",Tabel1[[#This Row],[% uren 1:]]*Tabel1[[#This Row],[Totale uren:]])</f>
        <v/>
      </c>
      <c r="J909" s="68"/>
      <c r="K909" s="31"/>
      <c r="L909" s="86" t="str">
        <f>IF(Tabel1[[#This Row],[% uren 2:]]="","",Tabel1[[#This Row],[% uren 2:]]*Tabel1[[#This Row],[Totale uren:]])</f>
        <v/>
      </c>
      <c r="M909" s="72"/>
      <c r="N909" s="31"/>
      <c r="O909" s="85" t="str">
        <f>IF(Tabel1[[#This Row],[% uren 3:]]="","",Tabel1[[#This Row],[% uren 3:]]*Tabel1[[#This Row],[Totale uren:]])</f>
        <v/>
      </c>
      <c r="P909" s="138" t="str">
        <f>IF(Tabel1[[#This Row],[Ordernummer:]]="","",SUM(Tabel1[[#This Row],[% uren 1:]],Tabel1[[#This Row],[% uren 2:]],Tabel1[[#This Row],[% uren 3:]]))</f>
        <v/>
      </c>
      <c r="Q909" s="127"/>
      <c r="R909" s="128"/>
      <c r="S909" s="44"/>
      <c r="T909" s="25"/>
    </row>
    <row r="910" spans="2:20" x14ac:dyDescent="0.25">
      <c r="B910" s="7"/>
      <c r="C910" s="10"/>
      <c r="D910" s="10"/>
      <c r="E910" s="72"/>
      <c r="F910" s="73"/>
      <c r="G910" s="72"/>
      <c r="H910" s="31"/>
      <c r="I910" s="85" t="str">
        <f>IF(Tabel1[[#This Row],[% uren 1:]]="","",Tabel1[[#This Row],[% uren 1:]]*Tabel1[[#This Row],[Totale uren:]])</f>
        <v/>
      </c>
      <c r="J910" s="68"/>
      <c r="K910" s="31"/>
      <c r="L910" s="86" t="str">
        <f>IF(Tabel1[[#This Row],[% uren 2:]]="","",Tabel1[[#This Row],[% uren 2:]]*Tabel1[[#This Row],[Totale uren:]])</f>
        <v/>
      </c>
      <c r="M910" s="72"/>
      <c r="N910" s="31"/>
      <c r="O910" s="85" t="str">
        <f>IF(Tabel1[[#This Row],[% uren 3:]]="","",Tabel1[[#This Row],[% uren 3:]]*Tabel1[[#This Row],[Totale uren:]])</f>
        <v/>
      </c>
      <c r="P910" s="138" t="str">
        <f>IF(Tabel1[[#This Row],[Ordernummer:]]="","",SUM(Tabel1[[#This Row],[% uren 1:]],Tabel1[[#This Row],[% uren 2:]],Tabel1[[#This Row],[% uren 3:]]))</f>
        <v/>
      </c>
      <c r="Q910" s="127"/>
      <c r="R910" s="128"/>
      <c r="S910" s="44"/>
      <c r="T910" s="25"/>
    </row>
    <row r="911" spans="2:20" x14ac:dyDescent="0.25">
      <c r="B911" s="7"/>
      <c r="C911" s="10"/>
      <c r="D911" s="10"/>
      <c r="E911" s="72"/>
      <c r="F911" s="73"/>
      <c r="G911" s="72"/>
      <c r="H911" s="31"/>
      <c r="I911" s="85" t="str">
        <f>IF(Tabel1[[#This Row],[% uren 1:]]="","",Tabel1[[#This Row],[% uren 1:]]*Tabel1[[#This Row],[Totale uren:]])</f>
        <v/>
      </c>
      <c r="J911" s="68"/>
      <c r="K911" s="31"/>
      <c r="L911" s="86" t="str">
        <f>IF(Tabel1[[#This Row],[% uren 2:]]="","",Tabel1[[#This Row],[% uren 2:]]*Tabel1[[#This Row],[Totale uren:]])</f>
        <v/>
      </c>
      <c r="M911" s="72"/>
      <c r="N911" s="31"/>
      <c r="O911" s="85" t="str">
        <f>IF(Tabel1[[#This Row],[% uren 3:]]="","",Tabel1[[#This Row],[% uren 3:]]*Tabel1[[#This Row],[Totale uren:]])</f>
        <v/>
      </c>
      <c r="P911" s="138" t="str">
        <f>IF(Tabel1[[#This Row],[Ordernummer:]]="","",SUM(Tabel1[[#This Row],[% uren 1:]],Tabel1[[#This Row],[% uren 2:]],Tabel1[[#This Row],[% uren 3:]]))</f>
        <v/>
      </c>
      <c r="Q911" s="127"/>
      <c r="R911" s="128"/>
      <c r="S911" s="44"/>
      <c r="T911" s="25"/>
    </row>
    <row r="912" spans="2:20" x14ac:dyDescent="0.25">
      <c r="B912" s="7"/>
      <c r="C912" s="10"/>
      <c r="D912" s="10"/>
      <c r="E912" s="72"/>
      <c r="F912" s="73"/>
      <c r="G912" s="72"/>
      <c r="H912" s="31"/>
      <c r="I912" s="85" t="str">
        <f>IF(Tabel1[[#This Row],[% uren 1:]]="","",Tabel1[[#This Row],[% uren 1:]]*Tabel1[[#This Row],[Totale uren:]])</f>
        <v/>
      </c>
      <c r="J912" s="68"/>
      <c r="K912" s="31"/>
      <c r="L912" s="86" t="str">
        <f>IF(Tabel1[[#This Row],[% uren 2:]]="","",Tabel1[[#This Row],[% uren 2:]]*Tabel1[[#This Row],[Totale uren:]])</f>
        <v/>
      </c>
      <c r="M912" s="72"/>
      <c r="N912" s="31"/>
      <c r="O912" s="85" t="str">
        <f>IF(Tabel1[[#This Row],[% uren 3:]]="","",Tabel1[[#This Row],[% uren 3:]]*Tabel1[[#This Row],[Totale uren:]])</f>
        <v/>
      </c>
      <c r="P912" s="138" t="str">
        <f>IF(Tabel1[[#This Row],[Ordernummer:]]="","",SUM(Tabel1[[#This Row],[% uren 1:]],Tabel1[[#This Row],[% uren 2:]],Tabel1[[#This Row],[% uren 3:]]))</f>
        <v/>
      </c>
      <c r="Q912" s="127"/>
      <c r="R912" s="128"/>
      <c r="S912" s="44"/>
      <c r="T912" s="25"/>
    </row>
    <row r="913" spans="2:20" x14ac:dyDescent="0.25">
      <c r="B913" s="7"/>
      <c r="C913" s="10"/>
      <c r="D913" s="10"/>
      <c r="E913" s="72"/>
      <c r="F913" s="73"/>
      <c r="G913" s="72"/>
      <c r="H913" s="31"/>
      <c r="I913" s="85" t="str">
        <f>IF(Tabel1[[#This Row],[% uren 1:]]="","",Tabel1[[#This Row],[% uren 1:]]*Tabel1[[#This Row],[Totale uren:]])</f>
        <v/>
      </c>
      <c r="J913" s="68"/>
      <c r="K913" s="31"/>
      <c r="L913" s="86" t="str">
        <f>IF(Tabel1[[#This Row],[% uren 2:]]="","",Tabel1[[#This Row],[% uren 2:]]*Tabel1[[#This Row],[Totale uren:]])</f>
        <v/>
      </c>
      <c r="M913" s="72"/>
      <c r="N913" s="31"/>
      <c r="O913" s="85" t="str">
        <f>IF(Tabel1[[#This Row],[% uren 3:]]="","",Tabel1[[#This Row],[% uren 3:]]*Tabel1[[#This Row],[Totale uren:]])</f>
        <v/>
      </c>
      <c r="P913" s="138" t="str">
        <f>IF(Tabel1[[#This Row],[Ordernummer:]]="","",SUM(Tabel1[[#This Row],[% uren 1:]],Tabel1[[#This Row],[% uren 2:]],Tabel1[[#This Row],[% uren 3:]]))</f>
        <v/>
      </c>
      <c r="Q913" s="127"/>
      <c r="R913" s="128"/>
      <c r="S913" s="44"/>
      <c r="T913" s="25"/>
    </row>
    <row r="914" spans="2:20" x14ac:dyDescent="0.25">
      <c r="B914" s="7"/>
      <c r="C914" s="10"/>
      <c r="D914" s="10"/>
      <c r="E914" s="72"/>
      <c r="F914" s="73"/>
      <c r="G914" s="72"/>
      <c r="H914" s="31"/>
      <c r="I914" s="85" t="str">
        <f>IF(Tabel1[[#This Row],[% uren 1:]]="","",Tabel1[[#This Row],[% uren 1:]]*Tabel1[[#This Row],[Totale uren:]])</f>
        <v/>
      </c>
      <c r="J914" s="68"/>
      <c r="K914" s="31"/>
      <c r="L914" s="86" t="str">
        <f>IF(Tabel1[[#This Row],[% uren 2:]]="","",Tabel1[[#This Row],[% uren 2:]]*Tabel1[[#This Row],[Totale uren:]])</f>
        <v/>
      </c>
      <c r="M914" s="72"/>
      <c r="N914" s="31"/>
      <c r="O914" s="85" t="str">
        <f>IF(Tabel1[[#This Row],[% uren 3:]]="","",Tabel1[[#This Row],[% uren 3:]]*Tabel1[[#This Row],[Totale uren:]])</f>
        <v/>
      </c>
      <c r="P914" s="138" t="str">
        <f>IF(Tabel1[[#This Row],[Ordernummer:]]="","",SUM(Tabel1[[#This Row],[% uren 1:]],Tabel1[[#This Row],[% uren 2:]],Tabel1[[#This Row],[% uren 3:]]))</f>
        <v/>
      </c>
      <c r="Q914" s="127"/>
      <c r="R914" s="128"/>
      <c r="S914" s="44"/>
      <c r="T914" s="25"/>
    </row>
    <row r="915" spans="2:20" x14ac:dyDescent="0.25">
      <c r="B915" s="7"/>
      <c r="C915" s="10"/>
      <c r="D915" s="10"/>
      <c r="E915" s="72"/>
      <c r="F915" s="73"/>
      <c r="G915" s="72"/>
      <c r="H915" s="31"/>
      <c r="I915" s="85" t="str">
        <f>IF(Tabel1[[#This Row],[% uren 1:]]="","",Tabel1[[#This Row],[% uren 1:]]*Tabel1[[#This Row],[Totale uren:]])</f>
        <v/>
      </c>
      <c r="J915" s="68"/>
      <c r="K915" s="31"/>
      <c r="L915" s="86" t="str">
        <f>IF(Tabel1[[#This Row],[% uren 2:]]="","",Tabel1[[#This Row],[% uren 2:]]*Tabel1[[#This Row],[Totale uren:]])</f>
        <v/>
      </c>
      <c r="M915" s="72"/>
      <c r="N915" s="31"/>
      <c r="O915" s="85" t="str">
        <f>IF(Tabel1[[#This Row],[% uren 3:]]="","",Tabel1[[#This Row],[% uren 3:]]*Tabel1[[#This Row],[Totale uren:]])</f>
        <v/>
      </c>
      <c r="P915" s="138" t="str">
        <f>IF(Tabel1[[#This Row],[Ordernummer:]]="","",SUM(Tabel1[[#This Row],[% uren 1:]],Tabel1[[#This Row],[% uren 2:]],Tabel1[[#This Row],[% uren 3:]]))</f>
        <v/>
      </c>
      <c r="Q915" s="127"/>
      <c r="R915" s="128"/>
      <c r="S915" s="44"/>
      <c r="T915" s="25"/>
    </row>
    <row r="916" spans="2:20" x14ac:dyDescent="0.25">
      <c r="B916" s="7"/>
      <c r="C916" s="10"/>
      <c r="D916" s="10"/>
      <c r="E916" s="72"/>
      <c r="F916" s="73"/>
      <c r="G916" s="72"/>
      <c r="H916" s="31"/>
      <c r="I916" s="85" t="str">
        <f>IF(Tabel1[[#This Row],[% uren 1:]]="","",Tabel1[[#This Row],[% uren 1:]]*Tabel1[[#This Row],[Totale uren:]])</f>
        <v/>
      </c>
      <c r="J916" s="68"/>
      <c r="K916" s="31"/>
      <c r="L916" s="86" t="str">
        <f>IF(Tabel1[[#This Row],[% uren 2:]]="","",Tabel1[[#This Row],[% uren 2:]]*Tabel1[[#This Row],[Totale uren:]])</f>
        <v/>
      </c>
      <c r="M916" s="72"/>
      <c r="N916" s="31"/>
      <c r="O916" s="85" t="str">
        <f>IF(Tabel1[[#This Row],[% uren 3:]]="","",Tabel1[[#This Row],[% uren 3:]]*Tabel1[[#This Row],[Totale uren:]])</f>
        <v/>
      </c>
      <c r="P916" s="138" t="str">
        <f>IF(Tabel1[[#This Row],[Ordernummer:]]="","",SUM(Tabel1[[#This Row],[% uren 1:]],Tabel1[[#This Row],[% uren 2:]],Tabel1[[#This Row],[% uren 3:]]))</f>
        <v/>
      </c>
      <c r="Q916" s="127"/>
      <c r="R916" s="128"/>
      <c r="S916" s="44"/>
      <c r="T916" s="25"/>
    </row>
    <row r="917" spans="2:20" x14ac:dyDescent="0.25">
      <c r="B917" s="7"/>
      <c r="C917" s="10"/>
      <c r="D917" s="10"/>
      <c r="E917" s="72"/>
      <c r="F917" s="73"/>
      <c r="G917" s="72"/>
      <c r="H917" s="31"/>
      <c r="I917" s="85" t="str">
        <f>IF(Tabel1[[#This Row],[% uren 1:]]="","",Tabel1[[#This Row],[% uren 1:]]*Tabel1[[#This Row],[Totale uren:]])</f>
        <v/>
      </c>
      <c r="J917" s="68"/>
      <c r="K917" s="31"/>
      <c r="L917" s="86" t="str">
        <f>IF(Tabel1[[#This Row],[% uren 2:]]="","",Tabel1[[#This Row],[% uren 2:]]*Tabel1[[#This Row],[Totale uren:]])</f>
        <v/>
      </c>
      <c r="M917" s="72"/>
      <c r="N917" s="31"/>
      <c r="O917" s="85" t="str">
        <f>IF(Tabel1[[#This Row],[% uren 3:]]="","",Tabel1[[#This Row],[% uren 3:]]*Tabel1[[#This Row],[Totale uren:]])</f>
        <v/>
      </c>
      <c r="P917" s="138" t="str">
        <f>IF(Tabel1[[#This Row],[Ordernummer:]]="","",SUM(Tabel1[[#This Row],[% uren 1:]],Tabel1[[#This Row],[% uren 2:]],Tabel1[[#This Row],[% uren 3:]]))</f>
        <v/>
      </c>
      <c r="Q917" s="127"/>
      <c r="R917" s="128"/>
      <c r="S917" s="44"/>
      <c r="T917" s="25"/>
    </row>
    <row r="918" spans="2:20" x14ac:dyDescent="0.25">
      <c r="B918" s="7"/>
      <c r="C918" s="10"/>
      <c r="D918" s="10"/>
      <c r="E918" s="72"/>
      <c r="F918" s="73"/>
      <c r="G918" s="72"/>
      <c r="H918" s="31"/>
      <c r="I918" s="85" t="str">
        <f>IF(Tabel1[[#This Row],[% uren 1:]]="","",Tabel1[[#This Row],[% uren 1:]]*Tabel1[[#This Row],[Totale uren:]])</f>
        <v/>
      </c>
      <c r="J918" s="68"/>
      <c r="K918" s="31"/>
      <c r="L918" s="86" t="str">
        <f>IF(Tabel1[[#This Row],[% uren 2:]]="","",Tabel1[[#This Row],[% uren 2:]]*Tabel1[[#This Row],[Totale uren:]])</f>
        <v/>
      </c>
      <c r="M918" s="72"/>
      <c r="N918" s="31"/>
      <c r="O918" s="85" t="str">
        <f>IF(Tabel1[[#This Row],[% uren 3:]]="","",Tabel1[[#This Row],[% uren 3:]]*Tabel1[[#This Row],[Totale uren:]])</f>
        <v/>
      </c>
      <c r="P918" s="138" t="str">
        <f>IF(Tabel1[[#This Row],[Ordernummer:]]="","",SUM(Tabel1[[#This Row],[% uren 1:]],Tabel1[[#This Row],[% uren 2:]],Tabel1[[#This Row],[% uren 3:]]))</f>
        <v/>
      </c>
      <c r="Q918" s="127"/>
      <c r="R918" s="128"/>
      <c r="S918" s="44"/>
      <c r="T918" s="25"/>
    </row>
    <row r="919" spans="2:20" x14ac:dyDescent="0.25">
      <c r="B919" s="7"/>
      <c r="C919" s="10"/>
      <c r="D919" s="10"/>
      <c r="E919" s="72"/>
      <c r="F919" s="73"/>
      <c r="G919" s="72"/>
      <c r="H919" s="31"/>
      <c r="I919" s="85" t="str">
        <f>IF(Tabel1[[#This Row],[% uren 1:]]="","",Tabel1[[#This Row],[% uren 1:]]*Tabel1[[#This Row],[Totale uren:]])</f>
        <v/>
      </c>
      <c r="J919" s="68"/>
      <c r="K919" s="31"/>
      <c r="L919" s="86" t="str">
        <f>IF(Tabel1[[#This Row],[% uren 2:]]="","",Tabel1[[#This Row],[% uren 2:]]*Tabel1[[#This Row],[Totale uren:]])</f>
        <v/>
      </c>
      <c r="M919" s="72"/>
      <c r="N919" s="31"/>
      <c r="O919" s="85" t="str">
        <f>IF(Tabel1[[#This Row],[% uren 3:]]="","",Tabel1[[#This Row],[% uren 3:]]*Tabel1[[#This Row],[Totale uren:]])</f>
        <v/>
      </c>
      <c r="P919" s="138" t="str">
        <f>IF(Tabel1[[#This Row],[Ordernummer:]]="","",SUM(Tabel1[[#This Row],[% uren 1:]],Tabel1[[#This Row],[% uren 2:]],Tabel1[[#This Row],[% uren 3:]]))</f>
        <v/>
      </c>
      <c r="Q919" s="127"/>
      <c r="R919" s="128"/>
      <c r="S919" s="44"/>
      <c r="T919" s="25"/>
    </row>
    <row r="920" spans="2:20" x14ac:dyDescent="0.25">
      <c r="B920" s="7"/>
      <c r="C920" s="10"/>
      <c r="D920" s="10"/>
      <c r="E920" s="72"/>
      <c r="F920" s="73"/>
      <c r="G920" s="72"/>
      <c r="H920" s="31"/>
      <c r="I920" s="85" t="str">
        <f>IF(Tabel1[[#This Row],[% uren 1:]]="","",Tabel1[[#This Row],[% uren 1:]]*Tabel1[[#This Row],[Totale uren:]])</f>
        <v/>
      </c>
      <c r="J920" s="68"/>
      <c r="K920" s="31"/>
      <c r="L920" s="86" t="str">
        <f>IF(Tabel1[[#This Row],[% uren 2:]]="","",Tabel1[[#This Row],[% uren 2:]]*Tabel1[[#This Row],[Totale uren:]])</f>
        <v/>
      </c>
      <c r="M920" s="72"/>
      <c r="N920" s="31"/>
      <c r="O920" s="85" t="str">
        <f>IF(Tabel1[[#This Row],[% uren 3:]]="","",Tabel1[[#This Row],[% uren 3:]]*Tabel1[[#This Row],[Totale uren:]])</f>
        <v/>
      </c>
      <c r="P920" s="138" t="str">
        <f>IF(Tabel1[[#This Row],[Ordernummer:]]="","",SUM(Tabel1[[#This Row],[% uren 1:]],Tabel1[[#This Row],[% uren 2:]],Tabel1[[#This Row],[% uren 3:]]))</f>
        <v/>
      </c>
      <c r="Q920" s="127"/>
      <c r="R920" s="128"/>
      <c r="S920" s="44"/>
      <c r="T920" s="25"/>
    </row>
    <row r="921" spans="2:20" x14ac:dyDescent="0.25">
      <c r="B921" s="7"/>
      <c r="C921" s="10"/>
      <c r="D921" s="10"/>
      <c r="E921" s="72"/>
      <c r="F921" s="73"/>
      <c r="G921" s="72"/>
      <c r="H921" s="31"/>
      <c r="I921" s="85" t="str">
        <f>IF(Tabel1[[#This Row],[% uren 1:]]="","",Tabel1[[#This Row],[% uren 1:]]*Tabel1[[#This Row],[Totale uren:]])</f>
        <v/>
      </c>
      <c r="J921" s="68"/>
      <c r="K921" s="31"/>
      <c r="L921" s="86" t="str">
        <f>IF(Tabel1[[#This Row],[% uren 2:]]="","",Tabel1[[#This Row],[% uren 2:]]*Tabel1[[#This Row],[Totale uren:]])</f>
        <v/>
      </c>
      <c r="M921" s="72"/>
      <c r="N921" s="31"/>
      <c r="O921" s="85" t="str">
        <f>IF(Tabel1[[#This Row],[% uren 3:]]="","",Tabel1[[#This Row],[% uren 3:]]*Tabel1[[#This Row],[Totale uren:]])</f>
        <v/>
      </c>
      <c r="P921" s="138" t="str">
        <f>IF(Tabel1[[#This Row],[Ordernummer:]]="","",SUM(Tabel1[[#This Row],[% uren 1:]],Tabel1[[#This Row],[% uren 2:]],Tabel1[[#This Row],[% uren 3:]]))</f>
        <v/>
      </c>
      <c r="Q921" s="127"/>
      <c r="R921" s="128"/>
      <c r="S921" s="44"/>
      <c r="T921" s="25"/>
    </row>
    <row r="922" spans="2:20" x14ac:dyDescent="0.25">
      <c r="B922" s="7"/>
      <c r="C922" s="10"/>
      <c r="D922" s="10"/>
      <c r="E922" s="72"/>
      <c r="F922" s="73"/>
      <c r="G922" s="72"/>
      <c r="H922" s="31"/>
      <c r="I922" s="85" t="str">
        <f>IF(Tabel1[[#This Row],[% uren 1:]]="","",Tabel1[[#This Row],[% uren 1:]]*Tabel1[[#This Row],[Totale uren:]])</f>
        <v/>
      </c>
      <c r="J922" s="68"/>
      <c r="K922" s="31"/>
      <c r="L922" s="86" t="str">
        <f>IF(Tabel1[[#This Row],[% uren 2:]]="","",Tabel1[[#This Row],[% uren 2:]]*Tabel1[[#This Row],[Totale uren:]])</f>
        <v/>
      </c>
      <c r="M922" s="72"/>
      <c r="N922" s="31"/>
      <c r="O922" s="85" t="str">
        <f>IF(Tabel1[[#This Row],[% uren 3:]]="","",Tabel1[[#This Row],[% uren 3:]]*Tabel1[[#This Row],[Totale uren:]])</f>
        <v/>
      </c>
      <c r="P922" s="138" t="str">
        <f>IF(Tabel1[[#This Row],[Ordernummer:]]="","",SUM(Tabel1[[#This Row],[% uren 1:]],Tabel1[[#This Row],[% uren 2:]],Tabel1[[#This Row],[% uren 3:]]))</f>
        <v/>
      </c>
      <c r="Q922" s="127"/>
      <c r="R922" s="128"/>
      <c r="S922" s="44"/>
      <c r="T922" s="25"/>
    </row>
    <row r="923" spans="2:20" x14ac:dyDescent="0.25">
      <c r="B923" s="7"/>
      <c r="C923" s="10"/>
      <c r="D923" s="10"/>
      <c r="E923" s="72"/>
      <c r="F923" s="73"/>
      <c r="G923" s="72"/>
      <c r="H923" s="31"/>
      <c r="I923" s="85" t="str">
        <f>IF(Tabel1[[#This Row],[% uren 1:]]="","",Tabel1[[#This Row],[% uren 1:]]*Tabel1[[#This Row],[Totale uren:]])</f>
        <v/>
      </c>
      <c r="J923" s="68"/>
      <c r="K923" s="31"/>
      <c r="L923" s="86" t="str">
        <f>IF(Tabel1[[#This Row],[% uren 2:]]="","",Tabel1[[#This Row],[% uren 2:]]*Tabel1[[#This Row],[Totale uren:]])</f>
        <v/>
      </c>
      <c r="M923" s="72"/>
      <c r="N923" s="31"/>
      <c r="O923" s="85" t="str">
        <f>IF(Tabel1[[#This Row],[% uren 3:]]="","",Tabel1[[#This Row],[% uren 3:]]*Tabel1[[#This Row],[Totale uren:]])</f>
        <v/>
      </c>
      <c r="P923" s="138" t="str">
        <f>IF(Tabel1[[#This Row],[Ordernummer:]]="","",SUM(Tabel1[[#This Row],[% uren 1:]],Tabel1[[#This Row],[% uren 2:]],Tabel1[[#This Row],[% uren 3:]]))</f>
        <v/>
      </c>
      <c r="Q923" s="127"/>
      <c r="R923" s="128"/>
      <c r="S923" s="44"/>
      <c r="T923" s="25"/>
    </row>
    <row r="924" spans="2:20" x14ac:dyDescent="0.25">
      <c r="B924" s="7"/>
      <c r="C924" s="10"/>
      <c r="D924" s="10"/>
      <c r="E924" s="72"/>
      <c r="F924" s="73"/>
      <c r="G924" s="72"/>
      <c r="H924" s="31"/>
      <c r="I924" s="85" t="str">
        <f>IF(Tabel1[[#This Row],[% uren 1:]]="","",Tabel1[[#This Row],[% uren 1:]]*Tabel1[[#This Row],[Totale uren:]])</f>
        <v/>
      </c>
      <c r="J924" s="68"/>
      <c r="K924" s="31"/>
      <c r="L924" s="86" t="str">
        <f>IF(Tabel1[[#This Row],[% uren 2:]]="","",Tabel1[[#This Row],[% uren 2:]]*Tabel1[[#This Row],[Totale uren:]])</f>
        <v/>
      </c>
      <c r="M924" s="72"/>
      <c r="N924" s="31"/>
      <c r="O924" s="85" t="str">
        <f>IF(Tabel1[[#This Row],[% uren 3:]]="","",Tabel1[[#This Row],[% uren 3:]]*Tabel1[[#This Row],[Totale uren:]])</f>
        <v/>
      </c>
      <c r="P924" s="138" t="str">
        <f>IF(Tabel1[[#This Row],[Ordernummer:]]="","",SUM(Tabel1[[#This Row],[% uren 1:]],Tabel1[[#This Row],[% uren 2:]],Tabel1[[#This Row],[% uren 3:]]))</f>
        <v/>
      </c>
      <c r="Q924" s="127"/>
      <c r="R924" s="128"/>
      <c r="S924" s="44"/>
      <c r="T924" s="25"/>
    </row>
    <row r="925" spans="2:20" x14ac:dyDescent="0.25">
      <c r="B925" s="7"/>
      <c r="C925" s="10"/>
      <c r="D925" s="10"/>
      <c r="E925" s="72"/>
      <c r="F925" s="73"/>
      <c r="G925" s="72"/>
      <c r="H925" s="31"/>
      <c r="I925" s="85" t="str">
        <f>IF(Tabel1[[#This Row],[% uren 1:]]="","",Tabel1[[#This Row],[% uren 1:]]*Tabel1[[#This Row],[Totale uren:]])</f>
        <v/>
      </c>
      <c r="J925" s="68"/>
      <c r="K925" s="31"/>
      <c r="L925" s="86" t="str">
        <f>IF(Tabel1[[#This Row],[% uren 2:]]="","",Tabel1[[#This Row],[% uren 2:]]*Tabel1[[#This Row],[Totale uren:]])</f>
        <v/>
      </c>
      <c r="M925" s="72"/>
      <c r="N925" s="31"/>
      <c r="O925" s="85" t="str">
        <f>IF(Tabel1[[#This Row],[% uren 3:]]="","",Tabel1[[#This Row],[% uren 3:]]*Tabel1[[#This Row],[Totale uren:]])</f>
        <v/>
      </c>
      <c r="P925" s="138" t="str">
        <f>IF(Tabel1[[#This Row],[Ordernummer:]]="","",SUM(Tabel1[[#This Row],[% uren 1:]],Tabel1[[#This Row],[% uren 2:]],Tabel1[[#This Row],[% uren 3:]]))</f>
        <v/>
      </c>
      <c r="Q925" s="127"/>
      <c r="R925" s="128"/>
      <c r="S925" s="44"/>
      <c r="T925" s="25"/>
    </row>
    <row r="926" spans="2:20" x14ac:dyDescent="0.25">
      <c r="B926" s="7"/>
      <c r="C926" s="10"/>
      <c r="D926" s="10"/>
      <c r="E926" s="72"/>
      <c r="F926" s="73"/>
      <c r="G926" s="72"/>
      <c r="H926" s="31"/>
      <c r="I926" s="85" t="str">
        <f>IF(Tabel1[[#This Row],[% uren 1:]]="","",Tabel1[[#This Row],[% uren 1:]]*Tabel1[[#This Row],[Totale uren:]])</f>
        <v/>
      </c>
      <c r="J926" s="68"/>
      <c r="K926" s="31"/>
      <c r="L926" s="86" t="str">
        <f>IF(Tabel1[[#This Row],[% uren 2:]]="","",Tabel1[[#This Row],[% uren 2:]]*Tabel1[[#This Row],[Totale uren:]])</f>
        <v/>
      </c>
      <c r="M926" s="72"/>
      <c r="N926" s="31"/>
      <c r="O926" s="85" t="str">
        <f>IF(Tabel1[[#This Row],[% uren 3:]]="","",Tabel1[[#This Row],[% uren 3:]]*Tabel1[[#This Row],[Totale uren:]])</f>
        <v/>
      </c>
      <c r="P926" s="138" t="str">
        <f>IF(Tabel1[[#This Row],[Ordernummer:]]="","",SUM(Tabel1[[#This Row],[% uren 1:]],Tabel1[[#This Row],[% uren 2:]],Tabel1[[#This Row],[% uren 3:]]))</f>
        <v/>
      </c>
      <c r="Q926" s="127"/>
      <c r="R926" s="128"/>
      <c r="S926" s="44"/>
      <c r="T926" s="25"/>
    </row>
    <row r="927" spans="2:20" x14ac:dyDescent="0.25">
      <c r="B927" s="7"/>
      <c r="C927" s="10"/>
      <c r="D927" s="10"/>
      <c r="E927" s="72"/>
      <c r="F927" s="73"/>
      <c r="G927" s="72"/>
      <c r="H927" s="31"/>
      <c r="I927" s="85" t="str">
        <f>IF(Tabel1[[#This Row],[% uren 1:]]="","",Tabel1[[#This Row],[% uren 1:]]*Tabel1[[#This Row],[Totale uren:]])</f>
        <v/>
      </c>
      <c r="J927" s="68"/>
      <c r="K927" s="31"/>
      <c r="L927" s="86" t="str">
        <f>IF(Tabel1[[#This Row],[% uren 2:]]="","",Tabel1[[#This Row],[% uren 2:]]*Tabel1[[#This Row],[Totale uren:]])</f>
        <v/>
      </c>
      <c r="M927" s="72"/>
      <c r="N927" s="31"/>
      <c r="O927" s="85" t="str">
        <f>IF(Tabel1[[#This Row],[% uren 3:]]="","",Tabel1[[#This Row],[% uren 3:]]*Tabel1[[#This Row],[Totale uren:]])</f>
        <v/>
      </c>
      <c r="P927" s="138" t="str">
        <f>IF(Tabel1[[#This Row],[Ordernummer:]]="","",SUM(Tabel1[[#This Row],[% uren 1:]],Tabel1[[#This Row],[% uren 2:]],Tabel1[[#This Row],[% uren 3:]]))</f>
        <v/>
      </c>
      <c r="Q927" s="127"/>
      <c r="R927" s="128"/>
      <c r="S927" s="44"/>
      <c r="T927" s="25"/>
    </row>
    <row r="928" spans="2:20" x14ac:dyDescent="0.25">
      <c r="B928" s="7"/>
      <c r="C928" s="10"/>
      <c r="D928" s="10"/>
      <c r="E928" s="72"/>
      <c r="F928" s="73"/>
      <c r="G928" s="72"/>
      <c r="H928" s="31"/>
      <c r="I928" s="85" t="str">
        <f>IF(Tabel1[[#This Row],[% uren 1:]]="","",Tabel1[[#This Row],[% uren 1:]]*Tabel1[[#This Row],[Totale uren:]])</f>
        <v/>
      </c>
      <c r="J928" s="68"/>
      <c r="K928" s="31"/>
      <c r="L928" s="86" t="str">
        <f>IF(Tabel1[[#This Row],[% uren 2:]]="","",Tabel1[[#This Row],[% uren 2:]]*Tabel1[[#This Row],[Totale uren:]])</f>
        <v/>
      </c>
      <c r="M928" s="72"/>
      <c r="N928" s="31"/>
      <c r="O928" s="85" t="str">
        <f>IF(Tabel1[[#This Row],[% uren 3:]]="","",Tabel1[[#This Row],[% uren 3:]]*Tabel1[[#This Row],[Totale uren:]])</f>
        <v/>
      </c>
      <c r="P928" s="138" t="str">
        <f>IF(Tabel1[[#This Row],[Ordernummer:]]="","",SUM(Tabel1[[#This Row],[% uren 1:]],Tabel1[[#This Row],[% uren 2:]],Tabel1[[#This Row],[% uren 3:]]))</f>
        <v/>
      </c>
      <c r="Q928" s="127"/>
      <c r="R928" s="128"/>
      <c r="S928" s="44"/>
      <c r="T928" s="25"/>
    </row>
    <row r="929" spans="2:20" x14ac:dyDescent="0.25">
      <c r="B929" s="7"/>
      <c r="C929" s="10"/>
      <c r="D929" s="10"/>
      <c r="E929" s="72"/>
      <c r="F929" s="73"/>
      <c r="G929" s="72"/>
      <c r="H929" s="31"/>
      <c r="I929" s="85" t="str">
        <f>IF(Tabel1[[#This Row],[% uren 1:]]="","",Tabel1[[#This Row],[% uren 1:]]*Tabel1[[#This Row],[Totale uren:]])</f>
        <v/>
      </c>
      <c r="J929" s="68"/>
      <c r="K929" s="31"/>
      <c r="L929" s="86" t="str">
        <f>IF(Tabel1[[#This Row],[% uren 2:]]="","",Tabel1[[#This Row],[% uren 2:]]*Tabel1[[#This Row],[Totale uren:]])</f>
        <v/>
      </c>
      <c r="M929" s="72"/>
      <c r="N929" s="31"/>
      <c r="O929" s="85" t="str">
        <f>IF(Tabel1[[#This Row],[% uren 3:]]="","",Tabel1[[#This Row],[% uren 3:]]*Tabel1[[#This Row],[Totale uren:]])</f>
        <v/>
      </c>
      <c r="P929" s="138" t="str">
        <f>IF(Tabel1[[#This Row],[Ordernummer:]]="","",SUM(Tabel1[[#This Row],[% uren 1:]],Tabel1[[#This Row],[% uren 2:]],Tabel1[[#This Row],[% uren 3:]]))</f>
        <v/>
      </c>
      <c r="Q929" s="127"/>
      <c r="R929" s="128"/>
      <c r="S929" s="44"/>
      <c r="T929" s="25"/>
    </row>
    <row r="930" spans="2:20" x14ac:dyDescent="0.25">
      <c r="B930" s="7"/>
      <c r="C930" s="10"/>
      <c r="D930" s="10"/>
      <c r="E930" s="72"/>
      <c r="F930" s="73"/>
      <c r="G930" s="72"/>
      <c r="H930" s="31"/>
      <c r="I930" s="85" t="str">
        <f>IF(Tabel1[[#This Row],[% uren 1:]]="","",Tabel1[[#This Row],[% uren 1:]]*Tabel1[[#This Row],[Totale uren:]])</f>
        <v/>
      </c>
      <c r="J930" s="68"/>
      <c r="K930" s="31"/>
      <c r="L930" s="86" t="str">
        <f>IF(Tabel1[[#This Row],[% uren 2:]]="","",Tabel1[[#This Row],[% uren 2:]]*Tabel1[[#This Row],[Totale uren:]])</f>
        <v/>
      </c>
      <c r="M930" s="72"/>
      <c r="N930" s="31"/>
      <c r="O930" s="85" t="str">
        <f>IF(Tabel1[[#This Row],[% uren 3:]]="","",Tabel1[[#This Row],[% uren 3:]]*Tabel1[[#This Row],[Totale uren:]])</f>
        <v/>
      </c>
      <c r="P930" s="138" t="str">
        <f>IF(Tabel1[[#This Row],[Ordernummer:]]="","",SUM(Tabel1[[#This Row],[% uren 1:]],Tabel1[[#This Row],[% uren 2:]],Tabel1[[#This Row],[% uren 3:]]))</f>
        <v/>
      </c>
      <c r="Q930" s="127"/>
      <c r="R930" s="128"/>
      <c r="S930" s="44"/>
      <c r="T930" s="25"/>
    </row>
    <row r="931" spans="2:20" x14ac:dyDescent="0.25">
      <c r="B931" s="7"/>
      <c r="C931" s="10"/>
      <c r="D931" s="10"/>
      <c r="E931" s="72"/>
      <c r="F931" s="73"/>
      <c r="G931" s="72"/>
      <c r="H931" s="31"/>
      <c r="I931" s="85" t="str">
        <f>IF(Tabel1[[#This Row],[% uren 1:]]="","",Tabel1[[#This Row],[% uren 1:]]*Tabel1[[#This Row],[Totale uren:]])</f>
        <v/>
      </c>
      <c r="J931" s="68"/>
      <c r="K931" s="31"/>
      <c r="L931" s="86" t="str">
        <f>IF(Tabel1[[#This Row],[% uren 2:]]="","",Tabel1[[#This Row],[% uren 2:]]*Tabel1[[#This Row],[Totale uren:]])</f>
        <v/>
      </c>
      <c r="M931" s="72"/>
      <c r="N931" s="31"/>
      <c r="O931" s="85" t="str">
        <f>IF(Tabel1[[#This Row],[% uren 3:]]="","",Tabel1[[#This Row],[% uren 3:]]*Tabel1[[#This Row],[Totale uren:]])</f>
        <v/>
      </c>
      <c r="P931" s="138" t="str">
        <f>IF(Tabel1[[#This Row],[Ordernummer:]]="","",SUM(Tabel1[[#This Row],[% uren 1:]],Tabel1[[#This Row],[% uren 2:]],Tabel1[[#This Row],[% uren 3:]]))</f>
        <v/>
      </c>
      <c r="Q931" s="127"/>
      <c r="R931" s="128"/>
      <c r="S931" s="44"/>
      <c r="T931" s="25"/>
    </row>
    <row r="932" spans="2:20" x14ac:dyDescent="0.25">
      <c r="B932" s="7"/>
      <c r="C932" s="10"/>
      <c r="D932" s="10"/>
      <c r="E932" s="72"/>
      <c r="F932" s="73"/>
      <c r="G932" s="72"/>
      <c r="H932" s="31"/>
      <c r="I932" s="85" t="str">
        <f>IF(Tabel1[[#This Row],[% uren 1:]]="","",Tabel1[[#This Row],[% uren 1:]]*Tabel1[[#This Row],[Totale uren:]])</f>
        <v/>
      </c>
      <c r="J932" s="68"/>
      <c r="K932" s="31"/>
      <c r="L932" s="86" t="str">
        <f>IF(Tabel1[[#This Row],[% uren 2:]]="","",Tabel1[[#This Row],[% uren 2:]]*Tabel1[[#This Row],[Totale uren:]])</f>
        <v/>
      </c>
      <c r="M932" s="72"/>
      <c r="N932" s="31"/>
      <c r="O932" s="85" t="str">
        <f>IF(Tabel1[[#This Row],[% uren 3:]]="","",Tabel1[[#This Row],[% uren 3:]]*Tabel1[[#This Row],[Totale uren:]])</f>
        <v/>
      </c>
      <c r="P932" s="138" t="str">
        <f>IF(Tabel1[[#This Row],[Ordernummer:]]="","",SUM(Tabel1[[#This Row],[% uren 1:]],Tabel1[[#This Row],[% uren 2:]],Tabel1[[#This Row],[% uren 3:]]))</f>
        <v/>
      </c>
      <c r="Q932" s="127"/>
      <c r="R932" s="128"/>
      <c r="S932" s="44"/>
      <c r="T932" s="25"/>
    </row>
    <row r="933" spans="2:20" x14ac:dyDescent="0.25">
      <c r="B933" s="7"/>
      <c r="C933" s="10"/>
      <c r="D933" s="10"/>
      <c r="E933" s="72"/>
      <c r="F933" s="73"/>
      <c r="G933" s="72"/>
      <c r="H933" s="31"/>
      <c r="I933" s="85" t="str">
        <f>IF(Tabel1[[#This Row],[% uren 1:]]="","",Tabel1[[#This Row],[% uren 1:]]*Tabel1[[#This Row],[Totale uren:]])</f>
        <v/>
      </c>
      <c r="J933" s="68"/>
      <c r="K933" s="31"/>
      <c r="L933" s="86" t="str">
        <f>IF(Tabel1[[#This Row],[% uren 2:]]="","",Tabel1[[#This Row],[% uren 2:]]*Tabel1[[#This Row],[Totale uren:]])</f>
        <v/>
      </c>
      <c r="M933" s="72"/>
      <c r="N933" s="31"/>
      <c r="O933" s="85" t="str">
        <f>IF(Tabel1[[#This Row],[% uren 3:]]="","",Tabel1[[#This Row],[% uren 3:]]*Tabel1[[#This Row],[Totale uren:]])</f>
        <v/>
      </c>
      <c r="P933" s="138" t="str">
        <f>IF(Tabel1[[#This Row],[Ordernummer:]]="","",SUM(Tabel1[[#This Row],[% uren 1:]],Tabel1[[#This Row],[% uren 2:]],Tabel1[[#This Row],[% uren 3:]]))</f>
        <v/>
      </c>
      <c r="Q933" s="127"/>
      <c r="R933" s="128"/>
      <c r="S933" s="44"/>
      <c r="T933" s="25"/>
    </row>
    <row r="934" spans="2:20" x14ac:dyDescent="0.25">
      <c r="B934" s="7"/>
      <c r="C934" s="10"/>
      <c r="D934" s="10"/>
      <c r="E934" s="72"/>
      <c r="F934" s="73"/>
      <c r="G934" s="72"/>
      <c r="H934" s="31"/>
      <c r="I934" s="85" t="str">
        <f>IF(Tabel1[[#This Row],[% uren 1:]]="","",Tabel1[[#This Row],[% uren 1:]]*Tabel1[[#This Row],[Totale uren:]])</f>
        <v/>
      </c>
      <c r="J934" s="68"/>
      <c r="K934" s="31"/>
      <c r="L934" s="86" t="str">
        <f>IF(Tabel1[[#This Row],[% uren 2:]]="","",Tabel1[[#This Row],[% uren 2:]]*Tabel1[[#This Row],[Totale uren:]])</f>
        <v/>
      </c>
      <c r="M934" s="72"/>
      <c r="N934" s="31"/>
      <c r="O934" s="85" t="str">
        <f>IF(Tabel1[[#This Row],[% uren 3:]]="","",Tabel1[[#This Row],[% uren 3:]]*Tabel1[[#This Row],[Totale uren:]])</f>
        <v/>
      </c>
      <c r="P934" s="138" t="str">
        <f>IF(Tabel1[[#This Row],[Ordernummer:]]="","",SUM(Tabel1[[#This Row],[% uren 1:]],Tabel1[[#This Row],[% uren 2:]],Tabel1[[#This Row],[% uren 3:]]))</f>
        <v/>
      </c>
      <c r="Q934" s="127"/>
      <c r="R934" s="128"/>
      <c r="S934" s="44"/>
      <c r="T934" s="25"/>
    </row>
    <row r="935" spans="2:20" x14ac:dyDescent="0.25">
      <c r="B935" s="7"/>
      <c r="C935" s="10"/>
      <c r="D935" s="10"/>
      <c r="E935" s="72"/>
      <c r="F935" s="73"/>
      <c r="G935" s="72"/>
      <c r="H935" s="31"/>
      <c r="I935" s="85" t="str">
        <f>IF(Tabel1[[#This Row],[% uren 1:]]="","",Tabel1[[#This Row],[% uren 1:]]*Tabel1[[#This Row],[Totale uren:]])</f>
        <v/>
      </c>
      <c r="J935" s="68"/>
      <c r="K935" s="31"/>
      <c r="L935" s="86" t="str">
        <f>IF(Tabel1[[#This Row],[% uren 2:]]="","",Tabel1[[#This Row],[% uren 2:]]*Tabel1[[#This Row],[Totale uren:]])</f>
        <v/>
      </c>
      <c r="M935" s="72"/>
      <c r="N935" s="31"/>
      <c r="O935" s="85" t="str">
        <f>IF(Tabel1[[#This Row],[% uren 3:]]="","",Tabel1[[#This Row],[% uren 3:]]*Tabel1[[#This Row],[Totale uren:]])</f>
        <v/>
      </c>
      <c r="P935" s="138" t="str">
        <f>IF(Tabel1[[#This Row],[Ordernummer:]]="","",SUM(Tabel1[[#This Row],[% uren 1:]],Tabel1[[#This Row],[% uren 2:]],Tabel1[[#This Row],[% uren 3:]]))</f>
        <v/>
      </c>
      <c r="Q935" s="127"/>
      <c r="R935" s="128"/>
      <c r="S935" s="44"/>
      <c r="T935" s="25"/>
    </row>
    <row r="936" spans="2:20" x14ac:dyDescent="0.25">
      <c r="B936" s="7"/>
      <c r="C936" s="10"/>
      <c r="D936" s="10"/>
      <c r="E936" s="72"/>
      <c r="F936" s="73"/>
      <c r="G936" s="72"/>
      <c r="H936" s="31"/>
      <c r="I936" s="85" t="str">
        <f>IF(Tabel1[[#This Row],[% uren 1:]]="","",Tabel1[[#This Row],[% uren 1:]]*Tabel1[[#This Row],[Totale uren:]])</f>
        <v/>
      </c>
      <c r="J936" s="68"/>
      <c r="K936" s="31"/>
      <c r="L936" s="86" t="str">
        <f>IF(Tabel1[[#This Row],[% uren 2:]]="","",Tabel1[[#This Row],[% uren 2:]]*Tabel1[[#This Row],[Totale uren:]])</f>
        <v/>
      </c>
      <c r="M936" s="72"/>
      <c r="N936" s="31"/>
      <c r="O936" s="85" t="str">
        <f>IF(Tabel1[[#This Row],[% uren 3:]]="","",Tabel1[[#This Row],[% uren 3:]]*Tabel1[[#This Row],[Totale uren:]])</f>
        <v/>
      </c>
      <c r="P936" s="138" t="str">
        <f>IF(Tabel1[[#This Row],[Ordernummer:]]="","",SUM(Tabel1[[#This Row],[% uren 1:]],Tabel1[[#This Row],[% uren 2:]],Tabel1[[#This Row],[% uren 3:]]))</f>
        <v/>
      </c>
      <c r="Q936" s="127"/>
      <c r="R936" s="128"/>
      <c r="S936" s="44"/>
      <c r="T936" s="25"/>
    </row>
    <row r="937" spans="2:20" x14ac:dyDescent="0.25">
      <c r="B937" s="7"/>
      <c r="C937" s="10"/>
      <c r="D937" s="10"/>
      <c r="E937" s="72"/>
      <c r="F937" s="73"/>
      <c r="G937" s="72"/>
      <c r="H937" s="31"/>
      <c r="I937" s="85" t="str">
        <f>IF(Tabel1[[#This Row],[% uren 1:]]="","",Tabel1[[#This Row],[% uren 1:]]*Tabel1[[#This Row],[Totale uren:]])</f>
        <v/>
      </c>
      <c r="J937" s="68"/>
      <c r="K937" s="31"/>
      <c r="L937" s="86" t="str">
        <f>IF(Tabel1[[#This Row],[% uren 2:]]="","",Tabel1[[#This Row],[% uren 2:]]*Tabel1[[#This Row],[Totale uren:]])</f>
        <v/>
      </c>
      <c r="M937" s="72"/>
      <c r="N937" s="31"/>
      <c r="O937" s="85" t="str">
        <f>IF(Tabel1[[#This Row],[% uren 3:]]="","",Tabel1[[#This Row],[% uren 3:]]*Tabel1[[#This Row],[Totale uren:]])</f>
        <v/>
      </c>
      <c r="P937" s="138" t="str">
        <f>IF(Tabel1[[#This Row],[Ordernummer:]]="","",SUM(Tabel1[[#This Row],[% uren 1:]],Tabel1[[#This Row],[% uren 2:]],Tabel1[[#This Row],[% uren 3:]]))</f>
        <v/>
      </c>
      <c r="Q937" s="127"/>
      <c r="R937" s="128"/>
      <c r="S937" s="44"/>
      <c r="T937" s="25"/>
    </row>
    <row r="938" spans="2:20" x14ac:dyDescent="0.25">
      <c r="B938" s="7"/>
      <c r="C938" s="10"/>
      <c r="D938" s="10"/>
      <c r="E938" s="72"/>
      <c r="F938" s="73"/>
      <c r="G938" s="72"/>
      <c r="H938" s="31"/>
      <c r="I938" s="85" t="str">
        <f>IF(Tabel1[[#This Row],[% uren 1:]]="","",Tabel1[[#This Row],[% uren 1:]]*Tabel1[[#This Row],[Totale uren:]])</f>
        <v/>
      </c>
      <c r="J938" s="68"/>
      <c r="K938" s="31"/>
      <c r="L938" s="86" t="str">
        <f>IF(Tabel1[[#This Row],[% uren 2:]]="","",Tabel1[[#This Row],[% uren 2:]]*Tabel1[[#This Row],[Totale uren:]])</f>
        <v/>
      </c>
      <c r="M938" s="72"/>
      <c r="N938" s="31"/>
      <c r="O938" s="85" t="str">
        <f>IF(Tabel1[[#This Row],[% uren 3:]]="","",Tabel1[[#This Row],[% uren 3:]]*Tabel1[[#This Row],[Totale uren:]])</f>
        <v/>
      </c>
      <c r="P938" s="138" t="str">
        <f>IF(Tabel1[[#This Row],[Ordernummer:]]="","",SUM(Tabel1[[#This Row],[% uren 1:]],Tabel1[[#This Row],[% uren 2:]],Tabel1[[#This Row],[% uren 3:]]))</f>
        <v/>
      </c>
      <c r="Q938" s="127"/>
      <c r="R938" s="128"/>
      <c r="S938" s="44"/>
      <c r="T938" s="25"/>
    </row>
    <row r="939" spans="2:20" x14ac:dyDescent="0.25">
      <c r="B939" s="7"/>
      <c r="C939" s="10"/>
      <c r="D939" s="10"/>
      <c r="E939" s="72"/>
      <c r="F939" s="73"/>
      <c r="G939" s="72"/>
      <c r="H939" s="31"/>
      <c r="I939" s="85" t="str">
        <f>IF(Tabel1[[#This Row],[% uren 1:]]="","",Tabel1[[#This Row],[% uren 1:]]*Tabel1[[#This Row],[Totale uren:]])</f>
        <v/>
      </c>
      <c r="J939" s="68"/>
      <c r="K939" s="31"/>
      <c r="L939" s="86" t="str">
        <f>IF(Tabel1[[#This Row],[% uren 2:]]="","",Tabel1[[#This Row],[% uren 2:]]*Tabel1[[#This Row],[Totale uren:]])</f>
        <v/>
      </c>
      <c r="M939" s="72"/>
      <c r="N939" s="31"/>
      <c r="O939" s="85" t="str">
        <f>IF(Tabel1[[#This Row],[% uren 3:]]="","",Tabel1[[#This Row],[% uren 3:]]*Tabel1[[#This Row],[Totale uren:]])</f>
        <v/>
      </c>
      <c r="P939" s="138" t="str">
        <f>IF(Tabel1[[#This Row],[Ordernummer:]]="","",SUM(Tabel1[[#This Row],[% uren 1:]],Tabel1[[#This Row],[% uren 2:]],Tabel1[[#This Row],[% uren 3:]]))</f>
        <v/>
      </c>
      <c r="Q939" s="127"/>
      <c r="R939" s="128"/>
      <c r="S939" s="44"/>
      <c r="T939" s="25"/>
    </row>
    <row r="940" spans="2:20" x14ac:dyDescent="0.25">
      <c r="B940" s="7"/>
      <c r="C940" s="10"/>
      <c r="D940" s="10"/>
      <c r="E940" s="72"/>
      <c r="F940" s="73"/>
      <c r="G940" s="72"/>
      <c r="H940" s="31"/>
      <c r="I940" s="85" t="str">
        <f>IF(Tabel1[[#This Row],[% uren 1:]]="","",Tabel1[[#This Row],[% uren 1:]]*Tabel1[[#This Row],[Totale uren:]])</f>
        <v/>
      </c>
      <c r="J940" s="68"/>
      <c r="K940" s="31"/>
      <c r="L940" s="86" t="str">
        <f>IF(Tabel1[[#This Row],[% uren 2:]]="","",Tabel1[[#This Row],[% uren 2:]]*Tabel1[[#This Row],[Totale uren:]])</f>
        <v/>
      </c>
      <c r="M940" s="72"/>
      <c r="N940" s="31"/>
      <c r="O940" s="85" t="str">
        <f>IF(Tabel1[[#This Row],[% uren 3:]]="","",Tabel1[[#This Row],[% uren 3:]]*Tabel1[[#This Row],[Totale uren:]])</f>
        <v/>
      </c>
      <c r="P940" s="138" t="str">
        <f>IF(Tabel1[[#This Row],[Ordernummer:]]="","",SUM(Tabel1[[#This Row],[% uren 1:]],Tabel1[[#This Row],[% uren 2:]],Tabel1[[#This Row],[% uren 3:]]))</f>
        <v/>
      </c>
      <c r="Q940" s="127"/>
      <c r="R940" s="128"/>
      <c r="S940" s="44"/>
      <c r="T940" s="25"/>
    </row>
    <row r="941" spans="2:20" x14ac:dyDescent="0.25">
      <c r="B941" s="7"/>
      <c r="C941" s="10"/>
      <c r="D941" s="10"/>
      <c r="E941" s="72"/>
      <c r="F941" s="73"/>
      <c r="G941" s="72"/>
      <c r="H941" s="31"/>
      <c r="I941" s="85" t="str">
        <f>IF(Tabel1[[#This Row],[% uren 1:]]="","",Tabel1[[#This Row],[% uren 1:]]*Tabel1[[#This Row],[Totale uren:]])</f>
        <v/>
      </c>
      <c r="J941" s="68"/>
      <c r="K941" s="31"/>
      <c r="L941" s="86" t="str">
        <f>IF(Tabel1[[#This Row],[% uren 2:]]="","",Tabel1[[#This Row],[% uren 2:]]*Tabel1[[#This Row],[Totale uren:]])</f>
        <v/>
      </c>
      <c r="M941" s="72"/>
      <c r="N941" s="31"/>
      <c r="O941" s="85" t="str">
        <f>IF(Tabel1[[#This Row],[% uren 3:]]="","",Tabel1[[#This Row],[% uren 3:]]*Tabel1[[#This Row],[Totale uren:]])</f>
        <v/>
      </c>
      <c r="P941" s="138" t="str">
        <f>IF(Tabel1[[#This Row],[Ordernummer:]]="","",SUM(Tabel1[[#This Row],[% uren 1:]],Tabel1[[#This Row],[% uren 2:]],Tabel1[[#This Row],[% uren 3:]]))</f>
        <v/>
      </c>
      <c r="Q941" s="127"/>
      <c r="R941" s="128"/>
      <c r="S941" s="44"/>
      <c r="T941" s="25"/>
    </row>
    <row r="942" spans="2:20" x14ac:dyDescent="0.25">
      <c r="B942" s="7"/>
      <c r="C942" s="10"/>
      <c r="D942" s="10"/>
      <c r="E942" s="72"/>
      <c r="F942" s="73"/>
      <c r="G942" s="72"/>
      <c r="H942" s="31"/>
      <c r="I942" s="85" t="str">
        <f>IF(Tabel1[[#This Row],[% uren 1:]]="","",Tabel1[[#This Row],[% uren 1:]]*Tabel1[[#This Row],[Totale uren:]])</f>
        <v/>
      </c>
      <c r="J942" s="68"/>
      <c r="K942" s="31"/>
      <c r="L942" s="86" t="str">
        <f>IF(Tabel1[[#This Row],[% uren 2:]]="","",Tabel1[[#This Row],[% uren 2:]]*Tabel1[[#This Row],[Totale uren:]])</f>
        <v/>
      </c>
      <c r="M942" s="72"/>
      <c r="N942" s="31"/>
      <c r="O942" s="85" t="str">
        <f>IF(Tabel1[[#This Row],[% uren 3:]]="","",Tabel1[[#This Row],[% uren 3:]]*Tabel1[[#This Row],[Totale uren:]])</f>
        <v/>
      </c>
      <c r="P942" s="138" t="str">
        <f>IF(Tabel1[[#This Row],[Ordernummer:]]="","",SUM(Tabel1[[#This Row],[% uren 1:]],Tabel1[[#This Row],[% uren 2:]],Tabel1[[#This Row],[% uren 3:]]))</f>
        <v/>
      </c>
      <c r="Q942" s="127"/>
      <c r="R942" s="128"/>
      <c r="S942" s="44"/>
      <c r="T942" s="25"/>
    </row>
    <row r="943" spans="2:20" x14ac:dyDescent="0.25">
      <c r="B943" s="7"/>
      <c r="C943" s="10"/>
      <c r="D943" s="10"/>
      <c r="E943" s="72"/>
      <c r="F943" s="73"/>
      <c r="G943" s="72"/>
      <c r="H943" s="31"/>
      <c r="I943" s="85" t="str">
        <f>IF(Tabel1[[#This Row],[% uren 1:]]="","",Tabel1[[#This Row],[% uren 1:]]*Tabel1[[#This Row],[Totale uren:]])</f>
        <v/>
      </c>
      <c r="J943" s="68"/>
      <c r="K943" s="31"/>
      <c r="L943" s="86" t="str">
        <f>IF(Tabel1[[#This Row],[% uren 2:]]="","",Tabel1[[#This Row],[% uren 2:]]*Tabel1[[#This Row],[Totale uren:]])</f>
        <v/>
      </c>
      <c r="M943" s="72"/>
      <c r="N943" s="31"/>
      <c r="O943" s="85" t="str">
        <f>IF(Tabel1[[#This Row],[% uren 3:]]="","",Tabel1[[#This Row],[% uren 3:]]*Tabel1[[#This Row],[Totale uren:]])</f>
        <v/>
      </c>
      <c r="P943" s="138" t="str">
        <f>IF(Tabel1[[#This Row],[Ordernummer:]]="","",SUM(Tabel1[[#This Row],[% uren 1:]],Tabel1[[#This Row],[% uren 2:]],Tabel1[[#This Row],[% uren 3:]]))</f>
        <v/>
      </c>
      <c r="Q943" s="127"/>
      <c r="R943" s="128"/>
      <c r="S943" s="44"/>
      <c r="T943" s="25"/>
    </row>
    <row r="944" spans="2:20" x14ac:dyDescent="0.25">
      <c r="B944" s="7"/>
      <c r="C944" s="10"/>
      <c r="D944" s="10"/>
      <c r="E944" s="72"/>
      <c r="F944" s="73"/>
      <c r="G944" s="72"/>
      <c r="H944" s="31"/>
      <c r="I944" s="85" t="str">
        <f>IF(Tabel1[[#This Row],[% uren 1:]]="","",Tabel1[[#This Row],[% uren 1:]]*Tabel1[[#This Row],[Totale uren:]])</f>
        <v/>
      </c>
      <c r="J944" s="68"/>
      <c r="K944" s="31"/>
      <c r="L944" s="86" t="str">
        <f>IF(Tabel1[[#This Row],[% uren 2:]]="","",Tabel1[[#This Row],[% uren 2:]]*Tabel1[[#This Row],[Totale uren:]])</f>
        <v/>
      </c>
      <c r="M944" s="72"/>
      <c r="N944" s="31"/>
      <c r="O944" s="85" t="str">
        <f>IF(Tabel1[[#This Row],[% uren 3:]]="","",Tabel1[[#This Row],[% uren 3:]]*Tabel1[[#This Row],[Totale uren:]])</f>
        <v/>
      </c>
      <c r="P944" s="138" t="str">
        <f>IF(Tabel1[[#This Row],[Ordernummer:]]="","",SUM(Tabel1[[#This Row],[% uren 1:]],Tabel1[[#This Row],[% uren 2:]],Tabel1[[#This Row],[% uren 3:]]))</f>
        <v/>
      </c>
      <c r="Q944" s="127"/>
      <c r="R944" s="128"/>
      <c r="S944" s="44"/>
      <c r="T944" s="25"/>
    </row>
    <row r="945" spans="2:20" x14ac:dyDescent="0.25">
      <c r="B945" s="7"/>
      <c r="C945" s="10"/>
      <c r="D945" s="10"/>
      <c r="E945" s="72"/>
      <c r="F945" s="73"/>
      <c r="G945" s="72"/>
      <c r="H945" s="31"/>
      <c r="I945" s="85" t="str">
        <f>IF(Tabel1[[#This Row],[% uren 1:]]="","",Tabel1[[#This Row],[% uren 1:]]*Tabel1[[#This Row],[Totale uren:]])</f>
        <v/>
      </c>
      <c r="J945" s="68"/>
      <c r="K945" s="31"/>
      <c r="L945" s="86" t="str">
        <f>IF(Tabel1[[#This Row],[% uren 2:]]="","",Tabel1[[#This Row],[% uren 2:]]*Tabel1[[#This Row],[Totale uren:]])</f>
        <v/>
      </c>
      <c r="M945" s="72"/>
      <c r="N945" s="31"/>
      <c r="O945" s="85" t="str">
        <f>IF(Tabel1[[#This Row],[% uren 3:]]="","",Tabel1[[#This Row],[% uren 3:]]*Tabel1[[#This Row],[Totale uren:]])</f>
        <v/>
      </c>
      <c r="P945" s="138" t="str">
        <f>IF(Tabel1[[#This Row],[Ordernummer:]]="","",SUM(Tabel1[[#This Row],[% uren 1:]],Tabel1[[#This Row],[% uren 2:]],Tabel1[[#This Row],[% uren 3:]]))</f>
        <v/>
      </c>
      <c r="Q945" s="127"/>
      <c r="R945" s="128"/>
      <c r="S945" s="44"/>
      <c r="T945" s="25"/>
    </row>
    <row r="946" spans="2:20" x14ac:dyDescent="0.25">
      <c r="B946" s="7"/>
      <c r="C946" s="10"/>
      <c r="D946" s="10"/>
      <c r="E946" s="72"/>
      <c r="F946" s="73"/>
      <c r="G946" s="72"/>
      <c r="H946" s="31"/>
      <c r="I946" s="85" t="str">
        <f>IF(Tabel1[[#This Row],[% uren 1:]]="","",Tabel1[[#This Row],[% uren 1:]]*Tabel1[[#This Row],[Totale uren:]])</f>
        <v/>
      </c>
      <c r="J946" s="68"/>
      <c r="K946" s="31"/>
      <c r="L946" s="86" t="str">
        <f>IF(Tabel1[[#This Row],[% uren 2:]]="","",Tabel1[[#This Row],[% uren 2:]]*Tabel1[[#This Row],[Totale uren:]])</f>
        <v/>
      </c>
      <c r="M946" s="72"/>
      <c r="N946" s="31"/>
      <c r="O946" s="85" t="str">
        <f>IF(Tabel1[[#This Row],[% uren 3:]]="","",Tabel1[[#This Row],[% uren 3:]]*Tabel1[[#This Row],[Totale uren:]])</f>
        <v/>
      </c>
      <c r="P946" s="138" t="str">
        <f>IF(Tabel1[[#This Row],[Ordernummer:]]="","",SUM(Tabel1[[#This Row],[% uren 1:]],Tabel1[[#This Row],[% uren 2:]],Tabel1[[#This Row],[% uren 3:]]))</f>
        <v/>
      </c>
      <c r="Q946" s="127"/>
      <c r="R946" s="128"/>
      <c r="S946" s="44"/>
      <c r="T946" s="25"/>
    </row>
    <row r="947" spans="2:20" x14ac:dyDescent="0.25">
      <c r="B947" s="7"/>
      <c r="C947" s="10"/>
      <c r="D947" s="10"/>
      <c r="E947" s="72"/>
      <c r="F947" s="73"/>
      <c r="G947" s="72"/>
      <c r="H947" s="31"/>
      <c r="I947" s="85" t="str">
        <f>IF(Tabel1[[#This Row],[% uren 1:]]="","",Tabel1[[#This Row],[% uren 1:]]*Tabel1[[#This Row],[Totale uren:]])</f>
        <v/>
      </c>
      <c r="J947" s="68"/>
      <c r="K947" s="31"/>
      <c r="L947" s="86" t="str">
        <f>IF(Tabel1[[#This Row],[% uren 2:]]="","",Tabel1[[#This Row],[% uren 2:]]*Tabel1[[#This Row],[Totale uren:]])</f>
        <v/>
      </c>
      <c r="M947" s="72"/>
      <c r="N947" s="31"/>
      <c r="O947" s="85" t="str">
        <f>IF(Tabel1[[#This Row],[% uren 3:]]="","",Tabel1[[#This Row],[% uren 3:]]*Tabel1[[#This Row],[Totale uren:]])</f>
        <v/>
      </c>
      <c r="P947" s="138" t="str">
        <f>IF(Tabel1[[#This Row],[Ordernummer:]]="","",SUM(Tabel1[[#This Row],[% uren 1:]],Tabel1[[#This Row],[% uren 2:]],Tabel1[[#This Row],[% uren 3:]]))</f>
        <v/>
      </c>
      <c r="Q947" s="127"/>
      <c r="R947" s="128"/>
      <c r="S947" s="44"/>
      <c r="T947" s="25"/>
    </row>
    <row r="948" spans="2:20" x14ac:dyDescent="0.25">
      <c r="B948" s="7"/>
      <c r="C948" s="10"/>
      <c r="D948" s="10"/>
      <c r="E948" s="72"/>
      <c r="F948" s="73"/>
      <c r="G948" s="72"/>
      <c r="H948" s="31"/>
      <c r="I948" s="85" t="str">
        <f>IF(Tabel1[[#This Row],[% uren 1:]]="","",Tabel1[[#This Row],[% uren 1:]]*Tabel1[[#This Row],[Totale uren:]])</f>
        <v/>
      </c>
      <c r="J948" s="68"/>
      <c r="K948" s="31"/>
      <c r="L948" s="86" t="str">
        <f>IF(Tabel1[[#This Row],[% uren 2:]]="","",Tabel1[[#This Row],[% uren 2:]]*Tabel1[[#This Row],[Totale uren:]])</f>
        <v/>
      </c>
      <c r="M948" s="72"/>
      <c r="N948" s="31"/>
      <c r="O948" s="85" t="str">
        <f>IF(Tabel1[[#This Row],[% uren 3:]]="","",Tabel1[[#This Row],[% uren 3:]]*Tabel1[[#This Row],[Totale uren:]])</f>
        <v/>
      </c>
      <c r="P948" s="138" t="str">
        <f>IF(Tabel1[[#This Row],[Ordernummer:]]="","",SUM(Tabel1[[#This Row],[% uren 1:]],Tabel1[[#This Row],[% uren 2:]],Tabel1[[#This Row],[% uren 3:]]))</f>
        <v/>
      </c>
      <c r="Q948" s="127"/>
      <c r="R948" s="128"/>
      <c r="S948" s="44"/>
      <c r="T948" s="25"/>
    </row>
    <row r="949" spans="2:20" x14ac:dyDescent="0.25">
      <c r="B949" s="7"/>
      <c r="C949" s="10"/>
      <c r="D949" s="10"/>
      <c r="E949" s="72"/>
      <c r="F949" s="73"/>
      <c r="G949" s="72"/>
      <c r="H949" s="31"/>
      <c r="I949" s="85" t="str">
        <f>IF(Tabel1[[#This Row],[% uren 1:]]="","",Tabel1[[#This Row],[% uren 1:]]*Tabel1[[#This Row],[Totale uren:]])</f>
        <v/>
      </c>
      <c r="J949" s="68"/>
      <c r="K949" s="31"/>
      <c r="L949" s="86" t="str">
        <f>IF(Tabel1[[#This Row],[% uren 2:]]="","",Tabel1[[#This Row],[% uren 2:]]*Tabel1[[#This Row],[Totale uren:]])</f>
        <v/>
      </c>
      <c r="M949" s="72"/>
      <c r="N949" s="31"/>
      <c r="O949" s="85" t="str">
        <f>IF(Tabel1[[#This Row],[% uren 3:]]="","",Tabel1[[#This Row],[% uren 3:]]*Tabel1[[#This Row],[Totale uren:]])</f>
        <v/>
      </c>
      <c r="P949" s="138" t="str">
        <f>IF(Tabel1[[#This Row],[Ordernummer:]]="","",SUM(Tabel1[[#This Row],[% uren 1:]],Tabel1[[#This Row],[% uren 2:]],Tabel1[[#This Row],[% uren 3:]]))</f>
        <v/>
      </c>
      <c r="Q949" s="127"/>
      <c r="R949" s="128"/>
      <c r="S949" s="44"/>
      <c r="T949" s="25"/>
    </row>
    <row r="950" spans="2:20" x14ac:dyDescent="0.25">
      <c r="B950" s="7"/>
      <c r="C950" s="10"/>
      <c r="D950" s="10"/>
      <c r="E950" s="72"/>
      <c r="F950" s="73"/>
      <c r="G950" s="72"/>
      <c r="H950" s="31"/>
      <c r="I950" s="85" t="str">
        <f>IF(Tabel1[[#This Row],[% uren 1:]]="","",Tabel1[[#This Row],[% uren 1:]]*Tabel1[[#This Row],[Totale uren:]])</f>
        <v/>
      </c>
      <c r="J950" s="68"/>
      <c r="K950" s="31"/>
      <c r="L950" s="86" t="str">
        <f>IF(Tabel1[[#This Row],[% uren 2:]]="","",Tabel1[[#This Row],[% uren 2:]]*Tabel1[[#This Row],[Totale uren:]])</f>
        <v/>
      </c>
      <c r="M950" s="72"/>
      <c r="N950" s="31"/>
      <c r="O950" s="85" t="str">
        <f>IF(Tabel1[[#This Row],[% uren 3:]]="","",Tabel1[[#This Row],[% uren 3:]]*Tabel1[[#This Row],[Totale uren:]])</f>
        <v/>
      </c>
      <c r="P950" s="138" t="str">
        <f>IF(Tabel1[[#This Row],[Ordernummer:]]="","",SUM(Tabel1[[#This Row],[% uren 1:]],Tabel1[[#This Row],[% uren 2:]],Tabel1[[#This Row],[% uren 3:]]))</f>
        <v/>
      </c>
      <c r="Q950" s="127"/>
      <c r="R950" s="128"/>
      <c r="S950" s="44"/>
      <c r="T950" s="25"/>
    </row>
    <row r="951" spans="2:20" x14ac:dyDescent="0.25">
      <c r="B951" s="7"/>
      <c r="C951" s="10"/>
      <c r="D951" s="10"/>
      <c r="E951" s="72"/>
      <c r="F951" s="73"/>
      <c r="G951" s="72"/>
      <c r="H951" s="31"/>
      <c r="I951" s="85" t="str">
        <f>IF(Tabel1[[#This Row],[% uren 1:]]="","",Tabel1[[#This Row],[% uren 1:]]*Tabel1[[#This Row],[Totale uren:]])</f>
        <v/>
      </c>
      <c r="J951" s="68"/>
      <c r="K951" s="31"/>
      <c r="L951" s="86" t="str">
        <f>IF(Tabel1[[#This Row],[% uren 2:]]="","",Tabel1[[#This Row],[% uren 2:]]*Tabel1[[#This Row],[Totale uren:]])</f>
        <v/>
      </c>
      <c r="M951" s="72"/>
      <c r="N951" s="31"/>
      <c r="O951" s="85" t="str">
        <f>IF(Tabel1[[#This Row],[% uren 3:]]="","",Tabel1[[#This Row],[% uren 3:]]*Tabel1[[#This Row],[Totale uren:]])</f>
        <v/>
      </c>
      <c r="P951" s="138" t="str">
        <f>IF(Tabel1[[#This Row],[Ordernummer:]]="","",SUM(Tabel1[[#This Row],[% uren 1:]],Tabel1[[#This Row],[% uren 2:]],Tabel1[[#This Row],[% uren 3:]]))</f>
        <v/>
      </c>
      <c r="Q951" s="127"/>
      <c r="R951" s="128"/>
      <c r="S951" s="44"/>
      <c r="T951" s="25"/>
    </row>
    <row r="952" spans="2:20" x14ac:dyDescent="0.25">
      <c r="B952" s="7"/>
      <c r="C952" s="10"/>
      <c r="D952" s="10"/>
      <c r="E952" s="72"/>
      <c r="F952" s="73"/>
      <c r="G952" s="72"/>
      <c r="H952" s="31"/>
      <c r="I952" s="85" t="str">
        <f>IF(Tabel1[[#This Row],[% uren 1:]]="","",Tabel1[[#This Row],[% uren 1:]]*Tabel1[[#This Row],[Totale uren:]])</f>
        <v/>
      </c>
      <c r="J952" s="68"/>
      <c r="K952" s="31"/>
      <c r="L952" s="86" t="str">
        <f>IF(Tabel1[[#This Row],[% uren 2:]]="","",Tabel1[[#This Row],[% uren 2:]]*Tabel1[[#This Row],[Totale uren:]])</f>
        <v/>
      </c>
      <c r="M952" s="72"/>
      <c r="N952" s="31"/>
      <c r="O952" s="85" t="str">
        <f>IF(Tabel1[[#This Row],[% uren 3:]]="","",Tabel1[[#This Row],[% uren 3:]]*Tabel1[[#This Row],[Totale uren:]])</f>
        <v/>
      </c>
      <c r="P952" s="138" t="str">
        <f>IF(Tabel1[[#This Row],[Ordernummer:]]="","",SUM(Tabel1[[#This Row],[% uren 1:]],Tabel1[[#This Row],[% uren 2:]],Tabel1[[#This Row],[% uren 3:]]))</f>
        <v/>
      </c>
      <c r="Q952" s="127"/>
      <c r="R952" s="128"/>
      <c r="S952" s="44"/>
      <c r="T952" s="25"/>
    </row>
    <row r="953" spans="2:20" x14ac:dyDescent="0.25">
      <c r="B953" s="7"/>
      <c r="C953" s="10"/>
      <c r="D953" s="10"/>
      <c r="E953" s="72"/>
      <c r="F953" s="73"/>
      <c r="G953" s="72"/>
      <c r="H953" s="31"/>
      <c r="I953" s="85" t="str">
        <f>IF(Tabel1[[#This Row],[% uren 1:]]="","",Tabel1[[#This Row],[% uren 1:]]*Tabel1[[#This Row],[Totale uren:]])</f>
        <v/>
      </c>
      <c r="J953" s="68"/>
      <c r="K953" s="31"/>
      <c r="L953" s="86" t="str">
        <f>IF(Tabel1[[#This Row],[% uren 2:]]="","",Tabel1[[#This Row],[% uren 2:]]*Tabel1[[#This Row],[Totale uren:]])</f>
        <v/>
      </c>
      <c r="M953" s="72"/>
      <c r="N953" s="31"/>
      <c r="O953" s="85" t="str">
        <f>IF(Tabel1[[#This Row],[% uren 3:]]="","",Tabel1[[#This Row],[% uren 3:]]*Tabel1[[#This Row],[Totale uren:]])</f>
        <v/>
      </c>
      <c r="P953" s="138" t="str">
        <f>IF(Tabel1[[#This Row],[Ordernummer:]]="","",SUM(Tabel1[[#This Row],[% uren 1:]],Tabel1[[#This Row],[% uren 2:]],Tabel1[[#This Row],[% uren 3:]]))</f>
        <v/>
      </c>
      <c r="Q953" s="127"/>
      <c r="R953" s="128"/>
      <c r="S953" s="44"/>
      <c r="T953" s="25"/>
    </row>
    <row r="954" spans="2:20" x14ac:dyDescent="0.25">
      <c r="B954" s="7"/>
      <c r="C954" s="10"/>
      <c r="D954" s="10"/>
      <c r="E954" s="72"/>
      <c r="F954" s="73"/>
      <c r="G954" s="72"/>
      <c r="H954" s="31"/>
      <c r="I954" s="85" t="str">
        <f>IF(Tabel1[[#This Row],[% uren 1:]]="","",Tabel1[[#This Row],[% uren 1:]]*Tabel1[[#This Row],[Totale uren:]])</f>
        <v/>
      </c>
      <c r="J954" s="68"/>
      <c r="K954" s="31"/>
      <c r="L954" s="86" t="str">
        <f>IF(Tabel1[[#This Row],[% uren 2:]]="","",Tabel1[[#This Row],[% uren 2:]]*Tabel1[[#This Row],[Totale uren:]])</f>
        <v/>
      </c>
      <c r="M954" s="72"/>
      <c r="N954" s="31"/>
      <c r="O954" s="85" t="str">
        <f>IF(Tabel1[[#This Row],[% uren 3:]]="","",Tabel1[[#This Row],[% uren 3:]]*Tabel1[[#This Row],[Totale uren:]])</f>
        <v/>
      </c>
      <c r="P954" s="138" t="str">
        <f>IF(Tabel1[[#This Row],[Ordernummer:]]="","",SUM(Tabel1[[#This Row],[% uren 1:]],Tabel1[[#This Row],[% uren 2:]],Tabel1[[#This Row],[% uren 3:]]))</f>
        <v/>
      </c>
      <c r="Q954" s="127"/>
      <c r="R954" s="128"/>
      <c r="S954" s="44"/>
      <c r="T954" s="25"/>
    </row>
    <row r="955" spans="2:20" x14ac:dyDescent="0.25">
      <c r="B955" s="7"/>
      <c r="C955" s="10"/>
      <c r="D955" s="10"/>
      <c r="E955" s="72"/>
      <c r="F955" s="73"/>
      <c r="G955" s="72"/>
      <c r="H955" s="31"/>
      <c r="I955" s="85" t="str">
        <f>IF(Tabel1[[#This Row],[% uren 1:]]="","",Tabel1[[#This Row],[% uren 1:]]*Tabel1[[#This Row],[Totale uren:]])</f>
        <v/>
      </c>
      <c r="J955" s="68"/>
      <c r="K955" s="31"/>
      <c r="L955" s="86" t="str">
        <f>IF(Tabel1[[#This Row],[% uren 2:]]="","",Tabel1[[#This Row],[% uren 2:]]*Tabel1[[#This Row],[Totale uren:]])</f>
        <v/>
      </c>
      <c r="M955" s="72"/>
      <c r="N955" s="31"/>
      <c r="O955" s="85" t="str">
        <f>IF(Tabel1[[#This Row],[% uren 3:]]="","",Tabel1[[#This Row],[% uren 3:]]*Tabel1[[#This Row],[Totale uren:]])</f>
        <v/>
      </c>
      <c r="P955" s="138" t="str">
        <f>IF(Tabel1[[#This Row],[Ordernummer:]]="","",SUM(Tabel1[[#This Row],[% uren 1:]],Tabel1[[#This Row],[% uren 2:]],Tabel1[[#This Row],[% uren 3:]]))</f>
        <v/>
      </c>
      <c r="Q955" s="127"/>
      <c r="R955" s="128"/>
      <c r="S955" s="44"/>
      <c r="T955" s="25"/>
    </row>
    <row r="956" spans="2:20" x14ac:dyDescent="0.25">
      <c r="B956" s="7"/>
      <c r="C956" s="10"/>
      <c r="D956" s="10"/>
      <c r="E956" s="72"/>
      <c r="F956" s="73"/>
      <c r="G956" s="72"/>
      <c r="H956" s="31"/>
      <c r="I956" s="85" t="str">
        <f>IF(Tabel1[[#This Row],[% uren 1:]]="","",Tabel1[[#This Row],[% uren 1:]]*Tabel1[[#This Row],[Totale uren:]])</f>
        <v/>
      </c>
      <c r="J956" s="68"/>
      <c r="K956" s="31"/>
      <c r="L956" s="86" t="str">
        <f>IF(Tabel1[[#This Row],[% uren 2:]]="","",Tabel1[[#This Row],[% uren 2:]]*Tabel1[[#This Row],[Totale uren:]])</f>
        <v/>
      </c>
      <c r="M956" s="72"/>
      <c r="N956" s="31"/>
      <c r="O956" s="85" t="str">
        <f>IF(Tabel1[[#This Row],[% uren 3:]]="","",Tabel1[[#This Row],[% uren 3:]]*Tabel1[[#This Row],[Totale uren:]])</f>
        <v/>
      </c>
      <c r="P956" s="138" t="str">
        <f>IF(Tabel1[[#This Row],[Ordernummer:]]="","",SUM(Tabel1[[#This Row],[% uren 1:]],Tabel1[[#This Row],[% uren 2:]],Tabel1[[#This Row],[% uren 3:]]))</f>
        <v/>
      </c>
      <c r="Q956" s="127"/>
      <c r="R956" s="128"/>
      <c r="S956" s="44"/>
      <c r="T956" s="25"/>
    </row>
    <row r="957" spans="2:20" x14ac:dyDescent="0.25">
      <c r="B957" s="7"/>
      <c r="C957" s="10"/>
      <c r="D957" s="10"/>
      <c r="E957" s="72"/>
      <c r="F957" s="73"/>
      <c r="G957" s="72"/>
      <c r="H957" s="31"/>
      <c r="I957" s="85" t="str">
        <f>IF(Tabel1[[#This Row],[% uren 1:]]="","",Tabel1[[#This Row],[% uren 1:]]*Tabel1[[#This Row],[Totale uren:]])</f>
        <v/>
      </c>
      <c r="J957" s="68"/>
      <c r="K957" s="31"/>
      <c r="L957" s="86" t="str">
        <f>IF(Tabel1[[#This Row],[% uren 2:]]="","",Tabel1[[#This Row],[% uren 2:]]*Tabel1[[#This Row],[Totale uren:]])</f>
        <v/>
      </c>
      <c r="M957" s="72"/>
      <c r="N957" s="31"/>
      <c r="O957" s="85" t="str">
        <f>IF(Tabel1[[#This Row],[% uren 3:]]="","",Tabel1[[#This Row],[% uren 3:]]*Tabel1[[#This Row],[Totale uren:]])</f>
        <v/>
      </c>
      <c r="P957" s="138" t="str">
        <f>IF(Tabel1[[#This Row],[Ordernummer:]]="","",SUM(Tabel1[[#This Row],[% uren 1:]],Tabel1[[#This Row],[% uren 2:]],Tabel1[[#This Row],[% uren 3:]]))</f>
        <v/>
      </c>
      <c r="Q957" s="127"/>
      <c r="R957" s="128"/>
      <c r="S957" s="44"/>
      <c r="T957" s="25"/>
    </row>
    <row r="958" spans="2:20" x14ac:dyDescent="0.25">
      <c r="B958" s="7"/>
      <c r="C958" s="10"/>
      <c r="D958" s="10"/>
      <c r="E958" s="72"/>
      <c r="F958" s="73"/>
      <c r="G958" s="72"/>
      <c r="H958" s="31"/>
      <c r="I958" s="85" t="str">
        <f>IF(Tabel1[[#This Row],[% uren 1:]]="","",Tabel1[[#This Row],[% uren 1:]]*Tabel1[[#This Row],[Totale uren:]])</f>
        <v/>
      </c>
      <c r="J958" s="68"/>
      <c r="K958" s="31"/>
      <c r="L958" s="86" t="str">
        <f>IF(Tabel1[[#This Row],[% uren 2:]]="","",Tabel1[[#This Row],[% uren 2:]]*Tabel1[[#This Row],[Totale uren:]])</f>
        <v/>
      </c>
      <c r="M958" s="72"/>
      <c r="N958" s="31"/>
      <c r="O958" s="85" t="str">
        <f>IF(Tabel1[[#This Row],[% uren 3:]]="","",Tabel1[[#This Row],[% uren 3:]]*Tabel1[[#This Row],[Totale uren:]])</f>
        <v/>
      </c>
      <c r="P958" s="138" t="str">
        <f>IF(Tabel1[[#This Row],[Ordernummer:]]="","",SUM(Tabel1[[#This Row],[% uren 1:]],Tabel1[[#This Row],[% uren 2:]],Tabel1[[#This Row],[% uren 3:]]))</f>
        <v/>
      </c>
      <c r="Q958" s="127"/>
      <c r="R958" s="128"/>
      <c r="S958" s="44"/>
      <c r="T958" s="25"/>
    </row>
    <row r="959" spans="2:20" x14ac:dyDescent="0.25">
      <c r="B959" s="7"/>
      <c r="C959" s="10"/>
      <c r="D959" s="10"/>
      <c r="E959" s="72"/>
      <c r="F959" s="73"/>
      <c r="G959" s="72"/>
      <c r="H959" s="31"/>
      <c r="I959" s="85" t="str">
        <f>IF(Tabel1[[#This Row],[% uren 1:]]="","",Tabel1[[#This Row],[% uren 1:]]*Tabel1[[#This Row],[Totale uren:]])</f>
        <v/>
      </c>
      <c r="J959" s="68"/>
      <c r="K959" s="31"/>
      <c r="L959" s="86" t="str">
        <f>IF(Tabel1[[#This Row],[% uren 2:]]="","",Tabel1[[#This Row],[% uren 2:]]*Tabel1[[#This Row],[Totale uren:]])</f>
        <v/>
      </c>
      <c r="M959" s="72"/>
      <c r="N959" s="31"/>
      <c r="O959" s="85" t="str">
        <f>IF(Tabel1[[#This Row],[% uren 3:]]="","",Tabel1[[#This Row],[% uren 3:]]*Tabel1[[#This Row],[Totale uren:]])</f>
        <v/>
      </c>
      <c r="P959" s="138" t="str">
        <f>IF(Tabel1[[#This Row],[Ordernummer:]]="","",SUM(Tabel1[[#This Row],[% uren 1:]],Tabel1[[#This Row],[% uren 2:]],Tabel1[[#This Row],[% uren 3:]]))</f>
        <v/>
      </c>
      <c r="Q959" s="127"/>
      <c r="R959" s="128"/>
      <c r="S959" s="44"/>
      <c r="T959" s="25"/>
    </row>
    <row r="960" spans="2:20" x14ac:dyDescent="0.25">
      <c r="B960" s="7"/>
      <c r="C960" s="10"/>
      <c r="D960" s="10"/>
      <c r="E960" s="72"/>
      <c r="F960" s="73"/>
      <c r="G960" s="72"/>
      <c r="H960" s="31"/>
      <c r="I960" s="85" t="str">
        <f>IF(Tabel1[[#This Row],[% uren 1:]]="","",Tabel1[[#This Row],[% uren 1:]]*Tabel1[[#This Row],[Totale uren:]])</f>
        <v/>
      </c>
      <c r="J960" s="68"/>
      <c r="K960" s="31"/>
      <c r="L960" s="86" t="str">
        <f>IF(Tabel1[[#This Row],[% uren 2:]]="","",Tabel1[[#This Row],[% uren 2:]]*Tabel1[[#This Row],[Totale uren:]])</f>
        <v/>
      </c>
      <c r="M960" s="72"/>
      <c r="N960" s="31"/>
      <c r="O960" s="85" t="str">
        <f>IF(Tabel1[[#This Row],[% uren 3:]]="","",Tabel1[[#This Row],[% uren 3:]]*Tabel1[[#This Row],[Totale uren:]])</f>
        <v/>
      </c>
      <c r="P960" s="138" t="str">
        <f>IF(Tabel1[[#This Row],[Ordernummer:]]="","",SUM(Tabel1[[#This Row],[% uren 1:]],Tabel1[[#This Row],[% uren 2:]],Tabel1[[#This Row],[% uren 3:]]))</f>
        <v/>
      </c>
      <c r="Q960" s="127"/>
      <c r="R960" s="128"/>
      <c r="S960" s="44"/>
      <c r="T960" s="25"/>
    </row>
    <row r="961" spans="2:20" x14ac:dyDescent="0.25">
      <c r="B961" s="7"/>
      <c r="C961" s="10"/>
      <c r="D961" s="10"/>
      <c r="E961" s="72"/>
      <c r="F961" s="73"/>
      <c r="G961" s="72"/>
      <c r="H961" s="31"/>
      <c r="I961" s="85" t="str">
        <f>IF(Tabel1[[#This Row],[% uren 1:]]="","",Tabel1[[#This Row],[% uren 1:]]*Tabel1[[#This Row],[Totale uren:]])</f>
        <v/>
      </c>
      <c r="J961" s="68"/>
      <c r="K961" s="31"/>
      <c r="L961" s="86" t="str">
        <f>IF(Tabel1[[#This Row],[% uren 2:]]="","",Tabel1[[#This Row],[% uren 2:]]*Tabel1[[#This Row],[Totale uren:]])</f>
        <v/>
      </c>
      <c r="M961" s="72"/>
      <c r="N961" s="31"/>
      <c r="O961" s="85" t="str">
        <f>IF(Tabel1[[#This Row],[% uren 3:]]="","",Tabel1[[#This Row],[% uren 3:]]*Tabel1[[#This Row],[Totale uren:]])</f>
        <v/>
      </c>
      <c r="P961" s="138" t="str">
        <f>IF(Tabel1[[#This Row],[Ordernummer:]]="","",SUM(Tabel1[[#This Row],[% uren 1:]],Tabel1[[#This Row],[% uren 2:]],Tabel1[[#This Row],[% uren 3:]]))</f>
        <v/>
      </c>
      <c r="Q961" s="127"/>
      <c r="R961" s="128"/>
      <c r="S961" s="44"/>
      <c r="T961" s="25"/>
    </row>
    <row r="962" spans="2:20" x14ac:dyDescent="0.25">
      <c r="B962" s="7"/>
      <c r="C962" s="10"/>
      <c r="D962" s="10"/>
      <c r="E962" s="72"/>
      <c r="F962" s="73"/>
      <c r="G962" s="72"/>
      <c r="H962" s="31"/>
      <c r="I962" s="85" t="str">
        <f>IF(Tabel1[[#This Row],[% uren 1:]]="","",Tabel1[[#This Row],[% uren 1:]]*Tabel1[[#This Row],[Totale uren:]])</f>
        <v/>
      </c>
      <c r="J962" s="68"/>
      <c r="K962" s="31"/>
      <c r="L962" s="86" t="str">
        <f>IF(Tabel1[[#This Row],[% uren 2:]]="","",Tabel1[[#This Row],[% uren 2:]]*Tabel1[[#This Row],[Totale uren:]])</f>
        <v/>
      </c>
      <c r="M962" s="72"/>
      <c r="N962" s="31"/>
      <c r="O962" s="85" t="str">
        <f>IF(Tabel1[[#This Row],[% uren 3:]]="","",Tabel1[[#This Row],[% uren 3:]]*Tabel1[[#This Row],[Totale uren:]])</f>
        <v/>
      </c>
      <c r="P962" s="138" t="str">
        <f>IF(Tabel1[[#This Row],[Ordernummer:]]="","",SUM(Tabel1[[#This Row],[% uren 1:]],Tabel1[[#This Row],[% uren 2:]],Tabel1[[#This Row],[% uren 3:]]))</f>
        <v/>
      </c>
      <c r="Q962" s="127"/>
      <c r="R962" s="128"/>
      <c r="S962" s="44"/>
      <c r="T962" s="25"/>
    </row>
    <row r="963" spans="2:20" x14ac:dyDescent="0.25">
      <c r="B963" s="7"/>
      <c r="C963" s="10"/>
      <c r="D963" s="10"/>
      <c r="E963" s="72"/>
      <c r="F963" s="73"/>
      <c r="G963" s="72"/>
      <c r="H963" s="31"/>
      <c r="I963" s="85" t="str">
        <f>IF(Tabel1[[#This Row],[% uren 1:]]="","",Tabel1[[#This Row],[% uren 1:]]*Tabel1[[#This Row],[Totale uren:]])</f>
        <v/>
      </c>
      <c r="J963" s="68"/>
      <c r="K963" s="31"/>
      <c r="L963" s="86" t="str">
        <f>IF(Tabel1[[#This Row],[% uren 2:]]="","",Tabel1[[#This Row],[% uren 2:]]*Tabel1[[#This Row],[Totale uren:]])</f>
        <v/>
      </c>
      <c r="M963" s="72"/>
      <c r="N963" s="31"/>
      <c r="O963" s="85" t="str">
        <f>IF(Tabel1[[#This Row],[% uren 3:]]="","",Tabel1[[#This Row],[% uren 3:]]*Tabel1[[#This Row],[Totale uren:]])</f>
        <v/>
      </c>
      <c r="P963" s="138" t="str">
        <f>IF(Tabel1[[#This Row],[Ordernummer:]]="","",SUM(Tabel1[[#This Row],[% uren 1:]],Tabel1[[#This Row],[% uren 2:]],Tabel1[[#This Row],[% uren 3:]]))</f>
        <v/>
      </c>
      <c r="Q963" s="127"/>
      <c r="R963" s="128"/>
      <c r="S963" s="44"/>
      <c r="T963" s="25"/>
    </row>
    <row r="964" spans="2:20" x14ac:dyDescent="0.25">
      <c r="B964" s="7"/>
      <c r="C964" s="10"/>
      <c r="D964" s="10"/>
      <c r="E964" s="72"/>
      <c r="F964" s="73"/>
      <c r="G964" s="72"/>
      <c r="H964" s="31"/>
      <c r="I964" s="85" t="str">
        <f>IF(Tabel1[[#This Row],[% uren 1:]]="","",Tabel1[[#This Row],[% uren 1:]]*Tabel1[[#This Row],[Totale uren:]])</f>
        <v/>
      </c>
      <c r="J964" s="68"/>
      <c r="K964" s="31"/>
      <c r="L964" s="86" t="str">
        <f>IF(Tabel1[[#This Row],[% uren 2:]]="","",Tabel1[[#This Row],[% uren 2:]]*Tabel1[[#This Row],[Totale uren:]])</f>
        <v/>
      </c>
      <c r="M964" s="72"/>
      <c r="N964" s="31"/>
      <c r="O964" s="85" t="str">
        <f>IF(Tabel1[[#This Row],[% uren 3:]]="","",Tabel1[[#This Row],[% uren 3:]]*Tabel1[[#This Row],[Totale uren:]])</f>
        <v/>
      </c>
      <c r="P964" s="138" t="str">
        <f>IF(Tabel1[[#This Row],[Ordernummer:]]="","",SUM(Tabel1[[#This Row],[% uren 1:]],Tabel1[[#This Row],[% uren 2:]],Tabel1[[#This Row],[% uren 3:]]))</f>
        <v/>
      </c>
      <c r="Q964" s="127"/>
      <c r="R964" s="128"/>
      <c r="S964" s="44"/>
      <c r="T964" s="25"/>
    </row>
    <row r="965" spans="2:20" x14ac:dyDescent="0.25">
      <c r="B965" s="7"/>
      <c r="C965" s="10"/>
      <c r="D965" s="10"/>
      <c r="E965" s="72"/>
      <c r="F965" s="73"/>
      <c r="G965" s="72"/>
      <c r="H965" s="31"/>
      <c r="I965" s="85" t="str">
        <f>IF(Tabel1[[#This Row],[% uren 1:]]="","",Tabel1[[#This Row],[% uren 1:]]*Tabel1[[#This Row],[Totale uren:]])</f>
        <v/>
      </c>
      <c r="J965" s="68"/>
      <c r="K965" s="31"/>
      <c r="L965" s="86" t="str">
        <f>IF(Tabel1[[#This Row],[% uren 2:]]="","",Tabel1[[#This Row],[% uren 2:]]*Tabel1[[#This Row],[Totale uren:]])</f>
        <v/>
      </c>
      <c r="M965" s="72"/>
      <c r="N965" s="31"/>
      <c r="O965" s="85" t="str">
        <f>IF(Tabel1[[#This Row],[% uren 3:]]="","",Tabel1[[#This Row],[% uren 3:]]*Tabel1[[#This Row],[Totale uren:]])</f>
        <v/>
      </c>
      <c r="P965" s="138" t="str">
        <f>IF(Tabel1[[#This Row],[Ordernummer:]]="","",SUM(Tabel1[[#This Row],[% uren 1:]],Tabel1[[#This Row],[% uren 2:]],Tabel1[[#This Row],[% uren 3:]]))</f>
        <v/>
      </c>
      <c r="Q965" s="127"/>
      <c r="R965" s="128"/>
      <c r="S965" s="44"/>
      <c r="T965" s="25"/>
    </row>
    <row r="966" spans="2:20" x14ac:dyDescent="0.25">
      <c r="B966" s="7"/>
      <c r="C966" s="10"/>
      <c r="D966" s="10"/>
      <c r="E966" s="72"/>
      <c r="F966" s="73"/>
      <c r="G966" s="72"/>
      <c r="H966" s="31"/>
      <c r="I966" s="85" t="str">
        <f>IF(Tabel1[[#This Row],[% uren 1:]]="","",Tabel1[[#This Row],[% uren 1:]]*Tabel1[[#This Row],[Totale uren:]])</f>
        <v/>
      </c>
      <c r="J966" s="68"/>
      <c r="K966" s="31"/>
      <c r="L966" s="86" t="str">
        <f>IF(Tabel1[[#This Row],[% uren 2:]]="","",Tabel1[[#This Row],[% uren 2:]]*Tabel1[[#This Row],[Totale uren:]])</f>
        <v/>
      </c>
      <c r="M966" s="72"/>
      <c r="N966" s="31"/>
      <c r="O966" s="85" t="str">
        <f>IF(Tabel1[[#This Row],[% uren 3:]]="","",Tabel1[[#This Row],[% uren 3:]]*Tabel1[[#This Row],[Totale uren:]])</f>
        <v/>
      </c>
      <c r="P966" s="138" t="str">
        <f>IF(Tabel1[[#This Row],[Ordernummer:]]="","",SUM(Tabel1[[#This Row],[% uren 1:]],Tabel1[[#This Row],[% uren 2:]],Tabel1[[#This Row],[% uren 3:]]))</f>
        <v/>
      </c>
      <c r="Q966" s="127"/>
      <c r="R966" s="128"/>
      <c r="S966" s="44"/>
      <c r="T966" s="25"/>
    </row>
    <row r="967" spans="2:20" x14ac:dyDescent="0.25">
      <c r="B967" s="7"/>
      <c r="C967" s="10"/>
      <c r="D967" s="10"/>
      <c r="E967" s="72"/>
      <c r="F967" s="73"/>
      <c r="G967" s="72"/>
      <c r="H967" s="31"/>
      <c r="I967" s="85" t="str">
        <f>IF(Tabel1[[#This Row],[% uren 1:]]="","",Tabel1[[#This Row],[% uren 1:]]*Tabel1[[#This Row],[Totale uren:]])</f>
        <v/>
      </c>
      <c r="J967" s="68"/>
      <c r="K967" s="31"/>
      <c r="L967" s="86" t="str">
        <f>IF(Tabel1[[#This Row],[% uren 2:]]="","",Tabel1[[#This Row],[% uren 2:]]*Tabel1[[#This Row],[Totale uren:]])</f>
        <v/>
      </c>
      <c r="M967" s="72"/>
      <c r="N967" s="31"/>
      <c r="O967" s="85" t="str">
        <f>IF(Tabel1[[#This Row],[% uren 3:]]="","",Tabel1[[#This Row],[% uren 3:]]*Tabel1[[#This Row],[Totale uren:]])</f>
        <v/>
      </c>
      <c r="P967" s="138" t="str">
        <f>IF(Tabel1[[#This Row],[Ordernummer:]]="","",SUM(Tabel1[[#This Row],[% uren 1:]],Tabel1[[#This Row],[% uren 2:]],Tabel1[[#This Row],[% uren 3:]]))</f>
        <v/>
      </c>
      <c r="Q967" s="127"/>
      <c r="R967" s="128"/>
      <c r="S967" s="44"/>
      <c r="T967" s="25"/>
    </row>
    <row r="968" spans="2:20" x14ac:dyDescent="0.25">
      <c r="B968" s="7"/>
      <c r="C968" s="10"/>
      <c r="D968" s="10"/>
      <c r="E968" s="72"/>
      <c r="F968" s="73"/>
      <c r="G968" s="72"/>
      <c r="H968" s="31"/>
      <c r="I968" s="85" t="str">
        <f>IF(Tabel1[[#This Row],[% uren 1:]]="","",Tabel1[[#This Row],[% uren 1:]]*Tabel1[[#This Row],[Totale uren:]])</f>
        <v/>
      </c>
      <c r="J968" s="68"/>
      <c r="K968" s="31"/>
      <c r="L968" s="86" t="str">
        <f>IF(Tabel1[[#This Row],[% uren 2:]]="","",Tabel1[[#This Row],[% uren 2:]]*Tabel1[[#This Row],[Totale uren:]])</f>
        <v/>
      </c>
      <c r="M968" s="72"/>
      <c r="N968" s="31"/>
      <c r="O968" s="85" t="str">
        <f>IF(Tabel1[[#This Row],[% uren 3:]]="","",Tabel1[[#This Row],[% uren 3:]]*Tabel1[[#This Row],[Totale uren:]])</f>
        <v/>
      </c>
      <c r="P968" s="138" t="str">
        <f>IF(Tabel1[[#This Row],[Ordernummer:]]="","",SUM(Tabel1[[#This Row],[% uren 1:]],Tabel1[[#This Row],[% uren 2:]],Tabel1[[#This Row],[% uren 3:]]))</f>
        <v/>
      </c>
      <c r="Q968" s="127"/>
      <c r="R968" s="128"/>
      <c r="S968" s="44"/>
      <c r="T968" s="25"/>
    </row>
    <row r="969" spans="2:20" x14ac:dyDescent="0.25">
      <c r="B969" s="7"/>
      <c r="C969" s="10"/>
      <c r="D969" s="10"/>
      <c r="E969" s="72"/>
      <c r="F969" s="73"/>
      <c r="G969" s="72"/>
      <c r="H969" s="31"/>
      <c r="I969" s="85" t="str">
        <f>IF(Tabel1[[#This Row],[% uren 1:]]="","",Tabel1[[#This Row],[% uren 1:]]*Tabel1[[#This Row],[Totale uren:]])</f>
        <v/>
      </c>
      <c r="J969" s="68"/>
      <c r="K969" s="31"/>
      <c r="L969" s="86" t="str">
        <f>IF(Tabel1[[#This Row],[% uren 2:]]="","",Tabel1[[#This Row],[% uren 2:]]*Tabel1[[#This Row],[Totale uren:]])</f>
        <v/>
      </c>
      <c r="M969" s="72"/>
      <c r="N969" s="31"/>
      <c r="O969" s="85" t="str">
        <f>IF(Tabel1[[#This Row],[% uren 3:]]="","",Tabel1[[#This Row],[% uren 3:]]*Tabel1[[#This Row],[Totale uren:]])</f>
        <v/>
      </c>
      <c r="P969" s="138" t="str">
        <f>IF(Tabel1[[#This Row],[Ordernummer:]]="","",SUM(Tabel1[[#This Row],[% uren 1:]],Tabel1[[#This Row],[% uren 2:]],Tabel1[[#This Row],[% uren 3:]]))</f>
        <v/>
      </c>
      <c r="Q969" s="127"/>
      <c r="R969" s="128"/>
      <c r="S969" s="44"/>
      <c r="T969" s="25"/>
    </row>
    <row r="970" spans="2:20" x14ac:dyDescent="0.25">
      <c r="B970" s="7"/>
      <c r="C970" s="10"/>
      <c r="D970" s="10"/>
      <c r="E970" s="72"/>
      <c r="F970" s="73"/>
      <c r="G970" s="72"/>
      <c r="H970" s="31"/>
      <c r="I970" s="85" t="str">
        <f>IF(Tabel1[[#This Row],[% uren 1:]]="","",Tabel1[[#This Row],[% uren 1:]]*Tabel1[[#This Row],[Totale uren:]])</f>
        <v/>
      </c>
      <c r="J970" s="68"/>
      <c r="K970" s="31"/>
      <c r="L970" s="86" t="str">
        <f>IF(Tabel1[[#This Row],[% uren 2:]]="","",Tabel1[[#This Row],[% uren 2:]]*Tabel1[[#This Row],[Totale uren:]])</f>
        <v/>
      </c>
      <c r="M970" s="72"/>
      <c r="N970" s="31"/>
      <c r="O970" s="85" t="str">
        <f>IF(Tabel1[[#This Row],[% uren 3:]]="","",Tabel1[[#This Row],[% uren 3:]]*Tabel1[[#This Row],[Totale uren:]])</f>
        <v/>
      </c>
      <c r="P970" s="138" t="str">
        <f>IF(Tabel1[[#This Row],[Ordernummer:]]="","",SUM(Tabel1[[#This Row],[% uren 1:]],Tabel1[[#This Row],[% uren 2:]],Tabel1[[#This Row],[% uren 3:]]))</f>
        <v/>
      </c>
      <c r="Q970" s="127"/>
      <c r="R970" s="128"/>
      <c r="S970" s="44"/>
      <c r="T970" s="25"/>
    </row>
    <row r="971" spans="2:20" x14ac:dyDescent="0.25">
      <c r="B971" s="7"/>
      <c r="C971" s="10"/>
      <c r="D971" s="10"/>
      <c r="E971" s="72"/>
      <c r="F971" s="73"/>
      <c r="G971" s="72"/>
      <c r="H971" s="31"/>
      <c r="I971" s="85" t="str">
        <f>IF(Tabel1[[#This Row],[% uren 1:]]="","",Tabel1[[#This Row],[% uren 1:]]*Tabel1[[#This Row],[Totale uren:]])</f>
        <v/>
      </c>
      <c r="J971" s="68"/>
      <c r="K971" s="31"/>
      <c r="L971" s="86" t="str">
        <f>IF(Tabel1[[#This Row],[% uren 2:]]="","",Tabel1[[#This Row],[% uren 2:]]*Tabel1[[#This Row],[Totale uren:]])</f>
        <v/>
      </c>
      <c r="M971" s="72"/>
      <c r="N971" s="31"/>
      <c r="O971" s="85" t="str">
        <f>IF(Tabel1[[#This Row],[% uren 3:]]="","",Tabel1[[#This Row],[% uren 3:]]*Tabel1[[#This Row],[Totale uren:]])</f>
        <v/>
      </c>
      <c r="P971" s="138" t="str">
        <f>IF(Tabel1[[#This Row],[Ordernummer:]]="","",SUM(Tabel1[[#This Row],[% uren 1:]],Tabel1[[#This Row],[% uren 2:]],Tabel1[[#This Row],[% uren 3:]]))</f>
        <v/>
      </c>
      <c r="Q971" s="127"/>
      <c r="R971" s="128"/>
      <c r="S971" s="44"/>
      <c r="T971" s="25"/>
    </row>
    <row r="972" spans="2:20" x14ac:dyDescent="0.25">
      <c r="B972" s="7"/>
      <c r="C972" s="10"/>
      <c r="D972" s="10"/>
      <c r="E972" s="72"/>
      <c r="F972" s="73"/>
      <c r="G972" s="72"/>
      <c r="H972" s="31"/>
      <c r="I972" s="85" t="str">
        <f>IF(Tabel1[[#This Row],[% uren 1:]]="","",Tabel1[[#This Row],[% uren 1:]]*Tabel1[[#This Row],[Totale uren:]])</f>
        <v/>
      </c>
      <c r="J972" s="68"/>
      <c r="K972" s="31"/>
      <c r="L972" s="86" t="str">
        <f>IF(Tabel1[[#This Row],[% uren 2:]]="","",Tabel1[[#This Row],[% uren 2:]]*Tabel1[[#This Row],[Totale uren:]])</f>
        <v/>
      </c>
      <c r="M972" s="72"/>
      <c r="N972" s="31"/>
      <c r="O972" s="85" t="str">
        <f>IF(Tabel1[[#This Row],[% uren 3:]]="","",Tabel1[[#This Row],[% uren 3:]]*Tabel1[[#This Row],[Totale uren:]])</f>
        <v/>
      </c>
      <c r="P972" s="138" t="str">
        <f>IF(Tabel1[[#This Row],[Ordernummer:]]="","",SUM(Tabel1[[#This Row],[% uren 1:]],Tabel1[[#This Row],[% uren 2:]],Tabel1[[#This Row],[% uren 3:]]))</f>
        <v/>
      </c>
      <c r="Q972" s="127"/>
      <c r="R972" s="128"/>
      <c r="S972" s="44"/>
      <c r="T972" s="25"/>
    </row>
    <row r="973" spans="2:20" x14ac:dyDescent="0.25">
      <c r="B973" s="7"/>
      <c r="C973" s="10"/>
      <c r="D973" s="10"/>
      <c r="E973" s="72"/>
      <c r="F973" s="73"/>
      <c r="G973" s="72"/>
      <c r="H973" s="31"/>
      <c r="I973" s="85" t="str">
        <f>IF(Tabel1[[#This Row],[% uren 1:]]="","",Tabel1[[#This Row],[% uren 1:]]*Tabel1[[#This Row],[Totale uren:]])</f>
        <v/>
      </c>
      <c r="J973" s="68"/>
      <c r="K973" s="31"/>
      <c r="L973" s="86" t="str">
        <f>IF(Tabel1[[#This Row],[% uren 2:]]="","",Tabel1[[#This Row],[% uren 2:]]*Tabel1[[#This Row],[Totale uren:]])</f>
        <v/>
      </c>
      <c r="M973" s="72"/>
      <c r="N973" s="31"/>
      <c r="O973" s="85" t="str">
        <f>IF(Tabel1[[#This Row],[% uren 3:]]="","",Tabel1[[#This Row],[% uren 3:]]*Tabel1[[#This Row],[Totale uren:]])</f>
        <v/>
      </c>
      <c r="P973" s="138" t="str">
        <f>IF(Tabel1[[#This Row],[Ordernummer:]]="","",SUM(Tabel1[[#This Row],[% uren 1:]],Tabel1[[#This Row],[% uren 2:]],Tabel1[[#This Row],[% uren 3:]]))</f>
        <v/>
      </c>
      <c r="Q973" s="127"/>
      <c r="R973" s="128"/>
      <c r="S973" s="44"/>
      <c r="T973" s="25"/>
    </row>
    <row r="974" spans="2:20" x14ac:dyDescent="0.25">
      <c r="B974" s="7"/>
      <c r="C974" s="10"/>
      <c r="D974" s="10"/>
      <c r="E974" s="72"/>
      <c r="F974" s="73"/>
      <c r="G974" s="72"/>
      <c r="H974" s="31"/>
      <c r="I974" s="85" t="str">
        <f>IF(Tabel1[[#This Row],[% uren 1:]]="","",Tabel1[[#This Row],[% uren 1:]]*Tabel1[[#This Row],[Totale uren:]])</f>
        <v/>
      </c>
      <c r="J974" s="68"/>
      <c r="K974" s="31"/>
      <c r="L974" s="86" t="str">
        <f>IF(Tabel1[[#This Row],[% uren 2:]]="","",Tabel1[[#This Row],[% uren 2:]]*Tabel1[[#This Row],[Totale uren:]])</f>
        <v/>
      </c>
      <c r="M974" s="72"/>
      <c r="N974" s="31"/>
      <c r="O974" s="85" t="str">
        <f>IF(Tabel1[[#This Row],[% uren 3:]]="","",Tabel1[[#This Row],[% uren 3:]]*Tabel1[[#This Row],[Totale uren:]])</f>
        <v/>
      </c>
      <c r="P974" s="138" t="str">
        <f>IF(Tabel1[[#This Row],[Ordernummer:]]="","",SUM(Tabel1[[#This Row],[% uren 1:]],Tabel1[[#This Row],[% uren 2:]],Tabel1[[#This Row],[% uren 3:]]))</f>
        <v/>
      </c>
      <c r="Q974" s="127"/>
      <c r="R974" s="128"/>
      <c r="S974" s="44"/>
      <c r="T974" s="25"/>
    </row>
    <row r="975" spans="2:20" x14ac:dyDescent="0.25">
      <c r="B975" s="7"/>
      <c r="C975" s="10"/>
      <c r="D975" s="10"/>
      <c r="E975" s="72"/>
      <c r="F975" s="73"/>
      <c r="G975" s="72"/>
      <c r="H975" s="31"/>
      <c r="I975" s="85" t="str">
        <f>IF(Tabel1[[#This Row],[% uren 1:]]="","",Tabel1[[#This Row],[% uren 1:]]*Tabel1[[#This Row],[Totale uren:]])</f>
        <v/>
      </c>
      <c r="J975" s="68"/>
      <c r="K975" s="31"/>
      <c r="L975" s="86" t="str">
        <f>IF(Tabel1[[#This Row],[% uren 2:]]="","",Tabel1[[#This Row],[% uren 2:]]*Tabel1[[#This Row],[Totale uren:]])</f>
        <v/>
      </c>
      <c r="M975" s="72"/>
      <c r="N975" s="31"/>
      <c r="O975" s="85" t="str">
        <f>IF(Tabel1[[#This Row],[% uren 3:]]="","",Tabel1[[#This Row],[% uren 3:]]*Tabel1[[#This Row],[Totale uren:]])</f>
        <v/>
      </c>
      <c r="P975" s="138" t="str">
        <f>IF(Tabel1[[#This Row],[Ordernummer:]]="","",SUM(Tabel1[[#This Row],[% uren 1:]],Tabel1[[#This Row],[% uren 2:]],Tabel1[[#This Row],[% uren 3:]]))</f>
        <v/>
      </c>
      <c r="Q975" s="127"/>
      <c r="R975" s="128"/>
      <c r="S975" s="44"/>
      <c r="T975" s="25"/>
    </row>
    <row r="976" spans="2:20" x14ac:dyDescent="0.25">
      <c r="B976" s="7"/>
      <c r="C976" s="10"/>
      <c r="D976" s="10"/>
      <c r="E976" s="72"/>
      <c r="F976" s="73"/>
      <c r="G976" s="72"/>
      <c r="H976" s="31"/>
      <c r="I976" s="85" t="str">
        <f>IF(Tabel1[[#This Row],[% uren 1:]]="","",Tabel1[[#This Row],[% uren 1:]]*Tabel1[[#This Row],[Totale uren:]])</f>
        <v/>
      </c>
      <c r="J976" s="68"/>
      <c r="K976" s="31"/>
      <c r="L976" s="86" t="str">
        <f>IF(Tabel1[[#This Row],[% uren 2:]]="","",Tabel1[[#This Row],[% uren 2:]]*Tabel1[[#This Row],[Totale uren:]])</f>
        <v/>
      </c>
      <c r="M976" s="72"/>
      <c r="N976" s="31"/>
      <c r="O976" s="85" t="str">
        <f>IF(Tabel1[[#This Row],[% uren 3:]]="","",Tabel1[[#This Row],[% uren 3:]]*Tabel1[[#This Row],[Totale uren:]])</f>
        <v/>
      </c>
      <c r="P976" s="138" t="str">
        <f>IF(Tabel1[[#This Row],[Ordernummer:]]="","",SUM(Tabel1[[#This Row],[% uren 1:]],Tabel1[[#This Row],[% uren 2:]],Tabel1[[#This Row],[% uren 3:]]))</f>
        <v/>
      </c>
      <c r="Q976" s="127"/>
      <c r="R976" s="128"/>
      <c r="S976" s="44"/>
      <c r="T976" s="25"/>
    </row>
    <row r="977" spans="2:20" x14ac:dyDescent="0.25">
      <c r="B977" s="7"/>
      <c r="C977" s="10"/>
      <c r="D977" s="10"/>
      <c r="E977" s="72"/>
      <c r="F977" s="73"/>
      <c r="G977" s="72"/>
      <c r="H977" s="31"/>
      <c r="I977" s="85" t="str">
        <f>IF(Tabel1[[#This Row],[% uren 1:]]="","",Tabel1[[#This Row],[% uren 1:]]*Tabel1[[#This Row],[Totale uren:]])</f>
        <v/>
      </c>
      <c r="J977" s="68"/>
      <c r="K977" s="31"/>
      <c r="L977" s="86" t="str">
        <f>IF(Tabel1[[#This Row],[% uren 2:]]="","",Tabel1[[#This Row],[% uren 2:]]*Tabel1[[#This Row],[Totale uren:]])</f>
        <v/>
      </c>
      <c r="M977" s="72"/>
      <c r="N977" s="31"/>
      <c r="O977" s="85" t="str">
        <f>IF(Tabel1[[#This Row],[% uren 3:]]="","",Tabel1[[#This Row],[% uren 3:]]*Tabel1[[#This Row],[Totale uren:]])</f>
        <v/>
      </c>
      <c r="P977" s="138" t="str">
        <f>IF(Tabel1[[#This Row],[Ordernummer:]]="","",SUM(Tabel1[[#This Row],[% uren 1:]],Tabel1[[#This Row],[% uren 2:]],Tabel1[[#This Row],[% uren 3:]]))</f>
        <v/>
      </c>
      <c r="Q977" s="127"/>
      <c r="R977" s="128"/>
      <c r="S977" s="44"/>
      <c r="T977" s="25"/>
    </row>
    <row r="978" spans="2:20" x14ac:dyDescent="0.25">
      <c r="B978" s="7"/>
      <c r="C978" s="10"/>
      <c r="D978" s="10"/>
      <c r="E978" s="72"/>
      <c r="F978" s="73"/>
      <c r="G978" s="72"/>
      <c r="H978" s="31"/>
      <c r="I978" s="85" t="str">
        <f>IF(Tabel1[[#This Row],[% uren 1:]]="","",Tabel1[[#This Row],[% uren 1:]]*Tabel1[[#This Row],[Totale uren:]])</f>
        <v/>
      </c>
      <c r="J978" s="68"/>
      <c r="K978" s="31"/>
      <c r="L978" s="86" t="str">
        <f>IF(Tabel1[[#This Row],[% uren 2:]]="","",Tabel1[[#This Row],[% uren 2:]]*Tabel1[[#This Row],[Totale uren:]])</f>
        <v/>
      </c>
      <c r="M978" s="72"/>
      <c r="N978" s="31"/>
      <c r="O978" s="85" t="str">
        <f>IF(Tabel1[[#This Row],[% uren 3:]]="","",Tabel1[[#This Row],[% uren 3:]]*Tabel1[[#This Row],[Totale uren:]])</f>
        <v/>
      </c>
      <c r="P978" s="138" t="str">
        <f>IF(Tabel1[[#This Row],[Ordernummer:]]="","",SUM(Tabel1[[#This Row],[% uren 1:]],Tabel1[[#This Row],[% uren 2:]],Tabel1[[#This Row],[% uren 3:]]))</f>
        <v/>
      </c>
      <c r="Q978" s="127"/>
      <c r="R978" s="128"/>
      <c r="S978" s="44"/>
      <c r="T978" s="25"/>
    </row>
    <row r="979" spans="2:20" x14ac:dyDescent="0.25">
      <c r="B979" s="7"/>
      <c r="C979" s="10"/>
      <c r="D979" s="10"/>
      <c r="E979" s="72"/>
      <c r="F979" s="73"/>
      <c r="G979" s="72"/>
      <c r="H979" s="31"/>
      <c r="I979" s="85" t="str">
        <f>IF(Tabel1[[#This Row],[% uren 1:]]="","",Tabel1[[#This Row],[% uren 1:]]*Tabel1[[#This Row],[Totale uren:]])</f>
        <v/>
      </c>
      <c r="J979" s="68"/>
      <c r="K979" s="31"/>
      <c r="L979" s="86" t="str">
        <f>IF(Tabel1[[#This Row],[% uren 2:]]="","",Tabel1[[#This Row],[% uren 2:]]*Tabel1[[#This Row],[Totale uren:]])</f>
        <v/>
      </c>
      <c r="M979" s="72"/>
      <c r="N979" s="31"/>
      <c r="O979" s="85" t="str">
        <f>IF(Tabel1[[#This Row],[% uren 3:]]="","",Tabel1[[#This Row],[% uren 3:]]*Tabel1[[#This Row],[Totale uren:]])</f>
        <v/>
      </c>
      <c r="P979" s="138" t="str">
        <f>IF(Tabel1[[#This Row],[Ordernummer:]]="","",SUM(Tabel1[[#This Row],[% uren 1:]],Tabel1[[#This Row],[% uren 2:]],Tabel1[[#This Row],[% uren 3:]]))</f>
        <v/>
      </c>
      <c r="Q979" s="127"/>
      <c r="R979" s="128"/>
      <c r="S979" s="44"/>
      <c r="T979" s="25"/>
    </row>
    <row r="980" spans="2:20" x14ac:dyDescent="0.25">
      <c r="B980" s="7"/>
      <c r="C980" s="10"/>
      <c r="D980" s="10"/>
      <c r="E980" s="72"/>
      <c r="F980" s="73"/>
      <c r="G980" s="72"/>
      <c r="H980" s="31"/>
      <c r="I980" s="85" t="str">
        <f>IF(Tabel1[[#This Row],[% uren 1:]]="","",Tabel1[[#This Row],[% uren 1:]]*Tabel1[[#This Row],[Totale uren:]])</f>
        <v/>
      </c>
      <c r="J980" s="68"/>
      <c r="K980" s="31"/>
      <c r="L980" s="86" t="str">
        <f>IF(Tabel1[[#This Row],[% uren 2:]]="","",Tabel1[[#This Row],[% uren 2:]]*Tabel1[[#This Row],[Totale uren:]])</f>
        <v/>
      </c>
      <c r="M980" s="72"/>
      <c r="N980" s="31"/>
      <c r="O980" s="85" t="str">
        <f>IF(Tabel1[[#This Row],[% uren 3:]]="","",Tabel1[[#This Row],[% uren 3:]]*Tabel1[[#This Row],[Totale uren:]])</f>
        <v/>
      </c>
      <c r="P980" s="138" t="str">
        <f>IF(Tabel1[[#This Row],[Ordernummer:]]="","",SUM(Tabel1[[#This Row],[% uren 1:]],Tabel1[[#This Row],[% uren 2:]],Tabel1[[#This Row],[% uren 3:]]))</f>
        <v/>
      </c>
      <c r="Q980" s="127"/>
      <c r="R980" s="128"/>
      <c r="S980" s="44"/>
      <c r="T980" s="25"/>
    </row>
    <row r="981" spans="2:20" x14ac:dyDescent="0.25">
      <c r="B981" s="7"/>
      <c r="C981" s="10"/>
      <c r="D981" s="10"/>
      <c r="E981" s="72"/>
      <c r="F981" s="73"/>
      <c r="G981" s="72"/>
      <c r="H981" s="31"/>
      <c r="I981" s="85" t="str">
        <f>IF(Tabel1[[#This Row],[% uren 1:]]="","",Tabel1[[#This Row],[% uren 1:]]*Tabel1[[#This Row],[Totale uren:]])</f>
        <v/>
      </c>
      <c r="J981" s="68"/>
      <c r="K981" s="31"/>
      <c r="L981" s="86" t="str">
        <f>IF(Tabel1[[#This Row],[% uren 2:]]="","",Tabel1[[#This Row],[% uren 2:]]*Tabel1[[#This Row],[Totale uren:]])</f>
        <v/>
      </c>
      <c r="M981" s="72"/>
      <c r="N981" s="31"/>
      <c r="O981" s="85" t="str">
        <f>IF(Tabel1[[#This Row],[% uren 3:]]="","",Tabel1[[#This Row],[% uren 3:]]*Tabel1[[#This Row],[Totale uren:]])</f>
        <v/>
      </c>
      <c r="P981" s="138" t="str">
        <f>IF(Tabel1[[#This Row],[Ordernummer:]]="","",SUM(Tabel1[[#This Row],[% uren 1:]],Tabel1[[#This Row],[% uren 2:]],Tabel1[[#This Row],[% uren 3:]]))</f>
        <v/>
      </c>
      <c r="Q981" s="127"/>
      <c r="R981" s="128"/>
      <c r="S981" s="44"/>
      <c r="T981" s="25"/>
    </row>
    <row r="982" spans="2:20" x14ac:dyDescent="0.25">
      <c r="B982" s="7"/>
      <c r="C982" s="10"/>
      <c r="D982" s="10"/>
      <c r="E982" s="72"/>
      <c r="F982" s="73"/>
      <c r="G982" s="72"/>
      <c r="H982" s="31"/>
      <c r="I982" s="85" t="str">
        <f>IF(Tabel1[[#This Row],[% uren 1:]]="","",Tabel1[[#This Row],[% uren 1:]]*Tabel1[[#This Row],[Totale uren:]])</f>
        <v/>
      </c>
      <c r="J982" s="68"/>
      <c r="K982" s="31"/>
      <c r="L982" s="86" t="str">
        <f>IF(Tabel1[[#This Row],[% uren 2:]]="","",Tabel1[[#This Row],[% uren 2:]]*Tabel1[[#This Row],[Totale uren:]])</f>
        <v/>
      </c>
      <c r="M982" s="72"/>
      <c r="N982" s="31"/>
      <c r="O982" s="85" t="str">
        <f>IF(Tabel1[[#This Row],[% uren 3:]]="","",Tabel1[[#This Row],[% uren 3:]]*Tabel1[[#This Row],[Totale uren:]])</f>
        <v/>
      </c>
      <c r="P982" s="138" t="str">
        <f>IF(Tabel1[[#This Row],[Ordernummer:]]="","",SUM(Tabel1[[#This Row],[% uren 1:]],Tabel1[[#This Row],[% uren 2:]],Tabel1[[#This Row],[% uren 3:]]))</f>
        <v/>
      </c>
      <c r="Q982" s="127"/>
      <c r="R982" s="128"/>
      <c r="S982" s="44"/>
      <c r="T982" s="25"/>
    </row>
    <row r="983" spans="2:20" x14ac:dyDescent="0.25">
      <c r="B983" s="7"/>
      <c r="C983" s="10"/>
      <c r="D983" s="10"/>
      <c r="E983" s="72"/>
      <c r="F983" s="73"/>
      <c r="G983" s="72"/>
      <c r="H983" s="31"/>
      <c r="I983" s="85" t="str">
        <f>IF(Tabel1[[#This Row],[% uren 1:]]="","",Tabel1[[#This Row],[% uren 1:]]*Tabel1[[#This Row],[Totale uren:]])</f>
        <v/>
      </c>
      <c r="J983" s="68"/>
      <c r="K983" s="31"/>
      <c r="L983" s="86" t="str">
        <f>IF(Tabel1[[#This Row],[% uren 2:]]="","",Tabel1[[#This Row],[% uren 2:]]*Tabel1[[#This Row],[Totale uren:]])</f>
        <v/>
      </c>
      <c r="M983" s="72"/>
      <c r="N983" s="31"/>
      <c r="O983" s="85" t="str">
        <f>IF(Tabel1[[#This Row],[% uren 3:]]="","",Tabel1[[#This Row],[% uren 3:]]*Tabel1[[#This Row],[Totale uren:]])</f>
        <v/>
      </c>
      <c r="P983" s="138" t="str">
        <f>IF(Tabel1[[#This Row],[Ordernummer:]]="","",SUM(Tabel1[[#This Row],[% uren 1:]],Tabel1[[#This Row],[% uren 2:]],Tabel1[[#This Row],[% uren 3:]]))</f>
        <v/>
      </c>
      <c r="Q983" s="127"/>
      <c r="R983" s="128"/>
      <c r="S983" s="44"/>
      <c r="T983" s="25"/>
    </row>
    <row r="984" spans="2:20" x14ac:dyDescent="0.25">
      <c r="B984" s="7"/>
      <c r="C984" s="10"/>
      <c r="D984" s="10"/>
      <c r="E984" s="72"/>
      <c r="F984" s="73"/>
      <c r="G984" s="72"/>
      <c r="H984" s="31"/>
      <c r="I984" s="85" t="str">
        <f>IF(Tabel1[[#This Row],[% uren 1:]]="","",Tabel1[[#This Row],[% uren 1:]]*Tabel1[[#This Row],[Totale uren:]])</f>
        <v/>
      </c>
      <c r="J984" s="68"/>
      <c r="K984" s="31"/>
      <c r="L984" s="86" t="str">
        <f>IF(Tabel1[[#This Row],[% uren 2:]]="","",Tabel1[[#This Row],[% uren 2:]]*Tabel1[[#This Row],[Totale uren:]])</f>
        <v/>
      </c>
      <c r="M984" s="72"/>
      <c r="N984" s="31"/>
      <c r="O984" s="85" t="str">
        <f>IF(Tabel1[[#This Row],[% uren 3:]]="","",Tabel1[[#This Row],[% uren 3:]]*Tabel1[[#This Row],[Totale uren:]])</f>
        <v/>
      </c>
      <c r="P984" s="138" t="str">
        <f>IF(Tabel1[[#This Row],[Ordernummer:]]="","",SUM(Tabel1[[#This Row],[% uren 1:]],Tabel1[[#This Row],[% uren 2:]],Tabel1[[#This Row],[% uren 3:]]))</f>
        <v/>
      </c>
      <c r="Q984" s="127"/>
      <c r="R984" s="128"/>
      <c r="S984" s="44"/>
      <c r="T984" s="25"/>
    </row>
    <row r="985" spans="2:20" x14ac:dyDescent="0.25">
      <c r="B985" s="7"/>
      <c r="C985" s="10"/>
      <c r="D985" s="10"/>
      <c r="E985" s="72"/>
      <c r="F985" s="73"/>
      <c r="G985" s="72"/>
      <c r="H985" s="31"/>
      <c r="I985" s="85" t="str">
        <f>IF(Tabel1[[#This Row],[% uren 1:]]="","",Tabel1[[#This Row],[% uren 1:]]*Tabel1[[#This Row],[Totale uren:]])</f>
        <v/>
      </c>
      <c r="J985" s="68"/>
      <c r="K985" s="31"/>
      <c r="L985" s="86" t="str">
        <f>IF(Tabel1[[#This Row],[% uren 2:]]="","",Tabel1[[#This Row],[% uren 2:]]*Tabel1[[#This Row],[Totale uren:]])</f>
        <v/>
      </c>
      <c r="M985" s="72"/>
      <c r="N985" s="31"/>
      <c r="O985" s="85" t="str">
        <f>IF(Tabel1[[#This Row],[% uren 3:]]="","",Tabel1[[#This Row],[% uren 3:]]*Tabel1[[#This Row],[Totale uren:]])</f>
        <v/>
      </c>
      <c r="P985" s="138" t="str">
        <f>IF(Tabel1[[#This Row],[Ordernummer:]]="","",SUM(Tabel1[[#This Row],[% uren 1:]],Tabel1[[#This Row],[% uren 2:]],Tabel1[[#This Row],[% uren 3:]]))</f>
        <v/>
      </c>
      <c r="Q985" s="127"/>
      <c r="R985" s="128"/>
      <c r="S985" s="44"/>
      <c r="T985" s="25"/>
    </row>
    <row r="986" spans="2:20" x14ac:dyDescent="0.25">
      <c r="B986" s="7"/>
      <c r="C986" s="10"/>
      <c r="D986" s="10"/>
      <c r="E986" s="72"/>
      <c r="F986" s="73"/>
      <c r="G986" s="72"/>
      <c r="H986" s="31"/>
      <c r="I986" s="85" t="str">
        <f>IF(Tabel1[[#This Row],[% uren 1:]]="","",Tabel1[[#This Row],[% uren 1:]]*Tabel1[[#This Row],[Totale uren:]])</f>
        <v/>
      </c>
      <c r="J986" s="68"/>
      <c r="K986" s="31"/>
      <c r="L986" s="86" t="str">
        <f>IF(Tabel1[[#This Row],[% uren 2:]]="","",Tabel1[[#This Row],[% uren 2:]]*Tabel1[[#This Row],[Totale uren:]])</f>
        <v/>
      </c>
      <c r="M986" s="72"/>
      <c r="N986" s="31"/>
      <c r="O986" s="85" t="str">
        <f>IF(Tabel1[[#This Row],[% uren 3:]]="","",Tabel1[[#This Row],[% uren 3:]]*Tabel1[[#This Row],[Totale uren:]])</f>
        <v/>
      </c>
      <c r="P986" s="138" t="str">
        <f>IF(Tabel1[[#This Row],[Ordernummer:]]="","",SUM(Tabel1[[#This Row],[% uren 1:]],Tabel1[[#This Row],[% uren 2:]],Tabel1[[#This Row],[% uren 3:]]))</f>
        <v/>
      </c>
      <c r="Q986" s="127"/>
      <c r="R986" s="128"/>
      <c r="S986" s="44"/>
      <c r="T986" s="25"/>
    </row>
    <row r="987" spans="2:20" x14ac:dyDescent="0.25">
      <c r="B987" s="7"/>
      <c r="C987" s="10"/>
      <c r="D987" s="10"/>
      <c r="E987" s="72"/>
      <c r="F987" s="73"/>
      <c r="G987" s="72"/>
      <c r="H987" s="31"/>
      <c r="I987" s="85" t="str">
        <f>IF(Tabel1[[#This Row],[% uren 1:]]="","",Tabel1[[#This Row],[% uren 1:]]*Tabel1[[#This Row],[Totale uren:]])</f>
        <v/>
      </c>
      <c r="J987" s="68"/>
      <c r="K987" s="31"/>
      <c r="L987" s="86" t="str">
        <f>IF(Tabel1[[#This Row],[% uren 2:]]="","",Tabel1[[#This Row],[% uren 2:]]*Tabel1[[#This Row],[Totale uren:]])</f>
        <v/>
      </c>
      <c r="M987" s="72"/>
      <c r="N987" s="31"/>
      <c r="O987" s="85" t="str">
        <f>IF(Tabel1[[#This Row],[% uren 3:]]="","",Tabel1[[#This Row],[% uren 3:]]*Tabel1[[#This Row],[Totale uren:]])</f>
        <v/>
      </c>
      <c r="P987" s="138" t="str">
        <f>IF(Tabel1[[#This Row],[Ordernummer:]]="","",SUM(Tabel1[[#This Row],[% uren 1:]],Tabel1[[#This Row],[% uren 2:]],Tabel1[[#This Row],[% uren 3:]]))</f>
        <v/>
      </c>
      <c r="Q987" s="127"/>
      <c r="R987" s="128"/>
      <c r="S987" s="44"/>
      <c r="T987" s="25"/>
    </row>
    <row r="988" spans="2:20" x14ac:dyDescent="0.25">
      <c r="B988" s="7"/>
      <c r="C988" s="10"/>
      <c r="D988" s="10"/>
      <c r="E988" s="72"/>
      <c r="F988" s="73"/>
      <c r="G988" s="72"/>
      <c r="H988" s="31"/>
      <c r="I988" s="85" t="str">
        <f>IF(Tabel1[[#This Row],[% uren 1:]]="","",Tabel1[[#This Row],[% uren 1:]]*Tabel1[[#This Row],[Totale uren:]])</f>
        <v/>
      </c>
      <c r="J988" s="68"/>
      <c r="K988" s="31"/>
      <c r="L988" s="86" t="str">
        <f>IF(Tabel1[[#This Row],[% uren 2:]]="","",Tabel1[[#This Row],[% uren 2:]]*Tabel1[[#This Row],[Totale uren:]])</f>
        <v/>
      </c>
      <c r="M988" s="72"/>
      <c r="N988" s="31"/>
      <c r="O988" s="85" t="str">
        <f>IF(Tabel1[[#This Row],[% uren 3:]]="","",Tabel1[[#This Row],[% uren 3:]]*Tabel1[[#This Row],[Totale uren:]])</f>
        <v/>
      </c>
      <c r="P988" s="138" t="str">
        <f>IF(Tabel1[[#This Row],[Ordernummer:]]="","",SUM(Tabel1[[#This Row],[% uren 1:]],Tabel1[[#This Row],[% uren 2:]],Tabel1[[#This Row],[% uren 3:]]))</f>
        <v/>
      </c>
      <c r="Q988" s="127"/>
      <c r="R988" s="128"/>
      <c r="S988" s="44"/>
      <c r="T988" s="25"/>
    </row>
    <row r="989" spans="2:20" x14ac:dyDescent="0.25">
      <c r="B989" s="7"/>
      <c r="C989" s="10"/>
      <c r="D989" s="10"/>
      <c r="E989" s="72"/>
      <c r="F989" s="73"/>
      <c r="G989" s="72"/>
      <c r="H989" s="31"/>
      <c r="I989" s="85" t="str">
        <f>IF(Tabel1[[#This Row],[% uren 1:]]="","",Tabel1[[#This Row],[% uren 1:]]*Tabel1[[#This Row],[Totale uren:]])</f>
        <v/>
      </c>
      <c r="J989" s="68"/>
      <c r="K989" s="31"/>
      <c r="L989" s="86" t="str">
        <f>IF(Tabel1[[#This Row],[% uren 2:]]="","",Tabel1[[#This Row],[% uren 2:]]*Tabel1[[#This Row],[Totale uren:]])</f>
        <v/>
      </c>
      <c r="M989" s="72"/>
      <c r="N989" s="31"/>
      <c r="O989" s="85" t="str">
        <f>IF(Tabel1[[#This Row],[% uren 3:]]="","",Tabel1[[#This Row],[% uren 3:]]*Tabel1[[#This Row],[Totale uren:]])</f>
        <v/>
      </c>
      <c r="P989" s="138" t="str">
        <f>IF(Tabel1[[#This Row],[Ordernummer:]]="","",SUM(Tabel1[[#This Row],[% uren 1:]],Tabel1[[#This Row],[% uren 2:]],Tabel1[[#This Row],[% uren 3:]]))</f>
        <v/>
      </c>
      <c r="Q989" s="127"/>
      <c r="R989" s="128"/>
      <c r="S989" s="44"/>
      <c r="T989" s="25"/>
    </row>
    <row r="990" spans="2:20" x14ac:dyDescent="0.25">
      <c r="B990" s="7"/>
      <c r="C990" s="10"/>
      <c r="D990" s="10"/>
      <c r="E990" s="72"/>
      <c r="F990" s="73"/>
      <c r="G990" s="72"/>
      <c r="H990" s="31"/>
      <c r="I990" s="85" t="str">
        <f>IF(Tabel1[[#This Row],[% uren 1:]]="","",Tabel1[[#This Row],[% uren 1:]]*Tabel1[[#This Row],[Totale uren:]])</f>
        <v/>
      </c>
      <c r="J990" s="68"/>
      <c r="K990" s="31"/>
      <c r="L990" s="86" t="str">
        <f>IF(Tabel1[[#This Row],[% uren 2:]]="","",Tabel1[[#This Row],[% uren 2:]]*Tabel1[[#This Row],[Totale uren:]])</f>
        <v/>
      </c>
      <c r="M990" s="72"/>
      <c r="N990" s="31"/>
      <c r="O990" s="85" t="str">
        <f>IF(Tabel1[[#This Row],[% uren 3:]]="","",Tabel1[[#This Row],[% uren 3:]]*Tabel1[[#This Row],[Totale uren:]])</f>
        <v/>
      </c>
      <c r="P990" s="138" t="str">
        <f>IF(Tabel1[[#This Row],[Ordernummer:]]="","",SUM(Tabel1[[#This Row],[% uren 1:]],Tabel1[[#This Row],[% uren 2:]],Tabel1[[#This Row],[% uren 3:]]))</f>
        <v/>
      </c>
      <c r="Q990" s="127"/>
      <c r="R990" s="128"/>
      <c r="S990" s="44"/>
      <c r="T990" s="25"/>
    </row>
    <row r="991" spans="2:20" x14ac:dyDescent="0.25">
      <c r="B991" s="7"/>
      <c r="C991" s="10"/>
      <c r="D991" s="10"/>
      <c r="E991" s="72"/>
      <c r="F991" s="73"/>
      <c r="G991" s="72"/>
      <c r="H991" s="31"/>
      <c r="I991" s="85" t="str">
        <f>IF(Tabel1[[#This Row],[% uren 1:]]="","",Tabel1[[#This Row],[% uren 1:]]*Tabel1[[#This Row],[Totale uren:]])</f>
        <v/>
      </c>
      <c r="J991" s="68"/>
      <c r="K991" s="31"/>
      <c r="L991" s="86" t="str">
        <f>IF(Tabel1[[#This Row],[% uren 2:]]="","",Tabel1[[#This Row],[% uren 2:]]*Tabel1[[#This Row],[Totale uren:]])</f>
        <v/>
      </c>
      <c r="M991" s="72"/>
      <c r="N991" s="31"/>
      <c r="O991" s="85" t="str">
        <f>IF(Tabel1[[#This Row],[% uren 3:]]="","",Tabel1[[#This Row],[% uren 3:]]*Tabel1[[#This Row],[Totale uren:]])</f>
        <v/>
      </c>
      <c r="P991" s="138" t="str">
        <f>IF(Tabel1[[#This Row],[Ordernummer:]]="","",SUM(Tabel1[[#This Row],[% uren 1:]],Tabel1[[#This Row],[% uren 2:]],Tabel1[[#This Row],[% uren 3:]]))</f>
        <v/>
      </c>
      <c r="Q991" s="127"/>
      <c r="R991" s="128"/>
      <c r="S991" s="44"/>
      <c r="T991" s="25"/>
    </row>
    <row r="992" spans="2:20" x14ac:dyDescent="0.25">
      <c r="B992" s="7"/>
      <c r="C992" s="10"/>
      <c r="D992" s="10"/>
      <c r="E992" s="72"/>
      <c r="F992" s="73"/>
      <c r="G992" s="72"/>
      <c r="H992" s="31"/>
      <c r="I992" s="85" t="str">
        <f>IF(Tabel1[[#This Row],[% uren 1:]]="","",Tabel1[[#This Row],[% uren 1:]]*Tabel1[[#This Row],[Totale uren:]])</f>
        <v/>
      </c>
      <c r="J992" s="68"/>
      <c r="K992" s="31"/>
      <c r="L992" s="86" t="str">
        <f>IF(Tabel1[[#This Row],[% uren 2:]]="","",Tabel1[[#This Row],[% uren 2:]]*Tabel1[[#This Row],[Totale uren:]])</f>
        <v/>
      </c>
      <c r="M992" s="72"/>
      <c r="N992" s="31"/>
      <c r="O992" s="85" t="str">
        <f>IF(Tabel1[[#This Row],[% uren 3:]]="","",Tabel1[[#This Row],[% uren 3:]]*Tabel1[[#This Row],[Totale uren:]])</f>
        <v/>
      </c>
      <c r="P992" s="138" t="str">
        <f>IF(Tabel1[[#This Row],[Ordernummer:]]="","",SUM(Tabel1[[#This Row],[% uren 1:]],Tabel1[[#This Row],[% uren 2:]],Tabel1[[#This Row],[% uren 3:]]))</f>
        <v/>
      </c>
      <c r="Q992" s="127"/>
      <c r="R992" s="128"/>
      <c r="S992" s="44"/>
      <c r="T992" s="25"/>
    </row>
    <row r="993" spans="2:20" x14ac:dyDescent="0.25">
      <c r="B993" s="7"/>
      <c r="C993" s="10"/>
      <c r="D993" s="10"/>
      <c r="E993" s="72"/>
      <c r="F993" s="73"/>
      <c r="G993" s="72"/>
      <c r="H993" s="31"/>
      <c r="I993" s="85" t="str">
        <f>IF(Tabel1[[#This Row],[% uren 1:]]="","",Tabel1[[#This Row],[% uren 1:]]*Tabel1[[#This Row],[Totale uren:]])</f>
        <v/>
      </c>
      <c r="J993" s="68"/>
      <c r="K993" s="31"/>
      <c r="L993" s="86" t="str">
        <f>IF(Tabel1[[#This Row],[% uren 2:]]="","",Tabel1[[#This Row],[% uren 2:]]*Tabel1[[#This Row],[Totale uren:]])</f>
        <v/>
      </c>
      <c r="M993" s="72"/>
      <c r="N993" s="31"/>
      <c r="O993" s="85" t="str">
        <f>IF(Tabel1[[#This Row],[% uren 3:]]="","",Tabel1[[#This Row],[% uren 3:]]*Tabel1[[#This Row],[Totale uren:]])</f>
        <v/>
      </c>
      <c r="P993" s="138" t="str">
        <f>IF(Tabel1[[#This Row],[Ordernummer:]]="","",SUM(Tabel1[[#This Row],[% uren 1:]],Tabel1[[#This Row],[% uren 2:]],Tabel1[[#This Row],[% uren 3:]]))</f>
        <v/>
      </c>
      <c r="Q993" s="127"/>
      <c r="R993" s="128"/>
      <c r="S993" s="44"/>
      <c r="T993" s="25"/>
    </row>
    <row r="994" spans="2:20" x14ac:dyDescent="0.25">
      <c r="B994" s="7"/>
      <c r="C994" s="10"/>
      <c r="D994" s="10"/>
      <c r="E994" s="72"/>
      <c r="F994" s="73"/>
      <c r="G994" s="72"/>
      <c r="H994" s="31"/>
      <c r="I994" s="85" t="str">
        <f>IF(Tabel1[[#This Row],[% uren 1:]]="","",Tabel1[[#This Row],[% uren 1:]]*Tabel1[[#This Row],[Totale uren:]])</f>
        <v/>
      </c>
      <c r="J994" s="68"/>
      <c r="K994" s="31"/>
      <c r="L994" s="86" t="str">
        <f>IF(Tabel1[[#This Row],[% uren 2:]]="","",Tabel1[[#This Row],[% uren 2:]]*Tabel1[[#This Row],[Totale uren:]])</f>
        <v/>
      </c>
      <c r="M994" s="72"/>
      <c r="N994" s="31"/>
      <c r="O994" s="85" t="str">
        <f>IF(Tabel1[[#This Row],[% uren 3:]]="","",Tabel1[[#This Row],[% uren 3:]]*Tabel1[[#This Row],[Totale uren:]])</f>
        <v/>
      </c>
      <c r="P994" s="138" t="str">
        <f>IF(Tabel1[[#This Row],[Ordernummer:]]="","",SUM(Tabel1[[#This Row],[% uren 1:]],Tabel1[[#This Row],[% uren 2:]],Tabel1[[#This Row],[% uren 3:]]))</f>
        <v/>
      </c>
      <c r="Q994" s="127"/>
      <c r="R994" s="128"/>
      <c r="S994" s="44"/>
      <c r="T994" s="25"/>
    </row>
    <row r="995" spans="2:20" x14ac:dyDescent="0.25">
      <c r="B995" s="7"/>
      <c r="C995" s="10"/>
      <c r="D995" s="10"/>
      <c r="E995" s="72"/>
      <c r="F995" s="73"/>
      <c r="G995" s="72"/>
      <c r="H995" s="31"/>
      <c r="I995" s="85" t="str">
        <f>IF(Tabel1[[#This Row],[% uren 1:]]="","",Tabel1[[#This Row],[% uren 1:]]*Tabel1[[#This Row],[Totale uren:]])</f>
        <v/>
      </c>
      <c r="J995" s="68"/>
      <c r="K995" s="31"/>
      <c r="L995" s="86" t="str">
        <f>IF(Tabel1[[#This Row],[% uren 2:]]="","",Tabel1[[#This Row],[% uren 2:]]*Tabel1[[#This Row],[Totale uren:]])</f>
        <v/>
      </c>
      <c r="M995" s="72"/>
      <c r="N995" s="31"/>
      <c r="O995" s="85" t="str">
        <f>IF(Tabel1[[#This Row],[% uren 3:]]="","",Tabel1[[#This Row],[% uren 3:]]*Tabel1[[#This Row],[Totale uren:]])</f>
        <v/>
      </c>
      <c r="P995" s="138" t="str">
        <f>IF(Tabel1[[#This Row],[Ordernummer:]]="","",SUM(Tabel1[[#This Row],[% uren 1:]],Tabel1[[#This Row],[% uren 2:]],Tabel1[[#This Row],[% uren 3:]]))</f>
        <v/>
      </c>
      <c r="Q995" s="127"/>
      <c r="R995" s="128"/>
      <c r="S995" s="44"/>
      <c r="T995" s="25"/>
    </row>
    <row r="996" spans="2:20" x14ac:dyDescent="0.25">
      <c r="B996" s="7"/>
      <c r="C996" s="10"/>
      <c r="D996" s="10"/>
      <c r="E996" s="72"/>
      <c r="F996" s="73"/>
      <c r="G996" s="72"/>
      <c r="H996" s="31"/>
      <c r="I996" s="85" t="str">
        <f>IF(Tabel1[[#This Row],[% uren 1:]]="","",Tabel1[[#This Row],[% uren 1:]]*Tabel1[[#This Row],[Totale uren:]])</f>
        <v/>
      </c>
      <c r="J996" s="68"/>
      <c r="K996" s="31"/>
      <c r="L996" s="86" t="str">
        <f>IF(Tabel1[[#This Row],[% uren 2:]]="","",Tabel1[[#This Row],[% uren 2:]]*Tabel1[[#This Row],[Totale uren:]])</f>
        <v/>
      </c>
      <c r="M996" s="72"/>
      <c r="N996" s="31"/>
      <c r="O996" s="85" t="str">
        <f>IF(Tabel1[[#This Row],[% uren 3:]]="","",Tabel1[[#This Row],[% uren 3:]]*Tabel1[[#This Row],[Totale uren:]])</f>
        <v/>
      </c>
      <c r="P996" s="138" t="str">
        <f>IF(Tabel1[[#This Row],[Ordernummer:]]="","",SUM(Tabel1[[#This Row],[% uren 1:]],Tabel1[[#This Row],[% uren 2:]],Tabel1[[#This Row],[% uren 3:]]))</f>
        <v/>
      </c>
      <c r="Q996" s="127"/>
      <c r="R996" s="128"/>
      <c r="S996" s="44"/>
      <c r="T996" s="25"/>
    </row>
    <row r="997" spans="2:20" x14ac:dyDescent="0.25">
      <c r="B997" s="7"/>
      <c r="C997" s="10"/>
      <c r="D997" s="10"/>
      <c r="E997" s="72"/>
      <c r="F997" s="73"/>
      <c r="G997" s="72"/>
      <c r="H997" s="31"/>
      <c r="I997" s="85" t="str">
        <f>IF(Tabel1[[#This Row],[% uren 1:]]="","",Tabel1[[#This Row],[% uren 1:]]*Tabel1[[#This Row],[Totale uren:]])</f>
        <v/>
      </c>
      <c r="J997" s="68"/>
      <c r="K997" s="31"/>
      <c r="L997" s="86" t="str">
        <f>IF(Tabel1[[#This Row],[% uren 2:]]="","",Tabel1[[#This Row],[% uren 2:]]*Tabel1[[#This Row],[Totale uren:]])</f>
        <v/>
      </c>
      <c r="M997" s="72"/>
      <c r="N997" s="31"/>
      <c r="O997" s="85" t="str">
        <f>IF(Tabel1[[#This Row],[% uren 3:]]="","",Tabel1[[#This Row],[% uren 3:]]*Tabel1[[#This Row],[Totale uren:]])</f>
        <v/>
      </c>
      <c r="P997" s="138" t="str">
        <f>IF(Tabel1[[#This Row],[Ordernummer:]]="","",SUM(Tabel1[[#This Row],[% uren 1:]],Tabel1[[#This Row],[% uren 2:]],Tabel1[[#This Row],[% uren 3:]]))</f>
        <v/>
      </c>
      <c r="Q997" s="127"/>
      <c r="R997" s="128"/>
      <c r="S997" s="44"/>
      <c r="T997" s="25"/>
    </row>
    <row r="998" spans="2:20" x14ac:dyDescent="0.25">
      <c r="B998" s="7"/>
      <c r="C998" s="10"/>
      <c r="D998" s="10"/>
      <c r="E998" s="72"/>
      <c r="F998" s="73"/>
      <c r="G998" s="72"/>
      <c r="H998" s="31"/>
      <c r="I998" s="85" t="str">
        <f>IF(Tabel1[[#This Row],[% uren 1:]]="","",Tabel1[[#This Row],[% uren 1:]]*Tabel1[[#This Row],[Totale uren:]])</f>
        <v/>
      </c>
      <c r="J998" s="68"/>
      <c r="K998" s="31"/>
      <c r="L998" s="86" t="str">
        <f>IF(Tabel1[[#This Row],[% uren 2:]]="","",Tabel1[[#This Row],[% uren 2:]]*Tabel1[[#This Row],[Totale uren:]])</f>
        <v/>
      </c>
      <c r="M998" s="72"/>
      <c r="N998" s="31"/>
      <c r="O998" s="85" t="str">
        <f>IF(Tabel1[[#This Row],[% uren 3:]]="","",Tabel1[[#This Row],[% uren 3:]]*Tabel1[[#This Row],[Totale uren:]])</f>
        <v/>
      </c>
      <c r="P998" s="138" t="str">
        <f>IF(Tabel1[[#This Row],[Ordernummer:]]="","",SUM(Tabel1[[#This Row],[% uren 1:]],Tabel1[[#This Row],[% uren 2:]],Tabel1[[#This Row],[% uren 3:]]))</f>
        <v/>
      </c>
      <c r="Q998" s="127"/>
      <c r="R998" s="128"/>
      <c r="S998" s="44"/>
      <c r="T998" s="25"/>
    </row>
    <row r="999" spans="2:20" x14ac:dyDescent="0.25">
      <c r="B999" s="7"/>
      <c r="C999" s="10"/>
      <c r="D999" s="10"/>
      <c r="E999" s="72"/>
      <c r="F999" s="73"/>
      <c r="G999" s="72"/>
      <c r="H999" s="31"/>
      <c r="I999" s="85" t="str">
        <f>IF(Tabel1[[#This Row],[% uren 1:]]="","",Tabel1[[#This Row],[% uren 1:]]*Tabel1[[#This Row],[Totale uren:]])</f>
        <v/>
      </c>
      <c r="J999" s="68"/>
      <c r="K999" s="31"/>
      <c r="L999" s="86" t="str">
        <f>IF(Tabel1[[#This Row],[% uren 2:]]="","",Tabel1[[#This Row],[% uren 2:]]*Tabel1[[#This Row],[Totale uren:]])</f>
        <v/>
      </c>
      <c r="M999" s="72"/>
      <c r="N999" s="31"/>
      <c r="O999" s="85" t="str">
        <f>IF(Tabel1[[#This Row],[% uren 3:]]="","",Tabel1[[#This Row],[% uren 3:]]*Tabel1[[#This Row],[Totale uren:]])</f>
        <v/>
      </c>
      <c r="P999" s="138" t="str">
        <f>IF(Tabel1[[#This Row],[Ordernummer:]]="","",SUM(Tabel1[[#This Row],[% uren 1:]],Tabel1[[#This Row],[% uren 2:]],Tabel1[[#This Row],[% uren 3:]]))</f>
        <v/>
      </c>
      <c r="Q999" s="127"/>
      <c r="R999" s="128"/>
      <c r="S999" s="44"/>
      <c r="T999" s="25"/>
    </row>
    <row r="1000" spans="2:20" x14ac:dyDescent="0.25">
      <c r="B1000" s="7"/>
      <c r="C1000" s="10"/>
      <c r="D1000" s="10"/>
      <c r="E1000" s="72"/>
      <c r="F1000" s="73"/>
      <c r="G1000" s="72"/>
      <c r="H1000" s="31"/>
      <c r="I1000" s="85" t="str">
        <f>IF(Tabel1[[#This Row],[% uren 1:]]="","",Tabel1[[#This Row],[% uren 1:]]*Tabel1[[#This Row],[Totale uren:]])</f>
        <v/>
      </c>
      <c r="J1000" s="68"/>
      <c r="K1000" s="31"/>
      <c r="L1000" s="86" t="str">
        <f>IF(Tabel1[[#This Row],[% uren 2:]]="","",Tabel1[[#This Row],[% uren 2:]]*Tabel1[[#This Row],[Totale uren:]])</f>
        <v/>
      </c>
      <c r="M1000" s="72"/>
      <c r="N1000" s="31"/>
      <c r="O1000" s="85" t="str">
        <f>IF(Tabel1[[#This Row],[% uren 3:]]="","",Tabel1[[#This Row],[% uren 3:]]*Tabel1[[#This Row],[Totale uren:]])</f>
        <v/>
      </c>
      <c r="P1000" s="138" t="str">
        <f>IF(Tabel1[[#This Row],[Ordernummer:]]="","",SUM(Tabel1[[#This Row],[% uren 1:]],Tabel1[[#This Row],[% uren 2:]],Tabel1[[#This Row],[% uren 3:]]))</f>
        <v/>
      </c>
      <c r="Q1000" s="127"/>
      <c r="R1000" s="128"/>
      <c r="S1000" s="44"/>
      <c r="T1000" s="25"/>
    </row>
    <row r="1001" spans="2:20" x14ac:dyDescent="0.25">
      <c r="B1001" s="7"/>
      <c r="C1001" s="10"/>
      <c r="D1001" s="10"/>
      <c r="E1001" s="72"/>
      <c r="F1001" s="73"/>
      <c r="G1001" s="72"/>
      <c r="H1001" s="31"/>
      <c r="I1001" s="85" t="str">
        <f>IF(Tabel1[[#This Row],[% uren 1:]]="","",Tabel1[[#This Row],[% uren 1:]]*Tabel1[[#This Row],[Totale uren:]])</f>
        <v/>
      </c>
      <c r="J1001" s="68"/>
      <c r="K1001" s="31"/>
      <c r="L1001" s="86" t="str">
        <f>IF(Tabel1[[#This Row],[% uren 2:]]="","",Tabel1[[#This Row],[% uren 2:]]*Tabel1[[#This Row],[Totale uren:]])</f>
        <v/>
      </c>
      <c r="M1001" s="72"/>
      <c r="N1001" s="31"/>
      <c r="O1001" s="85" t="str">
        <f>IF(Tabel1[[#This Row],[% uren 3:]]="","",Tabel1[[#This Row],[% uren 3:]]*Tabel1[[#This Row],[Totale uren:]])</f>
        <v/>
      </c>
      <c r="P1001" s="138" t="str">
        <f>IF(Tabel1[[#This Row],[Ordernummer:]]="","",SUM(Tabel1[[#This Row],[% uren 1:]],Tabel1[[#This Row],[% uren 2:]],Tabel1[[#This Row],[% uren 3:]]))</f>
        <v/>
      </c>
      <c r="Q1001" s="127"/>
      <c r="R1001" s="128"/>
      <c r="S1001" s="44"/>
      <c r="T1001" s="25"/>
    </row>
    <row r="1002" spans="2:20" x14ac:dyDescent="0.25">
      <c r="B1002" s="7"/>
      <c r="C1002" s="10"/>
      <c r="D1002" s="10"/>
      <c r="E1002" s="72"/>
      <c r="F1002" s="73"/>
      <c r="G1002" s="72"/>
      <c r="H1002" s="31"/>
      <c r="I1002" s="85" t="str">
        <f>IF(Tabel1[[#This Row],[% uren 1:]]="","",Tabel1[[#This Row],[% uren 1:]]*Tabel1[[#This Row],[Totale uren:]])</f>
        <v/>
      </c>
      <c r="J1002" s="68"/>
      <c r="K1002" s="31"/>
      <c r="L1002" s="86" t="str">
        <f>IF(Tabel1[[#This Row],[% uren 2:]]="","",Tabel1[[#This Row],[% uren 2:]]*Tabel1[[#This Row],[Totale uren:]])</f>
        <v/>
      </c>
      <c r="M1002" s="72"/>
      <c r="N1002" s="31"/>
      <c r="O1002" s="85" t="str">
        <f>IF(Tabel1[[#This Row],[% uren 3:]]="","",Tabel1[[#This Row],[% uren 3:]]*Tabel1[[#This Row],[Totale uren:]])</f>
        <v/>
      </c>
      <c r="P1002" s="138" t="str">
        <f>IF(Tabel1[[#This Row],[Ordernummer:]]="","",SUM(Tabel1[[#This Row],[% uren 1:]],Tabel1[[#This Row],[% uren 2:]],Tabel1[[#This Row],[% uren 3:]]))</f>
        <v/>
      </c>
      <c r="Q1002" s="127"/>
      <c r="R1002" s="128"/>
      <c r="S1002" s="44"/>
      <c r="T1002" s="25"/>
    </row>
    <row r="1003" spans="2:20" ht="15.75" thickBot="1" x14ac:dyDescent="0.3">
      <c r="B1003" s="7"/>
      <c r="C1003" s="10"/>
      <c r="D1003" s="10"/>
      <c r="E1003" s="72"/>
      <c r="F1003" s="73"/>
      <c r="G1003" s="72"/>
      <c r="H1003" s="31"/>
      <c r="I1003" s="85" t="str">
        <f>IF(Tabel1[[#This Row],[% uren 1:]]="","",Tabel1[[#This Row],[% uren 1:]]*Tabel1[[#This Row],[Totale uren:]])</f>
        <v/>
      </c>
      <c r="J1003" s="68"/>
      <c r="K1003" s="31"/>
      <c r="L1003" s="86" t="str">
        <f>IF(Tabel1[[#This Row],[% uren 2:]]="","",Tabel1[[#This Row],[% uren 2:]]*Tabel1[[#This Row],[Totale uren:]])</f>
        <v/>
      </c>
      <c r="M1003" s="134"/>
      <c r="N1003" s="31"/>
      <c r="O1003" s="135" t="str">
        <f>IF(Tabel1[[#This Row],[% uren 3:]]="","",Tabel1[[#This Row],[% uren 3:]]*Tabel1[[#This Row],[Totale uren:]])</f>
        <v/>
      </c>
      <c r="P1003" s="140" t="str">
        <f>IF(Tabel1[[#This Row],[Ordernummer:]]="","",SUM(Tabel1[[#This Row],[% uren 1:]],Tabel1[[#This Row],[% uren 2:]],Tabel1[[#This Row],[% uren 3:]]))</f>
        <v/>
      </c>
      <c r="Q1003" s="131"/>
      <c r="R1003" s="132"/>
      <c r="S1003" s="44"/>
      <c r="T1003" s="25"/>
    </row>
  </sheetData>
  <mergeCells count="1">
    <mergeCell ref="S4:T4"/>
  </mergeCells>
  <phoneticPr fontId="3" type="noConversion"/>
  <conditionalFormatting sqref="B6 B7:H1003 Q7:T1003">
    <cfRule type="expression" dxfId="169" priority="72">
      <formula>$S6= "UITBESTEED"</formula>
    </cfRule>
    <cfRule type="expression" dxfId="168" priority="85">
      <formula>$S6= "8 - Bij coater/verzinkerij"</formula>
    </cfRule>
    <cfRule type="expression" dxfId="167" priority="98">
      <formula>$S6= "9 - Gereed, kan worden opgehaald"</formula>
    </cfRule>
    <cfRule type="expression" dxfId="166" priority="112">
      <formula>$S6="10 - Afgeleverd"</formula>
    </cfRule>
  </conditionalFormatting>
  <conditionalFormatting sqref="C6">
    <cfRule type="expression" dxfId="165" priority="63">
      <formula>$S6= "UITBESTEED"</formula>
    </cfRule>
    <cfRule type="expression" dxfId="164" priority="74">
      <formula>$S6= "8 - Bij coater/verzinkerij"</formula>
    </cfRule>
    <cfRule type="expression" dxfId="163" priority="87">
      <formula>$S6= "9 - Gereed, kan worden opgehaald"</formula>
    </cfRule>
    <cfRule type="expression" dxfId="162" priority="110">
      <formula>$S6="10 - Afgeleverd"</formula>
    </cfRule>
  </conditionalFormatting>
  <conditionalFormatting sqref="D6">
    <cfRule type="expression" dxfId="161" priority="64">
      <formula>$S6= "UITBESTEED"</formula>
    </cfRule>
    <cfRule type="expression" dxfId="160" priority="75">
      <formula>$S6= "8 - Bij coater/verzinkerij"</formula>
    </cfRule>
    <cfRule type="expression" dxfId="159" priority="88">
      <formula>$S6= "9 - Gereed, kan worden opgehaald"</formula>
    </cfRule>
    <cfRule type="expression" dxfId="158" priority="109">
      <formula>$S6="10 - Afgeleverd"</formula>
    </cfRule>
  </conditionalFormatting>
  <conditionalFormatting sqref="E6">
    <cfRule type="expression" dxfId="157" priority="65">
      <formula>$S6= "UITBESTEED"</formula>
    </cfRule>
    <cfRule type="expression" dxfId="156" priority="76">
      <formula>$S6= "8 - Bij coater/verzinkerij"</formula>
    </cfRule>
    <cfRule type="expression" dxfId="155" priority="89">
      <formula>$S6= "9 - Gereed, kan worden opgehaald"</formula>
    </cfRule>
    <cfRule type="expression" dxfId="154" priority="108">
      <formula>$S6="10 - Afgeleverd"</formula>
    </cfRule>
  </conditionalFormatting>
  <conditionalFormatting sqref="F6">
    <cfRule type="expression" dxfId="153" priority="66">
      <formula>$S6= "UITBESTEED"</formula>
    </cfRule>
    <cfRule type="expression" dxfId="152" priority="77">
      <formula>$S6= "8 - Bij coater/verzinkerij"</formula>
    </cfRule>
    <cfRule type="expression" dxfId="151" priority="90">
      <formula>$S6= "9 - Gereed, kan worden opgehaald"</formula>
    </cfRule>
    <cfRule type="expression" dxfId="150" priority="107">
      <formula>$S6="10 - Afgeleverd"</formula>
    </cfRule>
  </conditionalFormatting>
  <conditionalFormatting sqref="G6">
    <cfRule type="expression" dxfId="149" priority="67">
      <formula>$S6= "UITBESTEED"</formula>
    </cfRule>
    <cfRule type="expression" dxfId="148" priority="78">
      <formula>$S6= "8 - Bij coater/verzinkerij"</formula>
    </cfRule>
    <cfRule type="expression" dxfId="147" priority="91">
      <formula>$S6= "9 - Gereed, kan worden opgehaald"</formula>
    </cfRule>
    <cfRule type="expression" dxfId="146" priority="106">
      <formula>$S6="10 - Afgeleverd"</formula>
    </cfRule>
  </conditionalFormatting>
  <conditionalFormatting sqref="H6">
    <cfRule type="expression" dxfId="145" priority="68">
      <formula>$S6= "UITBESTEED"</formula>
    </cfRule>
    <cfRule type="expression" dxfId="144" priority="79">
      <formula>$S6= "8 - Bij coater/verzinkerij"</formula>
    </cfRule>
    <cfRule type="expression" dxfId="143" priority="92">
      <formula>$S6= "9 - Gereed, kan worden opgehaald"</formula>
    </cfRule>
    <cfRule type="expression" dxfId="142" priority="105">
      <formula>$S6="10 - Afgeleverd"</formula>
    </cfRule>
  </conditionalFormatting>
  <conditionalFormatting sqref="J6:J1003">
    <cfRule type="expression" dxfId="141" priority="69">
      <formula>$S6= "UITBESTEED"</formula>
    </cfRule>
    <cfRule type="expression" dxfId="140" priority="81">
      <formula>$S6= "8 - Bij coater/verzinkerij"</formula>
    </cfRule>
    <cfRule type="expression" dxfId="139" priority="94">
      <formula>$S6= "9 - Gereed, kan worden opgehaald"</formula>
    </cfRule>
    <cfRule type="expression" dxfId="138" priority="103">
      <formula>$S6="10 - Afgeleverd"</formula>
    </cfRule>
  </conditionalFormatting>
  <conditionalFormatting sqref="K6:K1003">
    <cfRule type="expression" dxfId="137" priority="11">
      <formula>$S6= "UITBESTEED"</formula>
    </cfRule>
    <cfRule type="expression" dxfId="136" priority="13">
      <formula>$S6= "8 - Bij coater/verzinkerij"</formula>
    </cfRule>
    <cfRule type="expression" dxfId="135" priority="15">
      <formula>$S6= "9 - Gereed, kan worden opgehaald"</formula>
    </cfRule>
    <cfRule type="expression" dxfId="134" priority="17">
      <formula>$S6="10 - Afgeleverd"</formula>
    </cfRule>
  </conditionalFormatting>
  <conditionalFormatting sqref="M6:M1003">
    <cfRule type="expression" dxfId="133" priority="19">
      <formula>$S6= "UITBESTEED"</formula>
    </cfRule>
    <cfRule type="expression" dxfId="132" priority="20">
      <formula>$S6= "8 - Bij coater/verzinkerij"</formula>
    </cfRule>
    <cfRule type="expression" dxfId="131" priority="21">
      <formula>$S6= "9 - Gereed, kan worden opgehaald"</formula>
    </cfRule>
    <cfRule type="expression" dxfId="130" priority="22">
      <formula>$S6="10 - Afgeleverd"</formula>
    </cfRule>
  </conditionalFormatting>
  <conditionalFormatting sqref="N6:N1003">
    <cfRule type="expression" dxfId="129" priority="3">
      <formula>$S6= "UITBESTEED"</formula>
    </cfRule>
    <cfRule type="expression" dxfId="128" priority="5">
      <formula>$S6= "8 - Bij coater/verzinkerij"</formula>
    </cfRule>
    <cfRule type="expression" dxfId="127" priority="7">
      <formula>$S6= "9 - Gereed, kan worden opgehaald"</formula>
    </cfRule>
    <cfRule type="expression" dxfId="126" priority="9">
      <formula>$S6="10 - Afgeleverd"</formula>
    </cfRule>
  </conditionalFormatting>
  <conditionalFormatting sqref="P1:P4 P6:P1048576">
    <cfRule type="cellIs" dxfId="125" priority="1" operator="notEqual">
      <formula>1</formula>
    </cfRule>
    <cfRule type="cellIs" dxfId="124" priority="2" operator="equal">
      <formula>1</formula>
    </cfRule>
  </conditionalFormatting>
  <conditionalFormatting sqref="Q6:S6">
    <cfRule type="expression" dxfId="123" priority="70">
      <formula>$S6= "UITBESTEED"</formula>
    </cfRule>
    <cfRule type="expression" dxfId="122" priority="84">
      <formula>$S6= "8 - Bij coater/verzinkerij"</formula>
    </cfRule>
    <cfRule type="expression" dxfId="121" priority="97">
      <formula>$S6= "9 - Gereed, kan worden opgehaald"</formula>
    </cfRule>
    <cfRule type="expression" dxfId="120" priority="100">
      <formula>$S6="10 - Afgeleverd"</formula>
    </cfRule>
  </conditionalFormatting>
  <conditionalFormatting sqref="T6">
    <cfRule type="expression" dxfId="119" priority="71">
      <formula>$S6= "UITBESTEED"</formula>
    </cfRule>
    <cfRule type="expression" dxfId="118" priority="73">
      <formula>$S6= "8 - Bij coater/verzinkerij"</formula>
    </cfRule>
    <cfRule type="expression" dxfId="117" priority="86">
      <formula>$S6= "9 - Gereed, kan worden opgehaald"</formula>
    </cfRule>
    <cfRule type="expression" dxfId="116" priority="99">
      <formula>$S6="10 - Afgeleverd"</formula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CB2C6B4-552B-4CEC-99E2-CAB29331F023}">
          <x14:formula1>
            <xm:f>Invulmogelijkheden!$E$4:$E$9</xm:f>
          </x14:formula1>
          <xm:sqref>T6:T1003</xm:sqref>
        </x14:dataValidation>
        <x14:dataValidation type="list" allowBlank="1" showInputMessage="1" showErrorMessage="1" xr:uid="{90320653-F608-4FA8-879E-B1F2E3FA92DB}">
          <x14:formula1>
            <xm:f>Invulmogelijkheden!$D$4:$D$15</xm:f>
          </x14:formula1>
          <xm:sqref>S6:S1003</xm:sqref>
        </x14:dataValidation>
        <x14:dataValidation type="list" allowBlank="1" showInputMessage="1" showErrorMessage="1" xr:uid="{664C2424-809D-4EE6-B2CC-D8AC27C188B8}">
          <x14:formula1>
            <xm:f>Invulmogelijkheden!$B$4:$B$56</xm:f>
          </x14:formula1>
          <xm:sqref>E7:E1003</xm:sqref>
        </x14:dataValidation>
        <x14:dataValidation type="list" allowBlank="1" showInputMessage="1" showErrorMessage="1" xr:uid="{7DCF9959-3488-4DCD-8F59-D244865F7BBD}">
          <x14:formula1>
            <xm:f>Invulmogelijkheden!$C$4:$C$11</xm:f>
          </x14:formula1>
          <xm:sqref>G1:G1048576 J1:J1048576 M1:M1048576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17F6A-D372-454F-BE90-28388797094D}">
  <dimension ref="A1:BE93"/>
  <sheetViews>
    <sheetView tabSelected="1" zoomScaleNormal="100" workbookViewId="0">
      <selection activeCell="J5" sqref="J5:M5"/>
    </sheetView>
  </sheetViews>
  <sheetFormatPr defaultRowHeight="15" x14ac:dyDescent="0.25"/>
  <cols>
    <col min="1" max="1" width="2.140625" customWidth="1"/>
    <col min="2" max="2" width="1.42578125" customWidth="1"/>
    <col min="3" max="3" width="3.5703125" customWidth="1"/>
    <col min="4" max="4" width="5" customWidth="1"/>
    <col min="5" max="5" width="7.140625" customWidth="1"/>
    <col min="6" max="6" width="3.5703125" customWidth="1"/>
    <col min="7" max="7" width="5" customWidth="1"/>
    <col min="8" max="8" width="7.140625" customWidth="1"/>
    <col min="9" max="9" width="3.5703125" customWidth="1"/>
    <col min="10" max="10" width="5" customWidth="1"/>
    <col min="11" max="11" width="7.140625" customWidth="1"/>
    <col min="12" max="12" width="3.5703125" customWidth="1"/>
    <col min="13" max="13" width="5" customWidth="1"/>
    <col min="14" max="14" width="7.140625" customWidth="1"/>
    <col min="15" max="15" width="2.140625" customWidth="1"/>
    <col min="16" max="16" width="3.5703125" customWidth="1"/>
    <col min="17" max="17" width="5" customWidth="1"/>
    <col min="18" max="18" width="7.140625" customWidth="1"/>
    <col min="19" max="19" width="3.5703125" customWidth="1"/>
    <col min="20" max="20" width="5" customWidth="1"/>
    <col min="21" max="21" width="7.140625" customWidth="1"/>
    <col min="22" max="22" width="3.5703125" customWidth="1"/>
    <col min="23" max="23" width="5" customWidth="1"/>
    <col min="24" max="24" width="7.140625" customWidth="1"/>
    <col min="25" max="25" width="3.5703125" customWidth="1"/>
    <col min="26" max="26" width="5" customWidth="1"/>
    <col min="27" max="27" width="7.140625" customWidth="1"/>
    <col min="28" max="28" width="2.140625" customWidth="1"/>
    <col min="29" max="29" width="3.5703125" customWidth="1"/>
    <col min="30" max="30" width="5" customWidth="1"/>
    <col min="31" max="31" width="7.140625" customWidth="1"/>
    <col min="32" max="32" width="3.5703125" customWidth="1"/>
    <col min="33" max="33" width="5" customWidth="1"/>
    <col min="34" max="34" width="7.140625" customWidth="1"/>
    <col min="35" max="35" width="3.5703125" customWidth="1"/>
    <col min="36" max="36" width="5" customWidth="1"/>
    <col min="37" max="37" width="7.140625" customWidth="1"/>
    <col min="38" max="38" width="3.5703125" customWidth="1"/>
    <col min="39" max="39" width="5" customWidth="1"/>
    <col min="40" max="40" width="7.140625" customWidth="1"/>
    <col min="41" max="43" width="1.42578125" customWidth="1"/>
    <col min="44" max="44" width="3.5703125" customWidth="1"/>
    <col min="45" max="45" width="5" customWidth="1"/>
    <col min="46" max="46" width="7.140625" customWidth="1"/>
    <col min="47" max="47" width="3.5703125" customWidth="1"/>
    <col min="48" max="48" width="5" customWidth="1"/>
    <col min="49" max="49" width="7.140625" customWidth="1"/>
    <col min="50" max="50" width="3.5703125" customWidth="1"/>
    <col min="51" max="51" width="5" customWidth="1"/>
    <col min="52" max="52" width="7.140625" customWidth="1"/>
    <col min="53" max="53" width="3.5703125" customWidth="1"/>
    <col min="54" max="54" width="5" customWidth="1"/>
    <col min="55" max="55" width="7.140625" customWidth="1"/>
    <col min="56" max="56" width="1.42578125" customWidth="1"/>
  </cols>
  <sheetData>
    <row r="1" spans="1:57" ht="7.5" customHeight="1" thickBot="1" x14ac:dyDescent="0.3">
      <c r="A1" s="65"/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  <c r="BC1" s="65"/>
      <c r="BD1" s="65"/>
      <c r="BE1" s="65"/>
    </row>
    <row r="2" spans="1:57" ht="15.75" thickBot="1" x14ac:dyDescent="0.3">
      <c r="A2" s="65"/>
      <c r="B2" s="212" t="s">
        <v>30</v>
      </c>
      <c r="C2" s="213"/>
      <c r="D2" s="213"/>
      <c r="E2" s="213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55"/>
      <c r="AP2" s="65"/>
      <c r="AQ2" s="212" t="s">
        <v>31</v>
      </c>
      <c r="AR2" s="213"/>
      <c r="AS2" s="213"/>
      <c r="AT2" s="213"/>
      <c r="AU2" s="48"/>
      <c r="AV2" s="48"/>
      <c r="AW2" s="48"/>
      <c r="AX2" s="48"/>
      <c r="AY2" s="48"/>
      <c r="AZ2" s="48"/>
      <c r="BA2" s="48"/>
      <c r="BB2" s="48"/>
      <c r="BC2" s="48"/>
      <c r="BD2" s="55"/>
      <c r="BE2" s="65"/>
    </row>
    <row r="3" spans="1:57" ht="15.75" thickBot="1" x14ac:dyDescent="0.3">
      <c r="A3" s="65"/>
      <c r="B3" s="50"/>
      <c r="C3" s="246" t="s">
        <v>29</v>
      </c>
      <c r="D3" s="247"/>
      <c r="E3" s="247"/>
      <c r="F3" s="247"/>
      <c r="G3" s="247"/>
      <c r="H3" s="247"/>
      <c r="I3" s="247"/>
      <c r="J3" s="247"/>
      <c r="K3" s="247"/>
      <c r="L3" s="247"/>
      <c r="M3" s="247"/>
      <c r="N3" s="248"/>
      <c r="O3" s="11"/>
      <c r="P3" s="255" t="s">
        <v>26</v>
      </c>
      <c r="Q3" s="256"/>
      <c r="R3" s="256"/>
      <c r="S3" s="256"/>
      <c r="T3" s="256"/>
      <c r="U3" s="256"/>
      <c r="V3" s="256"/>
      <c r="W3" s="256"/>
      <c r="X3" s="256"/>
      <c r="Y3" s="256"/>
      <c r="Z3" s="256"/>
      <c r="AA3" s="257"/>
      <c r="AB3" s="11"/>
      <c r="AC3" s="258" t="s">
        <v>32</v>
      </c>
      <c r="AD3" s="259"/>
      <c r="AE3" s="259"/>
      <c r="AF3" s="259"/>
      <c r="AG3" s="259"/>
      <c r="AH3" s="259"/>
      <c r="AI3" s="259"/>
      <c r="AJ3" s="259"/>
      <c r="AK3" s="259"/>
      <c r="AL3" s="259"/>
      <c r="AM3" s="259"/>
      <c r="AN3" s="260"/>
      <c r="AO3" s="49"/>
      <c r="AP3" s="65"/>
      <c r="AQ3" s="50"/>
      <c r="AR3" s="268" t="s">
        <v>33</v>
      </c>
      <c r="AS3" s="269"/>
      <c r="AT3" s="269"/>
      <c r="AU3" s="269"/>
      <c r="AV3" s="269"/>
      <c r="AW3" s="269"/>
      <c r="AX3" s="269"/>
      <c r="AY3" s="269"/>
      <c r="AZ3" s="269"/>
      <c r="BA3" s="269"/>
      <c r="BB3" s="269"/>
      <c r="BC3" s="270"/>
      <c r="BD3" s="61"/>
      <c r="BE3" s="65"/>
    </row>
    <row r="4" spans="1:57" ht="15.75" thickBot="1" x14ac:dyDescent="0.3">
      <c r="A4" s="65"/>
      <c r="B4" s="50"/>
      <c r="C4" s="227" t="s">
        <v>34</v>
      </c>
      <c r="D4" s="223"/>
      <c r="E4" s="223" t="s">
        <v>35</v>
      </c>
      <c r="F4" s="223"/>
      <c r="G4" s="223"/>
      <c r="H4" s="223"/>
      <c r="I4" s="223"/>
      <c r="J4" s="223" t="s">
        <v>36</v>
      </c>
      <c r="K4" s="223"/>
      <c r="L4" s="223"/>
      <c r="M4" s="223"/>
      <c r="N4" s="12" t="s">
        <v>37</v>
      </c>
      <c r="O4" s="11"/>
      <c r="P4" s="227" t="s">
        <v>34</v>
      </c>
      <c r="Q4" s="223"/>
      <c r="R4" s="223" t="s">
        <v>35</v>
      </c>
      <c r="S4" s="223"/>
      <c r="T4" s="223"/>
      <c r="U4" s="223"/>
      <c r="V4" s="223"/>
      <c r="W4" s="223" t="s">
        <v>36</v>
      </c>
      <c r="X4" s="223"/>
      <c r="Y4" s="223"/>
      <c r="Z4" s="223"/>
      <c r="AA4" s="12" t="s">
        <v>37</v>
      </c>
      <c r="AB4" s="11"/>
      <c r="AC4" s="227" t="s">
        <v>34</v>
      </c>
      <c r="AD4" s="223"/>
      <c r="AE4" s="223" t="s">
        <v>35</v>
      </c>
      <c r="AF4" s="223"/>
      <c r="AG4" s="223"/>
      <c r="AH4" s="223"/>
      <c r="AI4" s="223"/>
      <c r="AJ4" s="223" t="s">
        <v>36</v>
      </c>
      <c r="AK4" s="223"/>
      <c r="AL4" s="223"/>
      <c r="AM4" s="223"/>
      <c r="AN4" s="12" t="s">
        <v>37</v>
      </c>
      <c r="AO4" s="49"/>
      <c r="AP4" s="65"/>
      <c r="AQ4" s="50"/>
      <c r="AR4" s="227" t="s">
        <v>34</v>
      </c>
      <c r="AS4" s="223"/>
      <c r="AT4" s="223" t="s">
        <v>35</v>
      </c>
      <c r="AU4" s="223"/>
      <c r="AV4" s="223"/>
      <c r="AW4" s="223"/>
      <c r="AX4" s="223"/>
      <c r="AY4" s="223" t="s">
        <v>36</v>
      </c>
      <c r="AZ4" s="223"/>
      <c r="BA4" s="223"/>
      <c r="BB4" s="223"/>
      <c r="BC4" s="27" t="s">
        <v>37</v>
      </c>
      <c r="BD4" s="62"/>
      <c r="BE4" s="65"/>
    </row>
    <row r="5" spans="1:57" x14ac:dyDescent="0.25">
      <c r="A5" s="65"/>
      <c r="B5" s="50"/>
      <c r="C5" s="226" t="str">
        <f>IFERROR(IF('Ber. st. 1'!B4=0,"",'Ber. st. 1'!B4),"")</f>
        <v/>
      </c>
      <c r="D5" s="201"/>
      <c r="E5" s="201" t="str">
        <f>IF('Ber. st. 1'!C4=0,"",'Ber. st. 1'!C4)</f>
        <v/>
      </c>
      <c r="F5" s="201"/>
      <c r="G5" s="201"/>
      <c r="H5" s="201"/>
      <c r="I5" s="201"/>
      <c r="J5" s="201" t="str">
        <f>IF('Ber. st. 1'!D4=0,"",'Ber. st. 1'!D4)</f>
        <v/>
      </c>
      <c r="K5" s="201"/>
      <c r="L5" s="201"/>
      <c r="M5" s="201"/>
      <c r="N5" s="99" t="str">
        <f>IF('Ber. st. 1'!E4=0,"",'Ber. st. 1'!E4)</f>
        <v/>
      </c>
      <c r="O5" s="11"/>
      <c r="P5" s="226" t="str">
        <f>IFERROR(IF('Ber. st. 4'!B4=0,"",'Ber. st. 4'!B4),"")</f>
        <v/>
      </c>
      <c r="Q5" s="201"/>
      <c r="R5" s="201" t="str">
        <f>IF('Ber. st. 4'!C4=0,"",'Ber. st. 4'!C4)</f>
        <v/>
      </c>
      <c r="S5" s="201"/>
      <c r="T5" s="201"/>
      <c r="U5" s="201"/>
      <c r="V5" s="201"/>
      <c r="W5" s="201" t="str">
        <f>IF('Ber. st. 4'!D4=0,"",'Ber. st. 4'!D4)</f>
        <v/>
      </c>
      <c r="X5" s="201"/>
      <c r="Y5" s="201"/>
      <c r="Z5" s="201"/>
      <c r="AA5" s="99" t="str">
        <f>IF('Ber. st. 4'!E4=0,"",'Ber. st. 4'!E4)</f>
        <v/>
      </c>
      <c r="AB5" s="11"/>
      <c r="AC5" s="226" t="str">
        <f>IFERROR(IF('Ber. st. 7'!B4=0,"",'Ber. st. 7'!B4),"")</f>
        <v/>
      </c>
      <c r="AD5" s="201"/>
      <c r="AE5" s="201" t="str">
        <f>IF('Ber. st. 7'!C4=0,"",'Ber. st. 7'!C4)</f>
        <v/>
      </c>
      <c r="AF5" s="201"/>
      <c r="AG5" s="201"/>
      <c r="AH5" s="201"/>
      <c r="AI5" s="201"/>
      <c r="AJ5" s="201" t="str">
        <f>IF('Ber. st. 7'!D4=0,"",'Ber. st. 7'!D4)</f>
        <v/>
      </c>
      <c r="AK5" s="201"/>
      <c r="AL5" s="201"/>
      <c r="AM5" s="201"/>
      <c r="AN5" s="99" t="str">
        <f>IF('Ber. st. 7'!E4=0,"",'Ber. st. 7'!E4)</f>
        <v/>
      </c>
      <c r="AO5" s="49"/>
      <c r="AP5" s="65"/>
      <c r="AQ5" s="50"/>
      <c r="AR5" s="226" t="str">
        <f>IFERROR(IF('Ber. Hulpmateriaal'!B4=0,"",'Ber. Hulpmateriaal'!B4),"")</f>
        <v/>
      </c>
      <c r="AS5" s="201"/>
      <c r="AT5" s="201" t="str">
        <f>IF('Ber. Hulpmateriaal'!C4=0,"",'Ber. Hulpmateriaal'!C4)</f>
        <v/>
      </c>
      <c r="AU5" s="201"/>
      <c r="AV5" s="201"/>
      <c r="AW5" s="201"/>
      <c r="AX5" s="201"/>
      <c r="AY5" s="201" t="str">
        <f>IF('Ber. Hulpmateriaal'!D4=0,"",'Ber. Hulpmateriaal'!D4)</f>
        <v/>
      </c>
      <c r="AZ5" s="201"/>
      <c r="BA5" s="201"/>
      <c r="BB5" s="201"/>
      <c r="BC5" s="73" t="str">
        <f>IF('Ber. Hulpmateriaal'!E4=0,"",'Ber. Hulpmateriaal'!E4)</f>
        <v/>
      </c>
      <c r="BD5" s="63"/>
      <c r="BE5" s="65"/>
    </row>
    <row r="6" spans="1:57" x14ac:dyDescent="0.25">
      <c r="A6" s="65"/>
      <c r="B6" s="50"/>
      <c r="C6" s="225" t="str">
        <f>IF('Ber. st. 1'!B5=0,"",'Ber. st. 1'!B5)</f>
        <v/>
      </c>
      <c r="D6" s="200"/>
      <c r="E6" s="200" t="str">
        <f>IF('Ber. st. 1'!C5=0,"",'Ber. st. 1'!C5)</f>
        <v/>
      </c>
      <c r="F6" s="200"/>
      <c r="G6" s="200"/>
      <c r="H6" s="200"/>
      <c r="I6" s="200"/>
      <c r="J6" s="200" t="str">
        <f>IF('Ber. st. 1'!D5=0,"",'Ber. st. 1'!D5)</f>
        <v/>
      </c>
      <c r="K6" s="200"/>
      <c r="L6" s="200"/>
      <c r="M6" s="200"/>
      <c r="N6" s="14" t="str">
        <f>IF('Ber. st. 1'!E5=0,"",'Ber. st. 1'!E5)</f>
        <v/>
      </c>
      <c r="O6" s="11"/>
      <c r="P6" s="225" t="str">
        <f>IF('Ber. st. 4'!B5=0,"",'Ber. st. 4'!B5)</f>
        <v/>
      </c>
      <c r="Q6" s="200"/>
      <c r="R6" s="200" t="str">
        <f>IF('Ber. st. 4'!C5=0,"",'Ber. st. 4'!C5)</f>
        <v/>
      </c>
      <c r="S6" s="200"/>
      <c r="T6" s="200"/>
      <c r="U6" s="200"/>
      <c r="V6" s="200"/>
      <c r="W6" s="200" t="str">
        <f>IF('Ber. st. 4'!D5=0,"",'Ber. st. 4'!D5)</f>
        <v/>
      </c>
      <c r="X6" s="200"/>
      <c r="Y6" s="200"/>
      <c r="Z6" s="200"/>
      <c r="AA6" s="14" t="str">
        <f>IF('Ber. st. 4'!E5=0,"",'Ber. st. 4'!E5)</f>
        <v/>
      </c>
      <c r="AB6" s="11"/>
      <c r="AC6" s="225" t="str">
        <f>IF('Ber. st. 7'!B5=0,"",'Ber. st. 7'!B5)</f>
        <v/>
      </c>
      <c r="AD6" s="200"/>
      <c r="AE6" s="200" t="str">
        <f>IF('Ber. st. 7'!C5=0,"",'Ber. st. 7'!C5)</f>
        <v/>
      </c>
      <c r="AF6" s="200"/>
      <c r="AG6" s="200"/>
      <c r="AH6" s="200"/>
      <c r="AI6" s="200"/>
      <c r="AJ6" s="200" t="str">
        <f>IF('Ber. st. 7'!D5=0,"",'Ber. st. 7'!D5)</f>
        <v/>
      </c>
      <c r="AK6" s="200"/>
      <c r="AL6" s="200"/>
      <c r="AM6" s="200"/>
      <c r="AN6" s="14" t="str">
        <f>IF('Ber. st. 7'!E5=0,"",'Ber. st. 7'!E5)</f>
        <v/>
      </c>
      <c r="AO6" s="49"/>
      <c r="AP6" s="65"/>
      <c r="AQ6" s="50"/>
      <c r="AR6" s="225" t="str">
        <f>IF('Ber. Hulpmateriaal'!B5=0,"",'Ber. Hulpmateriaal'!B5)</f>
        <v/>
      </c>
      <c r="AS6" s="200"/>
      <c r="AT6" s="200" t="str">
        <f>IF('Ber. Hulpmateriaal'!C5=0,"",'Ber. Hulpmateriaal'!C5)</f>
        <v/>
      </c>
      <c r="AU6" s="200"/>
      <c r="AV6" s="200"/>
      <c r="AW6" s="200"/>
      <c r="AX6" s="200"/>
      <c r="AY6" s="200" t="str">
        <f>IF('Ber. Hulpmateriaal'!D5=0,"",'Ber. Hulpmateriaal'!D5)</f>
        <v/>
      </c>
      <c r="AZ6" s="200"/>
      <c r="BA6" s="200"/>
      <c r="BB6" s="200"/>
      <c r="BC6" s="53" t="str">
        <f>IF('Ber. Hulpmateriaal'!E5=0,"",'Ber. Hulpmateriaal'!E5)</f>
        <v/>
      </c>
      <c r="BD6" s="63"/>
      <c r="BE6" s="65"/>
    </row>
    <row r="7" spans="1:57" x14ac:dyDescent="0.25">
      <c r="A7" s="65"/>
      <c r="B7" s="50"/>
      <c r="C7" s="225" t="str">
        <f>IF('Ber. st. 1'!B6=0,"",'Ber. st. 1'!B6)</f>
        <v/>
      </c>
      <c r="D7" s="200"/>
      <c r="E7" s="200" t="str">
        <f>IF('Ber. st. 1'!C6=0,"",'Ber. st. 1'!C6)</f>
        <v/>
      </c>
      <c r="F7" s="200"/>
      <c r="G7" s="200"/>
      <c r="H7" s="200"/>
      <c r="I7" s="200"/>
      <c r="J7" s="200" t="str">
        <f>IF('Ber. st. 1'!D6=0,"",'Ber. st. 1'!D6)</f>
        <v/>
      </c>
      <c r="K7" s="200"/>
      <c r="L7" s="200"/>
      <c r="M7" s="200"/>
      <c r="N7" s="14" t="str">
        <f>IF('Ber. st. 1'!E6=0,"",'Ber. st. 1'!E6)</f>
        <v/>
      </c>
      <c r="O7" s="11"/>
      <c r="P7" s="225" t="str">
        <f>IF('Ber. st. 4'!B6=0,"",'Ber. st. 4'!B6)</f>
        <v/>
      </c>
      <c r="Q7" s="200"/>
      <c r="R7" s="200" t="str">
        <f>IF('Ber. st. 4'!C6=0,"",'Ber. st. 4'!C6)</f>
        <v/>
      </c>
      <c r="S7" s="200"/>
      <c r="T7" s="200"/>
      <c r="U7" s="200"/>
      <c r="V7" s="200"/>
      <c r="W7" s="200" t="str">
        <f>IF('Ber. st. 4'!D6=0,"",'Ber. st. 4'!D6)</f>
        <v/>
      </c>
      <c r="X7" s="200"/>
      <c r="Y7" s="200"/>
      <c r="Z7" s="200"/>
      <c r="AA7" s="14" t="str">
        <f>IF('Ber. st. 4'!E6=0,"",'Ber. st. 4'!E6)</f>
        <v/>
      </c>
      <c r="AB7" s="11"/>
      <c r="AC7" s="225" t="str">
        <f>IF('Ber. st. 7'!B6=0,"",'Ber. st. 7'!B6)</f>
        <v/>
      </c>
      <c r="AD7" s="200"/>
      <c r="AE7" s="200" t="str">
        <f>IF('Ber. st. 7'!C6=0,"",'Ber. st. 7'!C6)</f>
        <v/>
      </c>
      <c r="AF7" s="200"/>
      <c r="AG7" s="200"/>
      <c r="AH7" s="200"/>
      <c r="AI7" s="200"/>
      <c r="AJ7" s="200" t="str">
        <f>IF('Ber. st. 7'!D6=0,"",'Ber. st. 7'!D6)</f>
        <v/>
      </c>
      <c r="AK7" s="200"/>
      <c r="AL7" s="200"/>
      <c r="AM7" s="200"/>
      <c r="AN7" s="14" t="str">
        <f>IF('Ber. st. 7'!E6=0,"",'Ber. st. 7'!E6)</f>
        <v/>
      </c>
      <c r="AO7" s="49"/>
      <c r="AP7" s="65"/>
      <c r="AQ7" s="50"/>
      <c r="AR7" s="225" t="str">
        <f>IF('Ber. Hulpmateriaal'!B6=0,"",'Ber. Hulpmateriaal'!B6)</f>
        <v/>
      </c>
      <c r="AS7" s="200"/>
      <c r="AT7" s="200" t="str">
        <f>IF('Ber. Hulpmateriaal'!C6=0,"",'Ber. Hulpmateriaal'!C6)</f>
        <v/>
      </c>
      <c r="AU7" s="200"/>
      <c r="AV7" s="200"/>
      <c r="AW7" s="200"/>
      <c r="AX7" s="200"/>
      <c r="AY7" s="200" t="str">
        <f>IF('Ber. Hulpmateriaal'!D6=0,"",'Ber. Hulpmateriaal'!D6)</f>
        <v/>
      </c>
      <c r="AZ7" s="200"/>
      <c r="BA7" s="200"/>
      <c r="BB7" s="200"/>
      <c r="BC7" s="53" t="str">
        <f>IF('Ber. Hulpmateriaal'!E6=0,"",'Ber. Hulpmateriaal'!E6)</f>
        <v/>
      </c>
      <c r="BD7" s="63"/>
      <c r="BE7" s="65"/>
    </row>
    <row r="8" spans="1:57" x14ac:dyDescent="0.25">
      <c r="A8" s="65"/>
      <c r="B8" s="50"/>
      <c r="C8" s="225" t="str">
        <f>IF('Ber. st. 1'!B7=0,"",'Ber. st. 1'!B7)</f>
        <v/>
      </c>
      <c r="D8" s="200"/>
      <c r="E8" s="200" t="str">
        <f>IF('Ber. st. 1'!C7=0,"",'Ber. st. 1'!C7)</f>
        <v/>
      </c>
      <c r="F8" s="200"/>
      <c r="G8" s="200"/>
      <c r="H8" s="200"/>
      <c r="I8" s="200"/>
      <c r="J8" s="200" t="str">
        <f>IF('Ber. st. 1'!D7=0,"",'Ber. st. 1'!D7)</f>
        <v/>
      </c>
      <c r="K8" s="200"/>
      <c r="L8" s="200"/>
      <c r="M8" s="200"/>
      <c r="N8" s="14" t="str">
        <f>IF('Ber. st. 1'!E7=0,"",'Ber. st. 1'!E7)</f>
        <v/>
      </c>
      <c r="O8" s="11"/>
      <c r="P8" s="225" t="str">
        <f>IF('Ber. st. 4'!B7=0,"",'Ber. st. 4'!B7)</f>
        <v/>
      </c>
      <c r="Q8" s="200"/>
      <c r="R8" s="200" t="str">
        <f>IF('Ber. st. 4'!C7=0,"",'Ber. st. 4'!C7)</f>
        <v/>
      </c>
      <c r="S8" s="200"/>
      <c r="T8" s="200"/>
      <c r="U8" s="200"/>
      <c r="V8" s="200"/>
      <c r="W8" s="200" t="str">
        <f>IF('Ber. st. 4'!D7=0,"",'Ber. st. 4'!D7)</f>
        <v/>
      </c>
      <c r="X8" s="200"/>
      <c r="Y8" s="200"/>
      <c r="Z8" s="200"/>
      <c r="AA8" s="14" t="str">
        <f>IF('Ber. st. 4'!E7=0,"",'Ber. st. 4'!E7)</f>
        <v/>
      </c>
      <c r="AB8" s="11"/>
      <c r="AC8" s="225" t="str">
        <f>IF('Ber. st. 7'!B7=0,"",'Ber. st. 7'!B7)</f>
        <v/>
      </c>
      <c r="AD8" s="200"/>
      <c r="AE8" s="200" t="str">
        <f>IF('Ber. st. 7'!C7=0,"",'Ber. st. 7'!C7)</f>
        <v/>
      </c>
      <c r="AF8" s="200"/>
      <c r="AG8" s="200"/>
      <c r="AH8" s="200"/>
      <c r="AI8" s="200"/>
      <c r="AJ8" s="200" t="str">
        <f>IF('Ber. st. 7'!D7=0,"",'Ber. st. 7'!D7)</f>
        <v/>
      </c>
      <c r="AK8" s="200"/>
      <c r="AL8" s="200"/>
      <c r="AM8" s="200"/>
      <c r="AN8" s="14" t="str">
        <f>IF('Ber. st. 7'!E7=0,"",'Ber. st. 7'!E7)</f>
        <v/>
      </c>
      <c r="AO8" s="49"/>
      <c r="AP8" s="65"/>
      <c r="AQ8" s="50"/>
      <c r="AR8" s="225" t="str">
        <f>IF('Ber. Hulpmateriaal'!B7=0,"",'Ber. Hulpmateriaal'!B7)</f>
        <v/>
      </c>
      <c r="AS8" s="200"/>
      <c r="AT8" s="200" t="str">
        <f>IF('Ber. Hulpmateriaal'!C7=0,"",'Ber. Hulpmateriaal'!C7)</f>
        <v/>
      </c>
      <c r="AU8" s="200"/>
      <c r="AV8" s="200"/>
      <c r="AW8" s="200"/>
      <c r="AX8" s="200"/>
      <c r="AY8" s="200" t="str">
        <f>IF('Ber. Hulpmateriaal'!D7=0,"",'Ber. Hulpmateriaal'!D7)</f>
        <v/>
      </c>
      <c r="AZ8" s="200"/>
      <c r="BA8" s="200"/>
      <c r="BB8" s="200"/>
      <c r="BC8" s="53" t="str">
        <f>IF('Ber. Hulpmateriaal'!E7=0,"",'Ber. Hulpmateriaal'!E7)</f>
        <v/>
      </c>
      <c r="BD8" s="63"/>
      <c r="BE8" s="65"/>
    </row>
    <row r="9" spans="1:57" ht="15.75" thickBot="1" x14ac:dyDescent="0.3">
      <c r="A9" s="65"/>
      <c r="B9" s="50"/>
      <c r="C9" s="225" t="str">
        <f>IF('Ber. st. 1'!B8=0,"",'Ber. st. 1'!B8)</f>
        <v/>
      </c>
      <c r="D9" s="200"/>
      <c r="E9" s="200" t="str">
        <f>IF('Ber. st. 1'!C8=0,"",'Ber. st. 1'!C8)</f>
        <v/>
      </c>
      <c r="F9" s="200"/>
      <c r="G9" s="200"/>
      <c r="H9" s="200"/>
      <c r="I9" s="200"/>
      <c r="J9" s="200" t="str">
        <f>IF('Ber. st. 1'!D8=0,"",'Ber. st. 1'!D8)</f>
        <v/>
      </c>
      <c r="K9" s="200"/>
      <c r="L9" s="200"/>
      <c r="M9" s="200"/>
      <c r="N9" s="14" t="str">
        <f>IF('Ber. st. 1'!E8=0,"",'Ber. st. 1'!E8)</f>
        <v/>
      </c>
      <c r="O9" s="11"/>
      <c r="P9" s="225" t="str">
        <f>IF('Ber. st. 4'!B8=0,"",'Ber. st. 4'!B8)</f>
        <v/>
      </c>
      <c r="Q9" s="200"/>
      <c r="R9" s="200" t="str">
        <f>IF('Ber. st. 4'!C8=0,"",'Ber. st. 4'!C8)</f>
        <v/>
      </c>
      <c r="S9" s="200"/>
      <c r="T9" s="200"/>
      <c r="U9" s="200"/>
      <c r="V9" s="200"/>
      <c r="W9" s="200" t="str">
        <f>IF('Ber. st. 4'!D8=0,"",'Ber. st. 4'!D8)</f>
        <v/>
      </c>
      <c r="X9" s="200"/>
      <c r="Y9" s="200"/>
      <c r="Z9" s="200"/>
      <c r="AA9" s="14" t="str">
        <f>IF('Ber. st. 4'!E8=0,"",'Ber. st. 4'!E8)</f>
        <v/>
      </c>
      <c r="AB9" s="11"/>
      <c r="AC9" s="225" t="str">
        <f>IF('Ber. st. 7'!B8=0,"",'Ber. st. 7'!B8)</f>
        <v/>
      </c>
      <c r="AD9" s="200"/>
      <c r="AE9" s="200" t="str">
        <f>IF('Ber. st. 7'!C8=0,"",'Ber. st. 7'!C8)</f>
        <v/>
      </c>
      <c r="AF9" s="200"/>
      <c r="AG9" s="200"/>
      <c r="AH9" s="200"/>
      <c r="AI9" s="200"/>
      <c r="AJ9" s="200" t="str">
        <f>IF('Ber. st. 7'!D8=0,"",'Ber. st. 7'!D8)</f>
        <v/>
      </c>
      <c r="AK9" s="200"/>
      <c r="AL9" s="200"/>
      <c r="AM9" s="200"/>
      <c r="AN9" s="14" t="str">
        <f>IF('Ber. st. 7'!E8=0,"",'Ber. st. 7'!E8)</f>
        <v/>
      </c>
      <c r="AO9" s="49"/>
      <c r="AP9" s="65"/>
      <c r="AQ9" s="50"/>
      <c r="AR9" s="229" t="str">
        <f>IF('Ber. Hulpmateriaal'!B8=0,"",'Ber. Hulpmateriaal'!B8)</f>
        <v/>
      </c>
      <c r="AS9" s="199"/>
      <c r="AT9" s="199" t="str">
        <f>IF('Ber. Hulpmateriaal'!C8=0,"",'Ber. Hulpmateriaal'!C8)</f>
        <v/>
      </c>
      <c r="AU9" s="199"/>
      <c r="AV9" s="199"/>
      <c r="AW9" s="199"/>
      <c r="AX9" s="199"/>
      <c r="AY9" s="199" t="str">
        <f>IF('Ber. Hulpmateriaal'!D8=0,"",'Ber. Hulpmateriaal'!D8)</f>
        <v/>
      </c>
      <c r="AZ9" s="199"/>
      <c r="BA9" s="199"/>
      <c r="BB9" s="199"/>
      <c r="BC9" s="101" t="str">
        <f>IF('Ber. Hulpmateriaal'!E8=0,"",'Ber. Hulpmateriaal'!E8)</f>
        <v/>
      </c>
      <c r="BD9" s="61"/>
      <c r="BE9" s="65"/>
    </row>
    <row r="10" spans="1:57" ht="15.75" thickBot="1" x14ac:dyDescent="0.3">
      <c r="A10" s="65"/>
      <c r="B10" s="50"/>
      <c r="C10" s="225" t="str">
        <f>IF('Ber. st. 1'!B9=0,"",'Ber. st. 1'!B9)</f>
        <v/>
      </c>
      <c r="D10" s="200"/>
      <c r="E10" s="200" t="str">
        <f>IF('Ber. st. 1'!C9=0,"",'Ber. st. 1'!C9)</f>
        <v/>
      </c>
      <c r="F10" s="200"/>
      <c r="G10" s="200"/>
      <c r="H10" s="200"/>
      <c r="I10" s="200"/>
      <c r="J10" s="200" t="str">
        <f>IF('Ber. st. 1'!D9=0,"",'Ber. st. 1'!D9)</f>
        <v/>
      </c>
      <c r="K10" s="200"/>
      <c r="L10" s="200"/>
      <c r="M10" s="200"/>
      <c r="N10" s="14" t="str">
        <f>IF('Ber. st. 1'!E9=0,"",'Ber. st. 1'!E9)</f>
        <v/>
      </c>
      <c r="O10" s="11"/>
      <c r="P10" s="225" t="str">
        <f>IF('Ber. st. 4'!B9=0,"",'Ber. st. 4'!B9)</f>
        <v/>
      </c>
      <c r="Q10" s="200"/>
      <c r="R10" s="200" t="str">
        <f>IF('Ber. st. 4'!C9=0,"",'Ber. st. 4'!C9)</f>
        <v/>
      </c>
      <c r="S10" s="200"/>
      <c r="T10" s="200"/>
      <c r="U10" s="200"/>
      <c r="V10" s="200"/>
      <c r="W10" s="200" t="str">
        <f>IF('Ber. st. 4'!D9=0,"",'Ber. st. 4'!D9)</f>
        <v/>
      </c>
      <c r="X10" s="200"/>
      <c r="Y10" s="200"/>
      <c r="Z10" s="200"/>
      <c r="AA10" s="14" t="str">
        <f>IF('Ber. st. 4'!E9=0,"",'Ber. st. 4'!E9)</f>
        <v/>
      </c>
      <c r="AB10" s="11"/>
      <c r="AC10" s="225" t="str">
        <f>IF('Ber. st. 7'!B9=0,"",'Ber. st. 7'!B9)</f>
        <v/>
      </c>
      <c r="AD10" s="200"/>
      <c r="AE10" s="200" t="str">
        <f>IF('Ber. st. 7'!C9=0,"",'Ber. st. 7'!C9)</f>
        <v/>
      </c>
      <c r="AF10" s="200"/>
      <c r="AG10" s="200"/>
      <c r="AH10" s="200"/>
      <c r="AI10" s="200"/>
      <c r="AJ10" s="200" t="str">
        <f>IF('Ber. st. 7'!D9=0,"",'Ber. st. 7'!D9)</f>
        <v/>
      </c>
      <c r="AK10" s="200"/>
      <c r="AL10" s="200"/>
      <c r="AM10" s="200"/>
      <c r="AN10" s="14" t="str">
        <f>IF('Ber. st. 7'!E9=0,"",'Ber. st. 7'!E9)</f>
        <v/>
      </c>
      <c r="AO10" s="49"/>
      <c r="AP10" s="65"/>
      <c r="AQ10" s="50"/>
      <c r="AR10" s="224"/>
      <c r="AS10" s="224"/>
      <c r="AT10" s="13"/>
      <c r="AU10" s="224"/>
      <c r="AV10" s="224"/>
      <c r="AW10" s="224"/>
      <c r="AX10" s="224"/>
      <c r="AY10" s="224"/>
      <c r="AZ10" s="224"/>
      <c r="BA10" s="224"/>
      <c r="BB10" s="47"/>
      <c r="BC10" s="47"/>
      <c r="BD10" s="64"/>
      <c r="BE10" s="65"/>
    </row>
    <row r="11" spans="1:57" ht="15.75" thickBot="1" x14ac:dyDescent="0.3">
      <c r="A11" s="65"/>
      <c r="B11" s="50"/>
      <c r="C11" s="229" t="str">
        <f>IF('Ber. st. 1'!B10=0,"",'Ber. st. 1'!B10)</f>
        <v/>
      </c>
      <c r="D11" s="199"/>
      <c r="E11" s="199" t="str">
        <f>IF('Ber. st. 1'!C10=0,"",'Ber. st. 1'!C10)</f>
        <v/>
      </c>
      <c r="F11" s="199"/>
      <c r="G11" s="199"/>
      <c r="H11" s="199"/>
      <c r="I11" s="199"/>
      <c r="J11" s="199" t="str">
        <f>IF('Ber. st. 1'!D10=0,"",'Ber. st. 1'!D10)</f>
        <v/>
      </c>
      <c r="K11" s="199"/>
      <c r="L11" s="199"/>
      <c r="M11" s="199"/>
      <c r="N11" s="100" t="str">
        <f>IF('Ber. st. 1'!E10=0,"",'Ber. st. 1'!E10)</f>
        <v/>
      </c>
      <c r="O11" s="11"/>
      <c r="P11" s="229" t="str">
        <f>IF('Ber. st. 4'!B10=0,"",'Ber. st. 4'!B10)</f>
        <v/>
      </c>
      <c r="Q11" s="199"/>
      <c r="R11" s="199" t="str">
        <f>IF('Ber. st. 4'!C10=0,"",'Ber. st. 4'!C10)</f>
        <v/>
      </c>
      <c r="S11" s="199"/>
      <c r="T11" s="199"/>
      <c r="U11" s="199"/>
      <c r="V11" s="199"/>
      <c r="W11" s="199" t="str">
        <f>IF('Ber. st. 4'!D10=0,"",'Ber. st. 4'!D10)</f>
        <v/>
      </c>
      <c r="X11" s="199"/>
      <c r="Y11" s="199"/>
      <c r="Z11" s="199"/>
      <c r="AA11" s="100" t="str">
        <f>IF('Ber. st. 4'!E10=0,"",'Ber. st. 4'!E10)</f>
        <v/>
      </c>
      <c r="AB11" s="11"/>
      <c r="AC11" s="229" t="str">
        <f>IF('Ber. st. 7'!B10=0,"",'Ber. st. 7'!B10)</f>
        <v/>
      </c>
      <c r="AD11" s="199"/>
      <c r="AE11" s="199" t="str">
        <f>IF('Ber. st. 7'!C10=0,"",'Ber. st. 7'!C10)</f>
        <v/>
      </c>
      <c r="AF11" s="199"/>
      <c r="AG11" s="199"/>
      <c r="AH11" s="199"/>
      <c r="AI11" s="199"/>
      <c r="AJ11" s="199" t="str">
        <f>IF('Ber. st. 7'!D10=0,"",'Ber. st. 7'!D10)</f>
        <v/>
      </c>
      <c r="AK11" s="199"/>
      <c r="AL11" s="199"/>
      <c r="AM11" s="199"/>
      <c r="AN11" s="100" t="str">
        <f>IF('Ber. st. 7'!E10=0,"",'Ber. st. 7'!E10)</f>
        <v/>
      </c>
      <c r="AO11" s="49"/>
      <c r="AP11" s="65"/>
      <c r="AQ11" s="50"/>
      <c r="AR11" s="274" t="s">
        <v>38</v>
      </c>
      <c r="AS11" s="275"/>
      <c r="AT11" s="275"/>
      <c r="AU11" s="275"/>
      <c r="AV11" s="275"/>
      <c r="AW11" s="275"/>
      <c r="AX11" s="275"/>
      <c r="AY11" s="275"/>
      <c r="AZ11" s="275"/>
      <c r="BA11" s="275"/>
      <c r="BB11" s="275"/>
      <c r="BC11" s="276"/>
      <c r="BD11" s="61"/>
      <c r="BE11" s="65"/>
    </row>
    <row r="12" spans="1:57" ht="15.75" thickBot="1" x14ac:dyDescent="0.3">
      <c r="A12" s="65"/>
      <c r="B12" s="50"/>
      <c r="C12" s="13"/>
      <c r="D12" s="13"/>
      <c r="E12" s="13"/>
      <c r="F12" s="13"/>
      <c r="G12" s="13"/>
      <c r="H12" s="13"/>
      <c r="I12" s="13"/>
      <c r="J12" s="11"/>
      <c r="K12" s="11"/>
      <c r="L12" s="11"/>
      <c r="M12" s="11"/>
      <c r="N12" s="11"/>
      <c r="O12" s="11"/>
      <c r="P12" s="57"/>
      <c r="Q12" s="57"/>
      <c r="R12" s="57"/>
      <c r="S12" s="57"/>
      <c r="T12" s="57"/>
      <c r="U12" s="57"/>
      <c r="V12" s="57"/>
      <c r="W12" s="51"/>
      <c r="X12" s="51"/>
      <c r="Y12" s="51"/>
      <c r="Z12" s="51"/>
      <c r="AA12" s="51"/>
      <c r="AB12" s="11"/>
      <c r="AC12" s="224"/>
      <c r="AD12" s="224"/>
      <c r="AE12" s="13"/>
      <c r="AF12" s="224"/>
      <c r="AG12" s="224"/>
      <c r="AH12" s="224"/>
      <c r="AI12" s="224"/>
      <c r="AJ12" s="224"/>
      <c r="AK12" s="224"/>
      <c r="AL12" s="224"/>
      <c r="AM12" s="74"/>
      <c r="AN12" s="74"/>
      <c r="AO12" s="49"/>
      <c r="AP12" s="65"/>
      <c r="AQ12" s="50"/>
      <c r="AR12" s="227" t="s">
        <v>34</v>
      </c>
      <c r="AS12" s="223"/>
      <c r="AT12" s="223" t="s">
        <v>35</v>
      </c>
      <c r="AU12" s="223"/>
      <c r="AV12" s="223"/>
      <c r="AW12" s="223"/>
      <c r="AX12" s="223"/>
      <c r="AY12" s="223" t="s">
        <v>36</v>
      </c>
      <c r="AZ12" s="223"/>
      <c r="BA12" s="223"/>
      <c r="BB12" s="223"/>
      <c r="BC12" s="27" t="s">
        <v>37</v>
      </c>
      <c r="BD12" s="62"/>
      <c r="BE12" s="65"/>
    </row>
    <row r="13" spans="1:57" ht="15.75" thickBot="1" x14ac:dyDescent="0.3">
      <c r="A13" s="65"/>
      <c r="B13" s="50"/>
      <c r="C13" s="231" t="s">
        <v>39</v>
      </c>
      <c r="D13" s="232"/>
      <c r="E13" s="232"/>
      <c r="F13" s="232"/>
      <c r="G13" s="232"/>
      <c r="H13" s="232"/>
      <c r="I13" s="232"/>
      <c r="J13" s="232"/>
      <c r="K13" s="232"/>
      <c r="L13" s="232"/>
      <c r="M13" s="232"/>
      <c r="N13" s="233"/>
      <c r="O13" s="11"/>
      <c r="P13" s="252" t="s">
        <v>40</v>
      </c>
      <c r="Q13" s="253"/>
      <c r="R13" s="253"/>
      <c r="S13" s="253"/>
      <c r="T13" s="253"/>
      <c r="U13" s="253"/>
      <c r="V13" s="253"/>
      <c r="W13" s="253"/>
      <c r="X13" s="253"/>
      <c r="Y13" s="253"/>
      <c r="Z13" s="253"/>
      <c r="AA13" s="254"/>
      <c r="AB13" s="11"/>
      <c r="AC13" s="264" t="s">
        <v>41</v>
      </c>
      <c r="AD13" s="265"/>
      <c r="AE13" s="265"/>
      <c r="AF13" s="265"/>
      <c r="AG13" s="265"/>
      <c r="AH13" s="265"/>
      <c r="AI13" s="265"/>
      <c r="AJ13" s="265"/>
      <c r="AK13" s="265"/>
      <c r="AL13" s="265"/>
      <c r="AM13" s="265"/>
      <c r="AN13" s="266"/>
      <c r="AO13" s="49"/>
      <c r="AP13" s="65"/>
      <c r="AQ13" s="50"/>
      <c r="AR13" s="226" t="str">
        <f>IFERROR(IF('Ber. Hulpmateriaal'!B17=0,"",'Ber. Hulpmateriaal'!B17),"")</f>
        <v/>
      </c>
      <c r="AS13" s="201"/>
      <c r="AT13" s="201" t="str">
        <f>IF('Ber. Hulpmateriaal'!C17=0,"",'Ber. Hulpmateriaal'!C17)</f>
        <v/>
      </c>
      <c r="AU13" s="201"/>
      <c r="AV13" s="201"/>
      <c r="AW13" s="201"/>
      <c r="AX13" s="201"/>
      <c r="AY13" s="201" t="str">
        <f>IF('Ber. Hulpmateriaal'!D17=0,"",'Ber. Hulpmateriaal'!D17)</f>
        <v/>
      </c>
      <c r="AZ13" s="201"/>
      <c r="BA13" s="201"/>
      <c r="BB13" s="201"/>
      <c r="BC13" s="73" t="str">
        <f>IF('Ber. Hulpmateriaal'!E17=0,"",'Ber. Hulpmateriaal'!E17)</f>
        <v/>
      </c>
      <c r="BD13" s="63"/>
      <c r="BE13" s="65"/>
    </row>
    <row r="14" spans="1:57" ht="15.75" thickBot="1" x14ac:dyDescent="0.3">
      <c r="A14" s="65"/>
      <c r="B14" s="50"/>
      <c r="C14" s="227" t="s">
        <v>34</v>
      </c>
      <c r="D14" s="223"/>
      <c r="E14" s="223" t="s">
        <v>35</v>
      </c>
      <c r="F14" s="223"/>
      <c r="G14" s="223"/>
      <c r="H14" s="223"/>
      <c r="I14" s="223"/>
      <c r="J14" s="223" t="s">
        <v>36</v>
      </c>
      <c r="K14" s="223"/>
      <c r="L14" s="223"/>
      <c r="M14" s="223"/>
      <c r="N14" s="12" t="s">
        <v>37</v>
      </c>
      <c r="O14" s="11"/>
      <c r="P14" s="227" t="s">
        <v>34</v>
      </c>
      <c r="Q14" s="223"/>
      <c r="R14" s="223" t="s">
        <v>35</v>
      </c>
      <c r="S14" s="223"/>
      <c r="T14" s="223"/>
      <c r="U14" s="223"/>
      <c r="V14" s="223"/>
      <c r="W14" s="223" t="s">
        <v>36</v>
      </c>
      <c r="X14" s="223"/>
      <c r="Y14" s="223"/>
      <c r="Z14" s="223"/>
      <c r="AA14" s="12" t="s">
        <v>37</v>
      </c>
      <c r="AB14" s="11"/>
      <c r="AC14" s="227" t="s">
        <v>34</v>
      </c>
      <c r="AD14" s="223"/>
      <c r="AE14" s="223" t="s">
        <v>35</v>
      </c>
      <c r="AF14" s="223"/>
      <c r="AG14" s="223"/>
      <c r="AH14" s="223"/>
      <c r="AI14" s="223"/>
      <c r="AJ14" s="223" t="s">
        <v>36</v>
      </c>
      <c r="AK14" s="223"/>
      <c r="AL14" s="223"/>
      <c r="AM14" s="223"/>
      <c r="AN14" s="12" t="s">
        <v>37</v>
      </c>
      <c r="AO14" s="49"/>
      <c r="AP14" s="65"/>
      <c r="AQ14" s="50"/>
      <c r="AR14" s="225" t="str">
        <f>IF('Ber. Hulpmateriaal'!B18=0,"",'Ber. Hulpmateriaal'!B18)</f>
        <v/>
      </c>
      <c r="AS14" s="200"/>
      <c r="AT14" s="200" t="str">
        <f>IF('Ber. Hulpmateriaal'!C18=0,"",'Ber. Hulpmateriaal'!C18)</f>
        <v/>
      </c>
      <c r="AU14" s="200"/>
      <c r="AV14" s="200"/>
      <c r="AW14" s="200"/>
      <c r="AX14" s="200"/>
      <c r="AY14" s="200" t="str">
        <f>IF('Ber. Hulpmateriaal'!D18=0,"",'Ber. Hulpmateriaal'!D18)</f>
        <v/>
      </c>
      <c r="AZ14" s="200"/>
      <c r="BA14" s="200"/>
      <c r="BB14" s="200"/>
      <c r="BC14" s="53" t="str">
        <f>IF('Ber. Hulpmateriaal'!E18=0,"",'Ber. Hulpmateriaal'!E18)</f>
        <v/>
      </c>
      <c r="BD14" s="63"/>
      <c r="BE14" s="65"/>
    </row>
    <row r="15" spans="1:57" x14ac:dyDescent="0.25">
      <c r="A15" s="65"/>
      <c r="B15" s="50"/>
      <c r="C15" s="226" t="str">
        <f>IFERROR(IF('Ber. st. 2'!B4=0,"",'Ber. st. 2'!B4),"")</f>
        <v/>
      </c>
      <c r="D15" s="201"/>
      <c r="E15" s="201" t="str">
        <f>IF('Ber. st. 2'!C4=0,"",'Ber. st. 2'!C4)</f>
        <v/>
      </c>
      <c r="F15" s="201"/>
      <c r="G15" s="201"/>
      <c r="H15" s="201"/>
      <c r="I15" s="201"/>
      <c r="J15" s="201" t="str">
        <f>IF('Ber. st. 2'!D4=0,"",'Ber. st. 2'!D4)</f>
        <v/>
      </c>
      <c r="K15" s="201"/>
      <c r="L15" s="201"/>
      <c r="M15" s="201"/>
      <c r="N15" s="99" t="str">
        <f>IF('Ber. st. 2'!E4=0,"",'Ber. st. 2'!E4)</f>
        <v/>
      </c>
      <c r="O15" s="11"/>
      <c r="P15" s="226" t="str">
        <f>IFERROR(IF('Ber. st. 5'!B4=0,"",'Ber. st. 5'!B4),"")</f>
        <v/>
      </c>
      <c r="Q15" s="201"/>
      <c r="R15" s="201" t="str">
        <f>IF('Ber. st. 5'!C4=0,"",'Ber. st. 5'!C4)</f>
        <v/>
      </c>
      <c r="S15" s="201"/>
      <c r="T15" s="201"/>
      <c r="U15" s="201"/>
      <c r="V15" s="201"/>
      <c r="W15" s="201" t="str">
        <f>IF('Ber. st. 5'!D4=0,"",'Ber. st. 5'!D4)</f>
        <v/>
      </c>
      <c r="X15" s="201"/>
      <c r="Y15" s="201"/>
      <c r="Z15" s="201"/>
      <c r="AA15" s="99" t="str">
        <f>IF('Ber. st. 5'!E4=0,"",'Ber. st. 5'!E4)</f>
        <v/>
      </c>
      <c r="AB15" s="11"/>
      <c r="AC15" s="226" t="str">
        <f>IFERROR(IF('Ber. st. 8'!B4=0,"",'Ber. st. 8'!B4),"")</f>
        <v/>
      </c>
      <c r="AD15" s="201"/>
      <c r="AE15" s="201" t="str">
        <f>IF('Ber. st. 8'!C4=0,"",'Ber. st. 8'!C4)</f>
        <v/>
      </c>
      <c r="AF15" s="201"/>
      <c r="AG15" s="201"/>
      <c r="AH15" s="201"/>
      <c r="AI15" s="201"/>
      <c r="AJ15" s="201" t="str">
        <f>IF('Ber. st. 8'!D4=0,"",'Ber. st. 8'!D4)</f>
        <v/>
      </c>
      <c r="AK15" s="201"/>
      <c r="AL15" s="201"/>
      <c r="AM15" s="201"/>
      <c r="AN15" s="99" t="str">
        <f>IF('Ber. st. 8'!E4=0,"",'Ber. st. 8'!E4)</f>
        <v/>
      </c>
      <c r="AO15" s="49"/>
      <c r="AP15" s="65"/>
      <c r="AQ15" s="50"/>
      <c r="AR15" s="225" t="str">
        <f>IF('Ber. Hulpmateriaal'!B19=0,"",'Ber. Hulpmateriaal'!B19)</f>
        <v/>
      </c>
      <c r="AS15" s="200"/>
      <c r="AT15" s="200" t="str">
        <f>IF('Ber. Hulpmateriaal'!C19=0,"",'Ber. Hulpmateriaal'!C19)</f>
        <v/>
      </c>
      <c r="AU15" s="200"/>
      <c r="AV15" s="200"/>
      <c r="AW15" s="200"/>
      <c r="AX15" s="200"/>
      <c r="AY15" s="200" t="str">
        <f>IF('Ber. Hulpmateriaal'!D19=0,"",'Ber. Hulpmateriaal'!D19)</f>
        <v/>
      </c>
      <c r="AZ15" s="200"/>
      <c r="BA15" s="200"/>
      <c r="BB15" s="200"/>
      <c r="BC15" s="53" t="str">
        <f>IF('Ber. Hulpmateriaal'!E19=0,"",'Ber. Hulpmateriaal'!E19)</f>
        <v/>
      </c>
      <c r="BD15" s="63"/>
      <c r="BE15" s="65"/>
    </row>
    <row r="16" spans="1:57" x14ac:dyDescent="0.25">
      <c r="A16" s="65"/>
      <c r="B16" s="50"/>
      <c r="C16" s="225" t="str">
        <f>IF('Ber. st. 2'!B5=0,"",'Ber. st. 2'!B5)</f>
        <v/>
      </c>
      <c r="D16" s="200"/>
      <c r="E16" s="200" t="str">
        <f>IF('Ber. st. 2'!C5=0,"",'Ber. st. 2'!C5)</f>
        <v/>
      </c>
      <c r="F16" s="200"/>
      <c r="G16" s="200"/>
      <c r="H16" s="200"/>
      <c r="I16" s="200"/>
      <c r="J16" s="200" t="str">
        <f>IF('Ber. st. 2'!D5=0,"",'Ber. st. 2'!D5)</f>
        <v/>
      </c>
      <c r="K16" s="200"/>
      <c r="L16" s="200"/>
      <c r="M16" s="200"/>
      <c r="N16" s="14" t="str">
        <f>IF('Ber. st. 2'!E5=0,"",'Ber. st. 2'!E5)</f>
        <v/>
      </c>
      <c r="O16" s="11"/>
      <c r="P16" s="225" t="str">
        <f>IF('Ber. st. 5'!B5=0,"",'Ber. st. 5'!B5)</f>
        <v/>
      </c>
      <c r="Q16" s="200"/>
      <c r="R16" s="200" t="str">
        <f>IF('Ber. st. 5'!C5=0,"",'Ber. st. 5'!C5)</f>
        <v/>
      </c>
      <c r="S16" s="200"/>
      <c r="T16" s="200"/>
      <c r="U16" s="200"/>
      <c r="V16" s="200"/>
      <c r="W16" s="200" t="str">
        <f>IF('Ber. st. 5'!D5=0,"",'Ber. st. 5'!D5)</f>
        <v/>
      </c>
      <c r="X16" s="200"/>
      <c r="Y16" s="200"/>
      <c r="Z16" s="200"/>
      <c r="AA16" s="14" t="str">
        <f>IF('Ber. st. 5'!E5=0,"",'Ber. st. 5'!E5)</f>
        <v/>
      </c>
      <c r="AB16" s="11"/>
      <c r="AC16" s="225" t="str">
        <f>IF('Ber. st. 8'!B5=0,"",'Ber. st. 8'!B5)</f>
        <v/>
      </c>
      <c r="AD16" s="200"/>
      <c r="AE16" s="200" t="str">
        <f>IF('Ber. st. 8'!C5=0,"",'Ber. st. 8'!C5)</f>
        <v/>
      </c>
      <c r="AF16" s="200"/>
      <c r="AG16" s="200"/>
      <c r="AH16" s="200"/>
      <c r="AI16" s="200"/>
      <c r="AJ16" s="200" t="str">
        <f>IF('Ber. st. 8'!D5=0,"",'Ber. st. 8'!D5)</f>
        <v/>
      </c>
      <c r="AK16" s="200"/>
      <c r="AL16" s="200"/>
      <c r="AM16" s="200"/>
      <c r="AN16" s="14" t="str">
        <f>IF('Ber. st. 8'!E5=0,"",'Ber. st. 8'!E5)</f>
        <v/>
      </c>
      <c r="AO16" s="49"/>
      <c r="AP16" s="65"/>
      <c r="AQ16" s="50"/>
      <c r="AR16" s="225" t="str">
        <f>IF('Ber. Hulpmateriaal'!B20=0,"",'Ber. Hulpmateriaal'!B20)</f>
        <v/>
      </c>
      <c r="AS16" s="200"/>
      <c r="AT16" s="200" t="str">
        <f>IF('Ber. Hulpmateriaal'!C20=0,"",'Ber. Hulpmateriaal'!C20)</f>
        <v/>
      </c>
      <c r="AU16" s="200"/>
      <c r="AV16" s="200"/>
      <c r="AW16" s="200"/>
      <c r="AX16" s="200"/>
      <c r="AY16" s="200" t="str">
        <f>IF('Ber. Hulpmateriaal'!D20=0,"",'Ber. Hulpmateriaal'!D20)</f>
        <v/>
      </c>
      <c r="AZ16" s="200"/>
      <c r="BA16" s="200"/>
      <c r="BB16" s="200"/>
      <c r="BC16" s="53" t="str">
        <f>IF('Ber. Hulpmateriaal'!E20=0,"",'Ber. Hulpmateriaal'!E20)</f>
        <v/>
      </c>
      <c r="BD16" s="63"/>
      <c r="BE16" s="65"/>
    </row>
    <row r="17" spans="1:57" ht="15.75" thickBot="1" x14ac:dyDescent="0.3">
      <c r="A17" s="65"/>
      <c r="B17" s="50"/>
      <c r="C17" s="225" t="str">
        <f>IF('Ber. st. 2'!B6=0,"",'Ber. st. 2'!B6)</f>
        <v/>
      </c>
      <c r="D17" s="200"/>
      <c r="E17" s="200" t="str">
        <f>IF('Ber. st. 2'!C6=0,"",'Ber. st. 2'!C6)</f>
        <v/>
      </c>
      <c r="F17" s="200"/>
      <c r="G17" s="200"/>
      <c r="H17" s="200"/>
      <c r="I17" s="200"/>
      <c r="J17" s="200" t="str">
        <f>IF('Ber. st. 2'!D6=0,"",'Ber. st. 2'!D6)</f>
        <v/>
      </c>
      <c r="K17" s="200"/>
      <c r="L17" s="200"/>
      <c r="M17" s="200"/>
      <c r="N17" s="14" t="str">
        <f>IF('Ber. st. 2'!E6=0,"",'Ber. st. 2'!E6)</f>
        <v/>
      </c>
      <c r="O17" s="11"/>
      <c r="P17" s="225" t="str">
        <f>IF('Ber. st. 5'!B6=0,"",'Ber. st. 5'!B6)</f>
        <v/>
      </c>
      <c r="Q17" s="200"/>
      <c r="R17" s="200" t="str">
        <f>IF('Ber. st. 5'!C6=0,"",'Ber. st. 5'!C6)</f>
        <v/>
      </c>
      <c r="S17" s="200"/>
      <c r="T17" s="200"/>
      <c r="U17" s="200"/>
      <c r="V17" s="200"/>
      <c r="W17" s="200" t="str">
        <f>IF('Ber. st. 5'!D6=0,"",'Ber. st. 5'!D6)</f>
        <v/>
      </c>
      <c r="X17" s="200"/>
      <c r="Y17" s="200"/>
      <c r="Z17" s="200"/>
      <c r="AA17" s="14" t="str">
        <f>IF('Ber. st. 5'!E6=0,"",'Ber. st. 5'!E6)</f>
        <v/>
      </c>
      <c r="AB17" s="11"/>
      <c r="AC17" s="225" t="str">
        <f>IF('Ber. st. 8'!B6=0,"",'Ber. st. 8'!B6)</f>
        <v/>
      </c>
      <c r="AD17" s="200"/>
      <c r="AE17" s="200" t="str">
        <f>IF('Ber. st. 8'!C6=0,"",'Ber. st. 8'!C6)</f>
        <v/>
      </c>
      <c r="AF17" s="200"/>
      <c r="AG17" s="200"/>
      <c r="AH17" s="200"/>
      <c r="AI17" s="200"/>
      <c r="AJ17" s="200" t="str">
        <f>IF('Ber. st. 8'!D6=0,"",'Ber. st. 8'!D6)</f>
        <v/>
      </c>
      <c r="AK17" s="200"/>
      <c r="AL17" s="200"/>
      <c r="AM17" s="200"/>
      <c r="AN17" s="14" t="str">
        <f>IF('Ber. st. 8'!E6=0,"",'Ber. st. 8'!E6)</f>
        <v/>
      </c>
      <c r="AO17" s="49"/>
      <c r="AP17" s="65"/>
      <c r="AQ17" s="50"/>
      <c r="AR17" s="229" t="str">
        <f>IF('Ber. Hulpmateriaal'!B21=0,"",'Ber. Hulpmateriaal'!B21)</f>
        <v/>
      </c>
      <c r="AS17" s="199"/>
      <c r="AT17" s="199" t="str">
        <f>IF('Ber. Hulpmateriaal'!C21=0,"",'Ber. Hulpmateriaal'!C21)</f>
        <v/>
      </c>
      <c r="AU17" s="199"/>
      <c r="AV17" s="199"/>
      <c r="AW17" s="199"/>
      <c r="AX17" s="199"/>
      <c r="AY17" s="199" t="str">
        <f>IF('Ber. Hulpmateriaal'!D21=0,"",'Ber. Hulpmateriaal'!D21)</f>
        <v/>
      </c>
      <c r="AZ17" s="199"/>
      <c r="BA17" s="199"/>
      <c r="BB17" s="199"/>
      <c r="BC17" s="101" t="str">
        <f>IF('Ber. Hulpmateriaal'!E21=0,"",'Ber. Hulpmateriaal'!E21)</f>
        <v/>
      </c>
      <c r="BD17" s="61"/>
      <c r="BE17" s="65"/>
    </row>
    <row r="18" spans="1:57" ht="15.75" thickBot="1" x14ac:dyDescent="0.3">
      <c r="A18" s="65"/>
      <c r="B18" s="50"/>
      <c r="C18" s="225" t="str">
        <f>IF('Ber. st. 2'!B7=0,"",'Ber. st. 2'!B7)</f>
        <v/>
      </c>
      <c r="D18" s="200"/>
      <c r="E18" s="200" t="str">
        <f>IF('Ber. st. 2'!C7=0,"",'Ber. st. 2'!C7)</f>
        <v/>
      </c>
      <c r="F18" s="200"/>
      <c r="G18" s="200"/>
      <c r="H18" s="200"/>
      <c r="I18" s="200"/>
      <c r="J18" s="200" t="str">
        <f>IF('Ber. st. 2'!D7=0,"",'Ber. st. 2'!D7)</f>
        <v/>
      </c>
      <c r="K18" s="200"/>
      <c r="L18" s="200"/>
      <c r="M18" s="200"/>
      <c r="N18" s="14" t="str">
        <f>IF('Ber. st. 2'!E7=0,"",'Ber. st. 2'!E7)</f>
        <v/>
      </c>
      <c r="O18" s="11"/>
      <c r="P18" s="225" t="str">
        <f>IF('Ber. st. 5'!B7=0,"",'Ber. st. 5'!B7)</f>
        <v/>
      </c>
      <c r="Q18" s="200"/>
      <c r="R18" s="200" t="str">
        <f>IF('Ber. st. 5'!C7=0,"",'Ber. st. 5'!C7)</f>
        <v/>
      </c>
      <c r="S18" s="200"/>
      <c r="T18" s="200"/>
      <c r="U18" s="200"/>
      <c r="V18" s="200"/>
      <c r="W18" s="200" t="str">
        <f>IF('Ber. st. 5'!D7=0,"",'Ber. st. 5'!D7)</f>
        <v/>
      </c>
      <c r="X18" s="200"/>
      <c r="Y18" s="200"/>
      <c r="Z18" s="200"/>
      <c r="AA18" s="14" t="str">
        <f>IF('Ber. st. 5'!E7=0,"",'Ber. st. 5'!E7)</f>
        <v/>
      </c>
      <c r="AB18" s="11"/>
      <c r="AC18" s="225" t="str">
        <f>IF('Ber. st. 8'!B7=0,"",'Ber. st. 8'!B7)</f>
        <v/>
      </c>
      <c r="AD18" s="200"/>
      <c r="AE18" s="200" t="str">
        <f>IF('Ber. st. 8'!C7=0,"",'Ber. st. 8'!C7)</f>
        <v/>
      </c>
      <c r="AF18" s="200"/>
      <c r="AG18" s="200"/>
      <c r="AH18" s="200"/>
      <c r="AI18" s="200"/>
      <c r="AJ18" s="200" t="str">
        <f>IF('Ber. st. 8'!D7=0,"",'Ber. st. 8'!D7)</f>
        <v/>
      </c>
      <c r="AK18" s="200"/>
      <c r="AL18" s="200"/>
      <c r="AM18" s="200"/>
      <c r="AN18" s="14" t="str">
        <f>IF('Ber. st. 8'!E7=0,"",'Ber. st. 8'!E7)</f>
        <v/>
      </c>
      <c r="AO18" s="49"/>
      <c r="AP18" s="65"/>
      <c r="AQ18" s="50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49"/>
      <c r="BE18" s="65"/>
    </row>
    <row r="19" spans="1:57" ht="15.75" thickBot="1" x14ac:dyDescent="0.3">
      <c r="A19" s="65"/>
      <c r="B19" s="50"/>
      <c r="C19" s="229" t="str">
        <f>IF('Ber. st. 2'!B8=0,"",'Ber. st. 2'!B8)</f>
        <v/>
      </c>
      <c r="D19" s="199"/>
      <c r="E19" s="199" t="str">
        <f>IF('Ber. st. 2'!C8=0,"",'Ber. st. 2'!C8)</f>
        <v/>
      </c>
      <c r="F19" s="199"/>
      <c r="G19" s="199"/>
      <c r="H19" s="199"/>
      <c r="I19" s="199"/>
      <c r="J19" s="199" t="str">
        <f>IF('Ber. st. 2'!D8=0,"",'Ber. st. 2'!D8)</f>
        <v/>
      </c>
      <c r="K19" s="199"/>
      <c r="L19" s="199"/>
      <c r="M19" s="199"/>
      <c r="N19" s="100" t="str">
        <f>IF('Ber. st. 2'!E8=0,"",'Ber. st. 2'!E8)</f>
        <v/>
      </c>
      <c r="O19" s="11"/>
      <c r="P19" s="229" t="str">
        <f>IF('Ber. st. 5'!B8=0,"",'Ber. st. 5'!B8)</f>
        <v/>
      </c>
      <c r="Q19" s="199"/>
      <c r="R19" s="199" t="str">
        <f>IF('Ber. st. 5'!C8=0,"",'Ber. st. 5'!C8)</f>
        <v/>
      </c>
      <c r="S19" s="199"/>
      <c r="T19" s="199"/>
      <c r="U19" s="199"/>
      <c r="V19" s="199"/>
      <c r="W19" s="199" t="str">
        <f>IF('Ber. st. 5'!D8=0,"",'Ber. st. 5'!D8)</f>
        <v/>
      </c>
      <c r="X19" s="199"/>
      <c r="Y19" s="199"/>
      <c r="Z19" s="199"/>
      <c r="AA19" s="100" t="str">
        <f>IF('Ber. st. 5'!E8=0,"",'Ber. st. 5'!E8)</f>
        <v/>
      </c>
      <c r="AB19" s="11"/>
      <c r="AC19" s="229" t="str">
        <f>IF('Ber. st. 8'!B8=0,"",'Ber. st. 8'!B8)</f>
        <v/>
      </c>
      <c r="AD19" s="199"/>
      <c r="AE19" s="199" t="str">
        <f>IF('Ber. st. 8'!C8=0,"",'Ber. st. 8'!C8)</f>
        <v/>
      </c>
      <c r="AF19" s="199"/>
      <c r="AG19" s="199"/>
      <c r="AH19" s="199"/>
      <c r="AI19" s="199"/>
      <c r="AJ19" s="199" t="str">
        <f>IF('Ber. st. 8'!D8=0,"",'Ber. st. 8'!D8)</f>
        <v/>
      </c>
      <c r="AK19" s="199"/>
      <c r="AL19" s="199"/>
      <c r="AM19" s="199"/>
      <c r="AN19" s="100" t="str">
        <f>IF('Ber. st. 8'!E8=0,"",'Ber. st. 8'!E8)</f>
        <v/>
      </c>
      <c r="AO19" s="49"/>
      <c r="AP19" s="65"/>
      <c r="AQ19" s="50"/>
      <c r="AR19" s="271" t="s">
        <v>42</v>
      </c>
      <c r="AS19" s="272"/>
      <c r="AT19" s="272"/>
      <c r="AU19" s="272"/>
      <c r="AV19" s="272"/>
      <c r="AW19" s="272"/>
      <c r="AX19" s="272"/>
      <c r="AY19" s="272"/>
      <c r="AZ19" s="272"/>
      <c r="BA19" s="272"/>
      <c r="BB19" s="272"/>
      <c r="BC19" s="273"/>
      <c r="BD19" s="61"/>
      <c r="BE19" s="65"/>
    </row>
    <row r="20" spans="1:57" ht="15.75" thickBot="1" x14ac:dyDescent="0.3">
      <c r="A20" s="65"/>
      <c r="B20" s="5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49"/>
      <c r="AP20" s="65"/>
      <c r="AQ20" s="50"/>
      <c r="AR20" s="227" t="s">
        <v>34</v>
      </c>
      <c r="AS20" s="223"/>
      <c r="AT20" s="223" t="s">
        <v>35</v>
      </c>
      <c r="AU20" s="223"/>
      <c r="AV20" s="223"/>
      <c r="AW20" s="223"/>
      <c r="AX20" s="223"/>
      <c r="AY20" s="223" t="s">
        <v>36</v>
      </c>
      <c r="AZ20" s="223"/>
      <c r="BA20" s="223"/>
      <c r="BB20" s="223"/>
      <c r="BC20" s="27" t="s">
        <v>37</v>
      </c>
      <c r="BD20" s="62"/>
      <c r="BE20" s="65"/>
    </row>
    <row r="21" spans="1:57" ht="15.75" thickBot="1" x14ac:dyDescent="0.3">
      <c r="A21" s="65"/>
      <c r="B21" s="50"/>
      <c r="C21" s="234" t="s">
        <v>28</v>
      </c>
      <c r="D21" s="235"/>
      <c r="E21" s="235"/>
      <c r="F21" s="235"/>
      <c r="G21" s="235"/>
      <c r="H21" s="235"/>
      <c r="I21" s="235"/>
      <c r="J21" s="235"/>
      <c r="K21" s="235"/>
      <c r="L21" s="235"/>
      <c r="M21" s="235"/>
      <c r="N21" s="236"/>
      <c r="O21" s="11"/>
      <c r="P21" s="249" t="s">
        <v>27</v>
      </c>
      <c r="Q21" s="250"/>
      <c r="R21" s="250"/>
      <c r="S21" s="250"/>
      <c r="T21" s="250"/>
      <c r="U21" s="250"/>
      <c r="V21" s="250"/>
      <c r="W21" s="250"/>
      <c r="X21" s="250"/>
      <c r="Y21" s="250"/>
      <c r="Z21" s="250"/>
      <c r="AA21" s="251"/>
      <c r="AB21" s="11"/>
      <c r="AC21" s="261" t="s">
        <v>43</v>
      </c>
      <c r="AD21" s="262"/>
      <c r="AE21" s="262"/>
      <c r="AF21" s="262"/>
      <c r="AG21" s="262"/>
      <c r="AH21" s="262"/>
      <c r="AI21" s="262"/>
      <c r="AJ21" s="262"/>
      <c r="AK21" s="262"/>
      <c r="AL21" s="262"/>
      <c r="AM21" s="262"/>
      <c r="AN21" s="263"/>
      <c r="AO21" s="49"/>
      <c r="AP21" s="65"/>
      <c r="AQ21" s="50"/>
      <c r="AR21" s="226" t="str">
        <f>IFERROR(IF('Ber. Hulpmateriaal'!B30=0,"",'Ber. Hulpmateriaal'!B30),"")</f>
        <v/>
      </c>
      <c r="AS21" s="201"/>
      <c r="AT21" s="201" t="str">
        <f>IF('Ber. Hulpmateriaal'!C30=0,"",'Ber. Hulpmateriaal'!C30)</f>
        <v/>
      </c>
      <c r="AU21" s="201"/>
      <c r="AV21" s="201"/>
      <c r="AW21" s="201"/>
      <c r="AX21" s="201"/>
      <c r="AY21" s="201" t="str">
        <f>IF('Ber. Hulpmateriaal'!D30=0,"",'Ber. Hulpmateriaal'!D30)</f>
        <v/>
      </c>
      <c r="AZ21" s="201"/>
      <c r="BA21" s="201"/>
      <c r="BB21" s="201"/>
      <c r="BC21" s="73" t="str">
        <f>IF('Ber. Hulpmateriaal'!E30=0,"",'Ber. Hulpmateriaal'!E30)</f>
        <v/>
      </c>
      <c r="BD21" s="63"/>
      <c r="BE21" s="65"/>
    </row>
    <row r="22" spans="1:57" ht="15.75" thickBot="1" x14ac:dyDescent="0.3">
      <c r="A22" s="65"/>
      <c r="B22" s="50"/>
      <c r="C22" s="227" t="s">
        <v>34</v>
      </c>
      <c r="D22" s="223"/>
      <c r="E22" s="223" t="s">
        <v>35</v>
      </c>
      <c r="F22" s="223"/>
      <c r="G22" s="223"/>
      <c r="H22" s="223"/>
      <c r="I22" s="223"/>
      <c r="J22" s="223" t="s">
        <v>36</v>
      </c>
      <c r="K22" s="223"/>
      <c r="L22" s="223"/>
      <c r="M22" s="223"/>
      <c r="N22" s="12" t="s">
        <v>37</v>
      </c>
      <c r="O22" s="11"/>
      <c r="P22" s="227" t="s">
        <v>34</v>
      </c>
      <c r="Q22" s="223"/>
      <c r="R22" s="223" t="s">
        <v>35</v>
      </c>
      <c r="S22" s="223"/>
      <c r="T22" s="223"/>
      <c r="U22" s="223"/>
      <c r="V22" s="223"/>
      <c r="W22" s="223" t="s">
        <v>36</v>
      </c>
      <c r="X22" s="223"/>
      <c r="Y22" s="223"/>
      <c r="Z22" s="223"/>
      <c r="AA22" s="12" t="s">
        <v>37</v>
      </c>
      <c r="AB22" s="11"/>
      <c r="AC22" s="227" t="s">
        <v>34</v>
      </c>
      <c r="AD22" s="223"/>
      <c r="AE22" s="223" t="s">
        <v>35</v>
      </c>
      <c r="AF22" s="223"/>
      <c r="AG22" s="223"/>
      <c r="AH22" s="223"/>
      <c r="AI22" s="223"/>
      <c r="AJ22" s="223" t="s">
        <v>36</v>
      </c>
      <c r="AK22" s="223"/>
      <c r="AL22" s="223"/>
      <c r="AM22" s="223"/>
      <c r="AN22" s="12" t="s">
        <v>37</v>
      </c>
      <c r="AO22" s="49"/>
      <c r="AP22" s="65"/>
      <c r="AQ22" s="50"/>
      <c r="AR22" s="225" t="str">
        <f>IF('Ber. Hulpmateriaal'!B31=0,"",'Ber. Hulpmateriaal'!B31)</f>
        <v/>
      </c>
      <c r="AS22" s="200"/>
      <c r="AT22" s="200" t="str">
        <f>IF('Ber. Hulpmateriaal'!C31=0,"",'Ber. Hulpmateriaal'!C31)</f>
        <v/>
      </c>
      <c r="AU22" s="200"/>
      <c r="AV22" s="200"/>
      <c r="AW22" s="200"/>
      <c r="AX22" s="200"/>
      <c r="AY22" s="200" t="str">
        <f>IF('Ber. Hulpmateriaal'!D31=0,"",'Ber. Hulpmateriaal'!D31)</f>
        <v/>
      </c>
      <c r="AZ22" s="200"/>
      <c r="BA22" s="200"/>
      <c r="BB22" s="200"/>
      <c r="BC22" s="53" t="str">
        <f>IF('Ber. Hulpmateriaal'!E31=0,"",'Ber. Hulpmateriaal'!E31)</f>
        <v/>
      </c>
      <c r="BD22" s="63"/>
      <c r="BE22" s="65"/>
    </row>
    <row r="23" spans="1:57" x14ac:dyDescent="0.25">
      <c r="A23" s="65"/>
      <c r="B23" s="50"/>
      <c r="C23" s="226" t="str">
        <f>IFERROR(IF('Ber. st. 3'!B4=0,"",'Ber. st. 3'!B4),"")</f>
        <v/>
      </c>
      <c r="D23" s="201"/>
      <c r="E23" s="201" t="str">
        <f>IF('Ber. st. 3'!C4=0,"",'Ber. st. 3'!C4)</f>
        <v/>
      </c>
      <c r="F23" s="201"/>
      <c r="G23" s="201"/>
      <c r="H23" s="201"/>
      <c r="I23" s="201"/>
      <c r="J23" s="201" t="str">
        <f>IF('Ber. st. 3'!D4=0,"",'Ber. st. 3'!D4)</f>
        <v/>
      </c>
      <c r="K23" s="201"/>
      <c r="L23" s="201"/>
      <c r="M23" s="201"/>
      <c r="N23" s="99" t="str">
        <f>IF('Ber. st. 3'!E4=0,"",'Ber. st. 3'!E4)</f>
        <v/>
      </c>
      <c r="O23" s="11"/>
      <c r="P23" s="226" t="str">
        <f>IFERROR(IF('Ber. st. 6'!B4=0,"",'Ber. st. 6'!B4),"")</f>
        <v/>
      </c>
      <c r="Q23" s="201"/>
      <c r="R23" s="201" t="str">
        <f>IF('Ber. st. 6'!C4=0,"",'Ber. st. 6'!C4)</f>
        <v/>
      </c>
      <c r="S23" s="201"/>
      <c r="T23" s="201"/>
      <c r="U23" s="201"/>
      <c r="V23" s="201"/>
      <c r="W23" s="201" t="str">
        <f>IF('Ber. st. 6'!D4=0,"",'Ber. st. 6'!D4)</f>
        <v/>
      </c>
      <c r="X23" s="201"/>
      <c r="Y23" s="201"/>
      <c r="Z23" s="201"/>
      <c r="AA23" s="99" t="str">
        <f>IF('Ber. st. 6'!E4=0,"",'Ber. st. 6'!E4)</f>
        <v/>
      </c>
      <c r="AB23" s="11"/>
      <c r="AC23" s="226" t="str">
        <f>IFERROR(IF('Ber. st. 9'!B4=0,"",'Ber. st. 9'!B4),"")</f>
        <v/>
      </c>
      <c r="AD23" s="201"/>
      <c r="AE23" s="201" t="str">
        <f>IF('Ber. st. 9'!C4=0,"",'Ber. st. 9'!C4)</f>
        <v/>
      </c>
      <c r="AF23" s="201"/>
      <c r="AG23" s="201"/>
      <c r="AH23" s="201"/>
      <c r="AI23" s="201"/>
      <c r="AJ23" s="201" t="str">
        <f>IF('Ber. st. 9'!D4=0,"",'Ber. st. 9'!D4)</f>
        <v/>
      </c>
      <c r="AK23" s="201"/>
      <c r="AL23" s="201"/>
      <c r="AM23" s="201"/>
      <c r="AN23" s="99" t="str">
        <f>IF('Ber. st. 9'!E4=0,"",'Ber. st. 9'!E4)</f>
        <v/>
      </c>
      <c r="AO23" s="49"/>
      <c r="AP23" s="65"/>
      <c r="AQ23" s="50"/>
      <c r="AR23" s="225" t="str">
        <f>IF('Ber. Hulpmateriaal'!B32=0,"",'Ber. Hulpmateriaal'!B32)</f>
        <v/>
      </c>
      <c r="AS23" s="200"/>
      <c r="AT23" s="200" t="str">
        <f>IF('Ber. Hulpmateriaal'!C32=0,"",'Ber. Hulpmateriaal'!C32)</f>
        <v/>
      </c>
      <c r="AU23" s="200"/>
      <c r="AV23" s="200"/>
      <c r="AW23" s="200"/>
      <c r="AX23" s="200"/>
      <c r="AY23" s="200" t="str">
        <f>IF('Ber. Hulpmateriaal'!D32=0,"",'Ber. Hulpmateriaal'!D32)</f>
        <v/>
      </c>
      <c r="AZ23" s="200"/>
      <c r="BA23" s="200"/>
      <c r="BB23" s="200"/>
      <c r="BC23" s="53" t="str">
        <f>IF('Ber. Hulpmateriaal'!E32=0,"",'Ber. Hulpmateriaal'!E32)</f>
        <v/>
      </c>
      <c r="BD23" s="63"/>
      <c r="BE23" s="65"/>
    </row>
    <row r="24" spans="1:57" x14ac:dyDescent="0.25">
      <c r="A24" s="65"/>
      <c r="B24" s="50"/>
      <c r="C24" s="225" t="str">
        <f>IF('Ber. st. 3'!B5=0,"",'Ber. st. 3'!B5)</f>
        <v/>
      </c>
      <c r="D24" s="200"/>
      <c r="E24" s="200" t="str">
        <f>IF('Ber. st. 3'!C5=0,"",'Ber. st. 3'!C5)</f>
        <v/>
      </c>
      <c r="F24" s="200"/>
      <c r="G24" s="200"/>
      <c r="H24" s="200"/>
      <c r="I24" s="200"/>
      <c r="J24" s="200" t="str">
        <f>IF('Ber. st. 3'!D5=0,"",'Ber. st. 3'!D5)</f>
        <v/>
      </c>
      <c r="K24" s="200"/>
      <c r="L24" s="200"/>
      <c r="M24" s="200"/>
      <c r="N24" s="14" t="str">
        <f>IF('Ber. st. 3'!E5=0,"",'Ber. st. 3'!E5)</f>
        <v/>
      </c>
      <c r="O24" s="11"/>
      <c r="P24" s="225" t="str">
        <f>IF('Ber. st. 6'!B5=0,"",'Ber. st. 6'!B5)</f>
        <v/>
      </c>
      <c r="Q24" s="200"/>
      <c r="R24" s="200" t="str">
        <f>IF('Ber. st. 6'!C5=0,"",'Ber. st. 6'!C5)</f>
        <v/>
      </c>
      <c r="S24" s="200"/>
      <c r="T24" s="200"/>
      <c r="U24" s="200"/>
      <c r="V24" s="200"/>
      <c r="W24" s="200" t="str">
        <f>IF('Ber. st. 6'!D5=0,"",'Ber. st. 6'!D5)</f>
        <v/>
      </c>
      <c r="X24" s="200"/>
      <c r="Y24" s="200"/>
      <c r="Z24" s="200"/>
      <c r="AA24" s="14" t="str">
        <f>IF('Ber. st. 6'!E5=0,"",'Ber. st. 6'!E5)</f>
        <v/>
      </c>
      <c r="AB24" s="11"/>
      <c r="AC24" s="225" t="str">
        <f>IF('Ber. st. 9'!B5=0,"",'Ber. st. 9'!B5)</f>
        <v/>
      </c>
      <c r="AD24" s="200"/>
      <c r="AE24" s="200" t="str">
        <f>IF('Ber. st. 9'!C5=0,"",'Ber. st. 9'!C5)</f>
        <v/>
      </c>
      <c r="AF24" s="200"/>
      <c r="AG24" s="200"/>
      <c r="AH24" s="200"/>
      <c r="AI24" s="200"/>
      <c r="AJ24" s="200" t="str">
        <f>IF('Ber. st. 9'!D5=0,"",'Ber. st. 9'!D5)</f>
        <v/>
      </c>
      <c r="AK24" s="200"/>
      <c r="AL24" s="200"/>
      <c r="AM24" s="200"/>
      <c r="AN24" s="14" t="str">
        <f>IF('Ber. st. 9'!E5=0,"",'Ber. st. 9'!E5)</f>
        <v/>
      </c>
      <c r="AO24" s="49"/>
      <c r="AP24" s="65"/>
      <c r="AQ24" s="50"/>
      <c r="AR24" s="225" t="str">
        <f>IF('Ber. Hulpmateriaal'!B33=0,"",'Ber. Hulpmateriaal'!B33)</f>
        <v/>
      </c>
      <c r="AS24" s="200"/>
      <c r="AT24" s="200" t="str">
        <f>IF('Ber. Hulpmateriaal'!C33=0,"",'Ber. Hulpmateriaal'!C33)</f>
        <v/>
      </c>
      <c r="AU24" s="200"/>
      <c r="AV24" s="200"/>
      <c r="AW24" s="200"/>
      <c r="AX24" s="200"/>
      <c r="AY24" s="200" t="str">
        <f>IF('Ber. Hulpmateriaal'!D33=0,"",'Ber. Hulpmateriaal'!D33)</f>
        <v/>
      </c>
      <c r="AZ24" s="200"/>
      <c r="BA24" s="200"/>
      <c r="BB24" s="200"/>
      <c r="BC24" s="53" t="str">
        <f>IF('Ber. Hulpmateriaal'!E33=0,"",'Ber. Hulpmateriaal'!E33)</f>
        <v/>
      </c>
      <c r="BD24" s="63"/>
      <c r="BE24" s="65"/>
    </row>
    <row r="25" spans="1:57" ht="15.75" thickBot="1" x14ac:dyDescent="0.3">
      <c r="A25" s="65"/>
      <c r="B25" s="50"/>
      <c r="C25" s="225" t="str">
        <f>IF('Ber. st. 3'!B6=0,"",'Ber. st. 3'!B6)</f>
        <v/>
      </c>
      <c r="D25" s="200"/>
      <c r="E25" s="200" t="str">
        <f>IF('Ber. st. 3'!C6=0,"",'Ber. st. 3'!C6)</f>
        <v/>
      </c>
      <c r="F25" s="200"/>
      <c r="G25" s="200"/>
      <c r="H25" s="200"/>
      <c r="I25" s="200"/>
      <c r="J25" s="200" t="str">
        <f>IF('Ber. st. 3'!D6=0,"",'Ber. st. 3'!D6)</f>
        <v/>
      </c>
      <c r="K25" s="200"/>
      <c r="L25" s="200"/>
      <c r="M25" s="200"/>
      <c r="N25" s="14" t="str">
        <f>IF('Ber. st. 3'!E6=0,"",'Ber. st. 3'!E6)</f>
        <v/>
      </c>
      <c r="O25" s="11"/>
      <c r="P25" s="225" t="str">
        <f>IF('Ber. st. 6'!B6=0,"",'Ber. st. 6'!B6)</f>
        <v/>
      </c>
      <c r="Q25" s="200"/>
      <c r="R25" s="200" t="str">
        <f>IF('Ber. st. 6'!C6=0,"",'Ber. st. 6'!C6)</f>
        <v/>
      </c>
      <c r="S25" s="200"/>
      <c r="T25" s="200"/>
      <c r="U25" s="200"/>
      <c r="V25" s="200"/>
      <c r="W25" s="200" t="str">
        <f>IF('Ber. st. 6'!D6=0,"",'Ber. st. 6'!D6)</f>
        <v/>
      </c>
      <c r="X25" s="200"/>
      <c r="Y25" s="200"/>
      <c r="Z25" s="200"/>
      <c r="AA25" s="14" t="str">
        <f>IF('Ber. st. 6'!E6=0,"",'Ber. st. 6'!E6)</f>
        <v/>
      </c>
      <c r="AB25" s="11"/>
      <c r="AC25" s="225" t="str">
        <f>IF('Ber. st. 9'!B6=0,"",'Ber. st. 9'!B6)</f>
        <v/>
      </c>
      <c r="AD25" s="200"/>
      <c r="AE25" s="200" t="str">
        <f>IF('Ber. st. 9'!C6=0,"",'Ber. st. 9'!C6)</f>
        <v/>
      </c>
      <c r="AF25" s="200"/>
      <c r="AG25" s="200"/>
      <c r="AH25" s="200"/>
      <c r="AI25" s="200"/>
      <c r="AJ25" s="200" t="str">
        <f>IF('Ber. st. 9'!D6=0,"",'Ber. st. 9'!D6)</f>
        <v/>
      </c>
      <c r="AK25" s="200"/>
      <c r="AL25" s="200"/>
      <c r="AM25" s="200"/>
      <c r="AN25" s="14" t="str">
        <f>IF('Ber. st. 9'!E6=0,"",'Ber. st. 9'!E6)</f>
        <v/>
      </c>
      <c r="AO25" s="49"/>
      <c r="AP25" s="65"/>
      <c r="AQ25" s="50"/>
      <c r="AR25" s="229" t="str">
        <f>IF('Ber. Hulpmateriaal'!B34=0,"",'Ber. Hulpmateriaal'!B34)</f>
        <v/>
      </c>
      <c r="AS25" s="199"/>
      <c r="AT25" s="199" t="str">
        <f>IF('Ber. Hulpmateriaal'!C34=0,"",'Ber. Hulpmateriaal'!C34)</f>
        <v/>
      </c>
      <c r="AU25" s="199"/>
      <c r="AV25" s="199"/>
      <c r="AW25" s="199"/>
      <c r="AX25" s="199"/>
      <c r="AY25" s="199" t="str">
        <f>IF('Ber. Hulpmateriaal'!D34=0,"",'Ber. Hulpmateriaal'!D34)</f>
        <v/>
      </c>
      <c r="AZ25" s="199"/>
      <c r="BA25" s="199"/>
      <c r="BB25" s="199"/>
      <c r="BC25" s="101" t="str">
        <f>IF('Ber. Hulpmateriaal'!E34=0,"",'Ber. Hulpmateriaal'!E34)</f>
        <v/>
      </c>
      <c r="BD25" s="61"/>
      <c r="BE25" s="65"/>
    </row>
    <row r="26" spans="1:57" ht="15.75" thickBot="1" x14ac:dyDescent="0.3">
      <c r="A26" s="65"/>
      <c r="B26" s="50"/>
      <c r="C26" s="225" t="str">
        <f>IF('Ber. st. 3'!B7=0,"",'Ber. st. 3'!B7)</f>
        <v/>
      </c>
      <c r="D26" s="200"/>
      <c r="E26" s="200" t="str">
        <f>IF('Ber. st. 3'!C7=0,"",'Ber. st. 3'!C7)</f>
        <v/>
      </c>
      <c r="F26" s="200"/>
      <c r="G26" s="200"/>
      <c r="H26" s="200"/>
      <c r="I26" s="200"/>
      <c r="J26" s="200" t="str">
        <f>IF('Ber. st. 3'!D7=0,"",'Ber. st. 3'!D7)</f>
        <v/>
      </c>
      <c r="K26" s="200"/>
      <c r="L26" s="200"/>
      <c r="M26" s="200"/>
      <c r="N26" s="14" t="str">
        <f>IF('Ber. st. 3'!E7=0,"",'Ber. st. 3'!E7)</f>
        <v/>
      </c>
      <c r="O26" s="11"/>
      <c r="P26" s="225" t="str">
        <f>IF('Ber. st. 6'!B7=0,"",'Ber. st. 6'!B7)</f>
        <v/>
      </c>
      <c r="Q26" s="200"/>
      <c r="R26" s="200" t="str">
        <f>IF('Ber. st. 6'!C7=0,"",'Ber. st. 6'!C7)</f>
        <v/>
      </c>
      <c r="S26" s="200"/>
      <c r="T26" s="200"/>
      <c r="U26" s="200"/>
      <c r="V26" s="200"/>
      <c r="W26" s="200" t="str">
        <f>IF('Ber. st. 6'!D7=0,"",'Ber. st. 6'!D7)</f>
        <v/>
      </c>
      <c r="X26" s="200"/>
      <c r="Y26" s="200"/>
      <c r="Z26" s="200"/>
      <c r="AA26" s="14" t="str">
        <f>IF('Ber. st. 6'!E7=0,"",'Ber. st. 6'!E7)</f>
        <v/>
      </c>
      <c r="AB26" s="11"/>
      <c r="AC26" s="225" t="str">
        <f>IF('Ber. st. 9'!B7=0,"",'Ber. st. 9'!B7)</f>
        <v/>
      </c>
      <c r="AD26" s="200"/>
      <c r="AE26" s="200" t="str">
        <f>IF('Ber. st. 9'!C7=0,"",'Ber. st. 9'!C7)</f>
        <v/>
      </c>
      <c r="AF26" s="200"/>
      <c r="AG26" s="200"/>
      <c r="AH26" s="200"/>
      <c r="AI26" s="200"/>
      <c r="AJ26" s="200" t="str">
        <f>IF('Ber. st. 9'!D7=0,"",'Ber. st. 9'!D7)</f>
        <v/>
      </c>
      <c r="AK26" s="200"/>
      <c r="AL26" s="200"/>
      <c r="AM26" s="200"/>
      <c r="AN26" s="14" t="str">
        <f>IF('Ber. st. 9'!E7=0,"",'Ber. st. 9'!E7)</f>
        <v/>
      </c>
      <c r="AO26" s="49"/>
      <c r="AP26" s="65"/>
      <c r="AQ26" s="56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9"/>
      <c r="BE26" s="65"/>
    </row>
    <row r="27" spans="1:57" x14ac:dyDescent="0.25">
      <c r="A27" s="65"/>
      <c r="B27" s="50"/>
      <c r="C27" s="225" t="str">
        <f>IF('Ber. st. 3'!B8=0,"",'Ber. st. 3'!B8)</f>
        <v/>
      </c>
      <c r="D27" s="200"/>
      <c r="E27" s="200" t="str">
        <f>IF('Ber. st. 3'!C8=0,"",'Ber. st. 3'!C8)</f>
        <v/>
      </c>
      <c r="F27" s="200"/>
      <c r="G27" s="200"/>
      <c r="H27" s="200"/>
      <c r="I27" s="200"/>
      <c r="J27" s="200" t="str">
        <f>IF('Ber. st. 3'!D8=0,"",'Ber. st. 3'!D8)</f>
        <v/>
      </c>
      <c r="K27" s="200"/>
      <c r="L27" s="200"/>
      <c r="M27" s="200"/>
      <c r="N27" s="14" t="str">
        <f>IF('Ber. st. 3'!E8=0,"",'Ber. st. 3'!E8)</f>
        <v/>
      </c>
      <c r="O27" s="11"/>
      <c r="P27" s="225" t="str">
        <f>IF('Ber. st. 6'!B8=0,"",'Ber. st. 6'!B8)</f>
        <v/>
      </c>
      <c r="Q27" s="200"/>
      <c r="R27" s="200" t="str">
        <f>IF('Ber. st. 6'!C8=0,"",'Ber. st. 6'!C8)</f>
        <v/>
      </c>
      <c r="S27" s="200"/>
      <c r="T27" s="200"/>
      <c r="U27" s="200"/>
      <c r="V27" s="200"/>
      <c r="W27" s="200" t="str">
        <f>IF('Ber. st. 6'!D8=0,"",'Ber. st. 6'!D8)</f>
        <v/>
      </c>
      <c r="X27" s="200"/>
      <c r="Y27" s="200"/>
      <c r="Z27" s="200"/>
      <c r="AA27" s="14" t="str">
        <f>IF('Ber. st. 6'!E8=0,"",'Ber. st. 6'!E8)</f>
        <v/>
      </c>
      <c r="AB27" s="11"/>
      <c r="AC27" s="225" t="str">
        <f>IF('Ber. st. 9'!B8=0,"",'Ber. st. 9'!B8)</f>
        <v/>
      </c>
      <c r="AD27" s="200"/>
      <c r="AE27" s="200" t="str">
        <f>IF('Ber. st. 9'!C8=0,"",'Ber. st. 9'!C8)</f>
        <v/>
      </c>
      <c r="AF27" s="200"/>
      <c r="AG27" s="200"/>
      <c r="AH27" s="200"/>
      <c r="AI27" s="200"/>
      <c r="AJ27" s="200" t="str">
        <f>IF('Ber. st. 9'!D8=0,"",'Ber. st. 9'!D8)</f>
        <v/>
      </c>
      <c r="AK27" s="200"/>
      <c r="AL27" s="200"/>
      <c r="AM27" s="200"/>
      <c r="AN27" s="14" t="str">
        <f>IF('Ber. st. 9'!E8=0,"",'Ber. st. 9'!E8)</f>
        <v/>
      </c>
      <c r="AO27" s="49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</row>
    <row r="28" spans="1:57" x14ac:dyDescent="0.25">
      <c r="A28" s="65"/>
      <c r="B28" s="50"/>
      <c r="C28" s="225" t="str">
        <f>IF('Ber. st. 3'!B9=0,"",'Ber. st. 3'!B9)</f>
        <v/>
      </c>
      <c r="D28" s="200"/>
      <c r="E28" s="200" t="str">
        <f>IF('Ber. st. 3'!C9=0,"",'Ber. st. 3'!C9)</f>
        <v/>
      </c>
      <c r="F28" s="200"/>
      <c r="G28" s="200"/>
      <c r="H28" s="200"/>
      <c r="I28" s="200"/>
      <c r="J28" s="200" t="str">
        <f>IF('Ber. st. 3'!D9=0,"",'Ber. st. 3'!D9)</f>
        <v/>
      </c>
      <c r="K28" s="200"/>
      <c r="L28" s="200"/>
      <c r="M28" s="200"/>
      <c r="N28" s="14" t="str">
        <f>IF('Ber. st. 3'!E9=0,"",'Ber. st. 3'!E9)</f>
        <v/>
      </c>
      <c r="O28" s="11"/>
      <c r="P28" s="225" t="str">
        <f>IF('Ber. st. 6'!B9=0,"",'Ber. st. 6'!B9)</f>
        <v/>
      </c>
      <c r="Q28" s="200"/>
      <c r="R28" s="200" t="str">
        <f>IF('Ber. st. 6'!C9=0,"",'Ber. st. 6'!C9)</f>
        <v/>
      </c>
      <c r="S28" s="200"/>
      <c r="T28" s="200"/>
      <c r="U28" s="200"/>
      <c r="V28" s="200"/>
      <c r="W28" s="200" t="str">
        <f>IF('Ber. st. 6'!D9=0,"",'Ber. st. 6'!D9)</f>
        <v/>
      </c>
      <c r="X28" s="200"/>
      <c r="Y28" s="200"/>
      <c r="Z28" s="200"/>
      <c r="AA28" s="14" t="str">
        <f>IF('Ber. st. 6'!E9=0,"",'Ber. st. 6'!E9)</f>
        <v/>
      </c>
      <c r="AB28" s="11"/>
      <c r="AC28" s="225" t="str">
        <f>IF('Ber. st. 9'!B9=0,"",'Ber. st. 9'!B9)</f>
        <v/>
      </c>
      <c r="AD28" s="200"/>
      <c r="AE28" s="200" t="str">
        <f>IF('Ber. st. 9'!C9=0,"",'Ber. st. 9'!C9)</f>
        <v/>
      </c>
      <c r="AF28" s="200"/>
      <c r="AG28" s="200"/>
      <c r="AH28" s="200"/>
      <c r="AI28" s="200"/>
      <c r="AJ28" s="200" t="str">
        <f>IF('Ber. st. 9'!D9=0,"",'Ber. st. 9'!D9)</f>
        <v/>
      </c>
      <c r="AK28" s="200"/>
      <c r="AL28" s="200"/>
      <c r="AM28" s="200"/>
      <c r="AN28" s="14" t="str">
        <f>IF('Ber. st. 9'!E9=0,"",'Ber. st. 9'!E9)</f>
        <v/>
      </c>
      <c r="AO28" s="49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</row>
    <row r="29" spans="1:57" ht="15.75" thickBot="1" x14ac:dyDescent="0.3">
      <c r="A29" s="65"/>
      <c r="B29" s="50"/>
      <c r="C29" s="229" t="str">
        <f>IF('Ber. st. 3'!B10=0,"",'Ber. st. 3'!B10)</f>
        <v/>
      </c>
      <c r="D29" s="199"/>
      <c r="E29" s="199" t="str">
        <f>IF('Ber. st. 3'!C10=0,"",'Ber. st. 3'!C10)</f>
        <v/>
      </c>
      <c r="F29" s="199"/>
      <c r="G29" s="199"/>
      <c r="H29" s="199"/>
      <c r="I29" s="199"/>
      <c r="J29" s="199" t="str">
        <f>IF('Ber. st. 3'!D10=0,"",'Ber. st. 3'!D10)</f>
        <v/>
      </c>
      <c r="K29" s="199"/>
      <c r="L29" s="199"/>
      <c r="M29" s="199"/>
      <c r="N29" s="100" t="str">
        <f>IF('Ber. st. 3'!E10=0,"",'Ber. st. 3'!E10)</f>
        <v/>
      </c>
      <c r="O29" s="11"/>
      <c r="P29" s="229" t="str">
        <f>IF('Ber. st. 6'!B10=0,"",'Ber. st. 6'!B10)</f>
        <v/>
      </c>
      <c r="Q29" s="199"/>
      <c r="R29" s="199" t="str">
        <f>IF('Ber. st. 6'!C10=0,"",'Ber. st. 6'!C10)</f>
        <v/>
      </c>
      <c r="S29" s="199"/>
      <c r="T29" s="199"/>
      <c r="U29" s="199"/>
      <c r="V29" s="199"/>
      <c r="W29" s="199" t="str">
        <f>IF('Ber. st. 6'!D10=0,"",'Ber. st. 6'!D10)</f>
        <v/>
      </c>
      <c r="X29" s="199"/>
      <c r="Y29" s="199"/>
      <c r="Z29" s="199"/>
      <c r="AA29" s="100" t="str">
        <f>IF('Ber. st. 6'!E10=0,"",'Ber. st. 6'!E10)</f>
        <v/>
      </c>
      <c r="AB29" s="11"/>
      <c r="AC29" s="230" t="str">
        <f>IF('Ber. st. 9'!B10=0,"",'Ber. st. 9'!B10)</f>
        <v/>
      </c>
      <c r="AD29" s="228"/>
      <c r="AE29" s="228" t="str">
        <f>IF('Ber. st. 9'!C10=0,"",'Ber. st. 9'!C10)</f>
        <v/>
      </c>
      <c r="AF29" s="228"/>
      <c r="AG29" s="228"/>
      <c r="AH29" s="228"/>
      <c r="AI29" s="228"/>
      <c r="AJ29" s="228" t="str">
        <f>IF('Ber. st. 9'!D10=0,"",'Ber. st. 9'!D10)</f>
        <v/>
      </c>
      <c r="AK29" s="228"/>
      <c r="AL29" s="228"/>
      <c r="AM29" s="228"/>
      <c r="AN29" s="40" t="str">
        <f>IF('Ber. st. 9'!E10=0,"",'Ber. st. 9'!E10)</f>
        <v/>
      </c>
      <c r="AO29" s="49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</row>
    <row r="30" spans="1:57" ht="7.5" customHeight="1" thickBot="1" x14ac:dyDescent="0.3">
      <c r="A30" s="65"/>
      <c r="B30" s="56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8"/>
      <c r="N30" s="58"/>
      <c r="O30" s="51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8"/>
      <c r="AA30" s="58"/>
      <c r="AB30" s="51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8"/>
      <c r="AN30" s="58"/>
      <c r="AO30" s="59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</row>
    <row r="31" spans="1:57" ht="7.5" customHeight="1" thickBot="1" x14ac:dyDescent="0.3">
      <c r="A31" s="65"/>
      <c r="B31" s="65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0"/>
      <c r="N31" s="60"/>
      <c r="O31" s="65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0"/>
      <c r="AA31" s="60"/>
      <c r="AB31" s="65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0"/>
      <c r="AN31" s="60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</row>
    <row r="32" spans="1:57" ht="21.75" thickBot="1" x14ac:dyDescent="0.3">
      <c r="A32" s="65"/>
      <c r="B32" s="108"/>
      <c r="C32" s="195" t="s">
        <v>8</v>
      </c>
      <c r="D32" s="195"/>
      <c r="E32" s="119">
        <v>9</v>
      </c>
      <c r="F32" s="48"/>
      <c r="G32" s="325" t="s">
        <v>78</v>
      </c>
      <c r="H32" s="325"/>
      <c r="I32" s="325"/>
      <c r="J32" s="325"/>
      <c r="K32" s="326">
        <v>200</v>
      </c>
      <c r="L32" s="326"/>
      <c r="M32" s="325" t="s">
        <v>79</v>
      </c>
      <c r="N32" s="325"/>
      <c r="O32" s="326">
        <f>K32-SUM(Q34:Q58)</f>
        <v>200</v>
      </c>
      <c r="P32" s="326"/>
      <c r="Q32" s="326"/>
      <c r="R32" s="110"/>
      <c r="S32" s="195" t="s">
        <v>8</v>
      </c>
      <c r="T32" s="195"/>
      <c r="U32" s="109">
        <f>E32+1</f>
        <v>10</v>
      </c>
      <c r="V32" s="48"/>
      <c r="W32" s="325" t="s">
        <v>78</v>
      </c>
      <c r="X32" s="325"/>
      <c r="Y32" s="325"/>
      <c r="Z32" s="325"/>
      <c r="AA32" s="326">
        <v>200</v>
      </c>
      <c r="AB32" s="326"/>
      <c r="AC32" s="325" t="s">
        <v>79</v>
      </c>
      <c r="AD32" s="325"/>
      <c r="AE32" s="325"/>
      <c r="AF32" s="325"/>
      <c r="AG32" s="325"/>
      <c r="AH32" s="327">
        <f>AA32-SUM(AI34:AJ58)</f>
        <v>200</v>
      </c>
      <c r="AI32" s="48"/>
      <c r="AJ32" s="48"/>
      <c r="AK32" s="48"/>
      <c r="AL32" s="195" t="s">
        <v>8</v>
      </c>
      <c r="AM32" s="195"/>
      <c r="AN32" s="109">
        <f>U32+1</f>
        <v>11</v>
      </c>
      <c r="AO32" s="48"/>
      <c r="AP32" s="325" t="s">
        <v>78</v>
      </c>
      <c r="AQ32" s="325"/>
      <c r="AR32" s="325"/>
      <c r="AS32" s="325"/>
      <c r="AT32" s="325"/>
      <c r="AU32" s="325"/>
      <c r="AV32" s="326">
        <v>200</v>
      </c>
      <c r="AW32" s="326"/>
      <c r="AX32" s="325" t="s">
        <v>79</v>
      </c>
      <c r="AY32" s="325"/>
      <c r="AZ32" s="325"/>
      <c r="BA32" s="326">
        <f>AV32-SUM(BA34:BB58)</f>
        <v>200</v>
      </c>
      <c r="BB32" s="326"/>
      <c r="BC32" s="48"/>
      <c r="BD32" s="55"/>
      <c r="BE32" s="65"/>
    </row>
    <row r="33" spans="1:57" ht="11.25" customHeight="1" thickBot="1" x14ac:dyDescent="0.3">
      <c r="A33" s="65"/>
      <c r="B33" s="50"/>
      <c r="C33" s="103"/>
      <c r="D33" s="216" t="s">
        <v>34</v>
      </c>
      <c r="E33" s="214"/>
      <c r="F33" s="214" t="s">
        <v>35</v>
      </c>
      <c r="G33" s="214"/>
      <c r="H33" s="214"/>
      <c r="I33" s="214"/>
      <c r="J33" s="214"/>
      <c r="K33" s="214" t="s">
        <v>36</v>
      </c>
      <c r="L33" s="214"/>
      <c r="M33" s="214"/>
      <c r="N33" s="104" t="s">
        <v>44</v>
      </c>
      <c r="O33" s="214" t="s">
        <v>45</v>
      </c>
      <c r="P33" s="215"/>
      <c r="Q33" s="111" t="s">
        <v>46</v>
      </c>
      <c r="R33" s="102"/>
      <c r="S33" s="103"/>
      <c r="T33" s="216" t="s">
        <v>34</v>
      </c>
      <c r="U33" s="214"/>
      <c r="V33" s="215" t="s">
        <v>35</v>
      </c>
      <c r="W33" s="221"/>
      <c r="X33" s="221"/>
      <c r="Y33" s="221"/>
      <c r="Z33" s="221"/>
      <c r="AA33" s="222"/>
      <c r="AB33" s="215" t="s">
        <v>36</v>
      </c>
      <c r="AC33" s="221"/>
      <c r="AD33" s="221"/>
      <c r="AE33" s="222"/>
      <c r="AF33" s="215" t="s">
        <v>44</v>
      </c>
      <c r="AG33" s="222"/>
      <c r="AH33" s="112" t="s">
        <v>45</v>
      </c>
      <c r="AI33" s="219" t="s">
        <v>46</v>
      </c>
      <c r="AJ33" s="220"/>
      <c r="AK33" s="11"/>
      <c r="AM33" s="217" t="s">
        <v>34</v>
      </c>
      <c r="AN33" s="218"/>
      <c r="AO33" s="218" t="s">
        <v>35</v>
      </c>
      <c r="AP33" s="218"/>
      <c r="AQ33" s="218"/>
      <c r="AR33" s="218"/>
      <c r="AS33" s="218"/>
      <c r="AT33" s="218"/>
      <c r="AU33" s="218"/>
      <c r="AV33" s="218" t="s">
        <v>36</v>
      </c>
      <c r="AW33" s="218"/>
      <c r="AX33" s="218"/>
      <c r="AY33" s="117" t="s">
        <v>44</v>
      </c>
      <c r="AZ33" s="118" t="s">
        <v>45</v>
      </c>
      <c r="BA33" s="277" t="s">
        <v>46</v>
      </c>
      <c r="BB33" s="278"/>
      <c r="BC33" s="50"/>
      <c r="BD33" s="49"/>
      <c r="BE33" s="65"/>
    </row>
    <row r="34" spans="1:57" ht="11.25" customHeight="1" x14ac:dyDescent="0.25">
      <c r="A34" s="65"/>
      <c r="B34" s="50"/>
      <c r="C34" s="237" t="s">
        <v>20</v>
      </c>
      <c r="D34" s="147" t="str">
        <f>IF('Ber. Planning Tomasz'!AF4="","",'Ber. Planning Tomasz'!AF4)</f>
        <v/>
      </c>
      <c r="E34" s="148"/>
      <c r="F34" s="148" t="str">
        <f>IF('Ber. Planning Tomasz'!AG4="","",'Ber. Planning Tomasz'!AG4)</f>
        <v/>
      </c>
      <c r="G34" s="148"/>
      <c r="H34" s="148"/>
      <c r="I34" s="148"/>
      <c r="J34" s="148"/>
      <c r="K34" s="148" t="str">
        <f>IF('Ber. Planning Tomasz'!AH4="","",'Ber. Planning Tomasz'!AH4)</f>
        <v/>
      </c>
      <c r="L34" s="148"/>
      <c r="M34" s="148"/>
      <c r="N34" s="105" t="str">
        <f>IF('Ber. Planning Tomasz'!AJ4="","",'Ber. Planning Tomasz'!AJ4)</f>
        <v/>
      </c>
      <c r="O34" s="166" t="str">
        <f>IF('Ber. Planning Tomasz'!AI4="","",'Ber. Planning Tomasz'!AI4)</f>
        <v/>
      </c>
      <c r="P34" s="177"/>
      <c r="Q34" s="178">
        <f>SUM(O34:P38)</f>
        <v>0</v>
      </c>
      <c r="R34" s="267" t="str">
        <f>IF(Q34&lt;&gt;'Ber. Planning Tomasz'!AI15,"!","")</f>
        <v/>
      </c>
      <c r="S34" s="208" t="s">
        <v>23</v>
      </c>
      <c r="T34" s="147" t="str">
        <f>IF('Ber. Planning Tomasz'!AF19="","",'Ber. Planning Tomasz'!AF19)</f>
        <v/>
      </c>
      <c r="U34" s="148"/>
      <c r="V34" s="148" t="str">
        <f>IF('Ber. Planning Tomasz'!AG19="","",'Ber. Planning Tomasz'!AG19)</f>
        <v/>
      </c>
      <c r="W34" s="148"/>
      <c r="X34" s="148"/>
      <c r="Y34" s="148"/>
      <c r="Z34" s="148"/>
      <c r="AA34" s="148"/>
      <c r="AB34" s="148" t="str">
        <f>IF('Ber. Planning Tomasz'!AH19="","",'Ber. Planning Tomasz'!AH19)</f>
        <v/>
      </c>
      <c r="AC34" s="148"/>
      <c r="AD34" s="148"/>
      <c r="AE34" s="148"/>
      <c r="AF34" s="166" t="str">
        <f>IF('Ber. Planning Tomasz'!AJ19="","",'Ber. Planning Tomasz'!AJ19)</f>
        <v/>
      </c>
      <c r="AG34" s="166"/>
      <c r="AH34" s="113" t="str">
        <f>IF('Ber. Planning Tomasz'!AI19="","",'Ber. Planning Tomasz'!AI19)</f>
        <v/>
      </c>
      <c r="AI34" s="167">
        <f>SUM(AH34:AH38)</f>
        <v>0</v>
      </c>
      <c r="AJ34" s="150"/>
      <c r="AK34" s="267" t="str">
        <f>IF(AI34&lt;&gt;'Ber. Planning Tomasz'!AI30,"!","")</f>
        <v/>
      </c>
      <c r="AL34" s="208" t="s">
        <v>23</v>
      </c>
      <c r="AM34" s="147" t="str">
        <f>IF('Ber. Planning Tomasz'!AF34="","",'Ber. Planning Tomasz'!AF34)</f>
        <v/>
      </c>
      <c r="AN34" s="148"/>
      <c r="AO34" s="148" t="str">
        <f>IF('Ber. Planning Tomasz'!AG34="","",'Ber. Planning Tomasz'!AG34)</f>
        <v/>
      </c>
      <c r="AP34" s="148"/>
      <c r="AQ34" s="148"/>
      <c r="AR34" s="148"/>
      <c r="AS34" s="148"/>
      <c r="AT34" s="148"/>
      <c r="AU34" s="148"/>
      <c r="AV34" s="148" t="str">
        <f>IF('Ber. Planning Tomasz'!AH34="","",'Ber. Planning Tomasz'!AH34)</f>
        <v/>
      </c>
      <c r="AW34" s="148"/>
      <c r="AX34" s="148"/>
      <c r="AY34" s="105" t="str">
        <f>IF('Ber. Planning Tomasz'!AJ34="","",'Ber. Planning Tomasz'!AJ34)</f>
        <v/>
      </c>
      <c r="AZ34" s="105" t="str">
        <f>IF('Ber. Planning Tomasz'!AI34="","",'Ber. Planning Tomasz'!AI34)</f>
        <v/>
      </c>
      <c r="BA34" s="149">
        <f>SUM(AZ34:AZ38)</f>
        <v>0</v>
      </c>
      <c r="BB34" s="150"/>
      <c r="BC34" s="280" t="str">
        <f>IF(BA34&lt;&gt;'Ber. Planning Tomasz'!AI45,"!","")</f>
        <v/>
      </c>
      <c r="BD34" s="49"/>
      <c r="BE34" s="65"/>
    </row>
    <row r="35" spans="1:57" ht="11.25" customHeight="1" x14ac:dyDescent="0.25">
      <c r="A35" s="65"/>
      <c r="B35" s="50"/>
      <c r="C35" s="238"/>
      <c r="D35" s="155" t="str">
        <f>IF('Ber. Planning Tomasz'!AF5="","",'Ber. Planning Tomasz'!AF5)</f>
        <v/>
      </c>
      <c r="E35" s="156"/>
      <c r="F35" s="156" t="str">
        <f>IF('Ber. Planning Tomasz'!AG5="","",'Ber. Planning Tomasz'!AG5)</f>
        <v/>
      </c>
      <c r="G35" s="156"/>
      <c r="H35" s="156"/>
      <c r="I35" s="156"/>
      <c r="J35" s="156"/>
      <c r="K35" s="156" t="str">
        <f>IF('Ber. Planning Tomasz'!AH5="","",'Ber. Planning Tomasz'!AH5)</f>
        <v/>
      </c>
      <c r="L35" s="156"/>
      <c r="M35" s="156"/>
      <c r="N35" s="106" t="str">
        <f>IF('Ber. Planning Tomasz'!AJ5="","",'Ber. Planning Tomasz'!AJ5)</f>
        <v/>
      </c>
      <c r="O35" s="170" t="str">
        <f>IF('Ber. Planning Tomasz'!AI5="","",'Ber. Planning Tomasz'!AI5)</f>
        <v/>
      </c>
      <c r="P35" s="181"/>
      <c r="Q35" s="179"/>
      <c r="R35" s="267"/>
      <c r="S35" s="209"/>
      <c r="T35" s="155" t="str">
        <f>IF('Ber. Planning Tomasz'!AF20="","",'Ber. Planning Tomasz'!AF20)</f>
        <v/>
      </c>
      <c r="U35" s="156"/>
      <c r="V35" s="156" t="str">
        <f>IF('Ber. Planning Tomasz'!AG20="","",'Ber. Planning Tomasz'!AG20)</f>
        <v/>
      </c>
      <c r="W35" s="156"/>
      <c r="X35" s="156"/>
      <c r="Y35" s="156"/>
      <c r="Z35" s="156"/>
      <c r="AA35" s="156"/>
      <c r="AB35" s="156" t="str">
        <f>IF('Ber. Planning Tomasz'!AH20="","",'Ber. Planning Tomasz'!AH20)</f>
        <v/>
      </c>
      <c r="AC35" s="156"/>
      <c r="AD35" s="156"/>
      <c r="AE35" s="156"/>
      <c r="AF35" s="170" t="str">
        <f>IF('Ber. Planning Tomasz'!AJ20="","",'Ber. Planning Tomasz'!AJ20)</f>
        <v/>
      </c>
      <c r="AG35" s="170"/>
      <c r="AH35" s="114" t="str">
        <f>IF('Ber. Planning Tomasz'!AI20="","",'Ber. Planning Tomasz'!AI20)</f>
        <v/>
      </c>
      <c r="AI35" s="168"/>
      <c r="AJ35" s="152"/>
      <c r="AK35" s="267"/>
      <c r="AL35" s="209"/>
      <c r="AM35" s="155" t="str">
        <f>IF('Ber. Planning Tomasz'!AF35="","",'Ber. Planning Tomasz'!AF35)</f>
        <v/>
      </c>
      <c r="AN35" s="156"/>
      <c r="AO35" s="156" t="str">
        <f>IF('Ber. Planning Tomasz'!AG35="","",'Ber. Planning Tomasz'!AG35)</f>
        <v/>
      </c>
      <c r="AP35" s="156"/>
      <c r="AQ35" s="156"/>
      <c r="AR35" s="156"/>
      <c r="AS35" s="156"/>
      <c r="AT35" s="156"/>
      <c r="AU35" s="156"/>
      <c r="AV35" s="156" t="str">
        <f>IF('Ber. Planning Tomasz'!AH35="","",'Ber. Planning Tomasz'!AH35)</f>
        <v/>
      </c>
      <c r="AW35" s="156"/>
      <c r="AX35" s="156"/>
      <c r="AY35" s="106" t="str">
        <f>IF('Ber. Planning Tomasz'!AJ35="","",'Ber. Planning Tomasz'!AJ35)</f>
        <v/>
      </c>
      <c r="AZ35" s="106" t="str">
        <f>IF('Ber. Planning Tomasz'!AI35="","",'Ber. Planning Tomasz'!AI35)</f>
        <v/>
      </c>
      <c r="BA35" s="151"/>
      <c r="BB35" s="152"/>
      <c r="BC35" s="280"/>
      <c r="BD35" s="49"/>
      <c r="BE35" s="65"/>
    </row>
    <row r="36" spans="1:57" ht="11.25" customHeight="1" x14ac:dyDescent="0.25">
      <c r="A36" s="65"/>
      <c r="B36" s="50"/>
      <c r="C36" s="238"/>
      <c r="D36" s="155" t="str">
        <f>IF('Ber. Planning Tomasz'!AF6="","",'Ber. Planning Tomasz'!AF6)</f>
        <v/>
      </c>
      <c r="E36" s="156"/>
      <c r="F36" s="156" t="str">
        <f>IF('Ber. Planning Tomasz'!AG6="","",'Ber. Planning Tomasz'!AG6)</f>
        <v/>
      </c>
      <c r="G36" s="156"/>
      <c r="H36" s="156"/>
      <c r="I36" s="156"/>
      <c r="J36" s="156"/>
      <c r="K36" s="156" t="str">
        <f>IF('Ber. Planning Tomasz'!AH6="","",'Ber. Planning Tomasz'!AH6)</f>
        <v/>
      </c>
      <c r="L36" s="156"/>
      <c r="M36" s="156"/>
      <c r="N36" s="106" t="str">
        <f>IF('Ber. Planning Tomasz'!AJ6="","",'Ber. Planning Tomasz'!AJ6)</f>
        <v/>
      </c>
      <c r="O36" s="170" t="str">
        <f>IF('Ber. Planning Tomasz'!AI6="","",'Ber. Planning Tomasz'!AI6)</f>
        <v/>
      </c>
      <c r="P36" s="181"/>
      <c r="Q36" s="179"/>
      <c r="R36" s="267"/>
      <c r="S36" s="209"/>
      <c r="T36" s="155" t="str">
        <f>IF('Ber. Planning Tomasz'!AF21="","",'Ber. Planning Tomasz'!AF21)</f>
        <v/>
      </c>
      <c r="U36" s="156"/>
      <c r="V36" s="156" t="str">
        <f>IF('Ber. Planning Tomasz'!AG21="","",'Ber. Planning Tomasz'!AG21)</f>
        <v/>
      </c>
      <c r="W36" s="156"/>
      <c r="X36" s="156"/>
      <c r="Y36" s="156"/>
      <c r="Z36" s="156"/>
      <c r="AA36" s="156"/>
      <c r="AB36" s="156" t="str">
        <f>IF('Ber. Planning Tomasz'!AH21="","",'Ber. Planning Tomasz'!AH21)</f>
        <v/>
      </c>
      <c r="AC36" s="156"/>
      <c r="AD36" s="156"/>
      <c r="AE36" s="156"/>
      <c r="AF36" s="170" t="str">
        <f>IF('Ber. Planning Tomasz'!AJ21="","",'Ber. Planning Tomasz'!AJ21)</f>
        <v/>
      </c>
      <c r="AG36" s="170"/>
      <c r="AH36" s="114" t="str">
        <f>IF('Ber. Planning Tomasz'!AI21="","",'Ber. Planning Tomasz'!AI21)</f>
        <v/>
      </c>
      <c r="AI36" s="168"/>
      <c r="AJ36" s="152"/>
      <c r="AK36" s="267"/>
      <c r="AL36" s="209"/>
      <c r="AM36" s="155" t="str">
        <f>IF('Ber. Planning Tomasz'!AF36="","",'Ber. Planning Tomasz'!AF36)</f>
        <v/>
      </c>
      <c r="AN36" s="156"/>
      <c r="AO36" s="156" t="str">
        <f>IF('Ber. Planning Tomasz'!AG36="","",'Ber. Planning Tomasz'!AG36)</f>
        <v/>
      </c>
      <c r="AP36" s="156"/>
      <c r="AQ36" s="156"/>
      <c r="AR36" s="156"/>
      <c r="AS36" s="156"/>
      <c r="AT36" s="156"/>
      <c r="AU36" s="156"/>
      <c r="AV36" s="156" t="str">
        <f>IF('Ber. Planning Tomasz'!AH36="","",'Ber. Planning Tomasz'!AH36)</f>
        <v/>
      </c>
      <c r="AW36" s="156"/>
      <c r="AX36" s="156"/>
      <c r="AY36" s="106" t="str">
        <f>IF('Ber. Planning Tomasz'!AJ36="","",'Ber. Planning Tomasz'!AJ36)</f>
        <v/>
      </c>
      <c r="AZ36" s="106" t="str">
        <f>IF('Ber. Planning Tomasz'!AI36="","",'Ber. Planning Tomasz'!AI36)</f>
        <v/>
      </c>
      <c r="BA36" s="151"/>
      <c r="BB36" s="152"/>
      <c r="BC36" s="280"/>
      <c r="BD36" s="49"/>
      <c r="BE36" s="65"/>
    </row>
    <row r="37" spans="1:57" ht="11.25" customHeight="1" x14ac:dyDescent="0.25">
      <c r="A37" s="65"/>
      <c r="B37" s="50"/>
      <c r="C37" s="238"/>
      <c r="D37" s="155" t="str">
        <f>IF('Ber. Planning Tomasz'!AF7="","",'Ber. Planning Tomasz'!AF7)</f>
        <v/>
      </c>
      <c r="E37" s="156"/>
      <c r="F37" s="156" t="str">
        <f>IF('Ber. Planning Tomasz'!AG7="","",'Ber. Planning Tomasz'!AG7)</f>
        <v/>
      </c>
      <c r="G37" s="156"/>
      <c r="H37" s="156"/>
      <c r="I37" s="156"/>
      <c r="J37" s="156"/>
      <c r="K37" s="156" t="str">
        <f>IF('Ber. Planning Tomasz'!AH7="","",'Ber. Planning Tomasz'!AH7)</f>
        <v/>
      </c>
      <c r="L37" s="156"/>
      <c r="M37" s="156"/>
      <c r="N37" s="106" t="str">
        <f>IF('Ber. Planning Tomasz'!AJ7="","",'Ber. Planning Tomasz'!AJ7)</f>
        <v/>
      </c>
      <c r="O37" s="170" t="str">
        <f>IF('Ber. Planning Tomasz'!AI7="","",'Ber. Planning Tomasz'!AI7)</f>
        <v/>
      </c>
      <c r="P37" s="181"/>
      <c r="Q37" s="179"/>
      <c r="R37" s="267"/>
      <c r="S37" s="209"/>
      <c r="T37" s="155" t="str">
        <f>IF('Ber. Planning Tomasz'!AF22="","",'Ber. Planning Tomasz'!AF22)</f>
        <v/>
      </c>
      <c r="U37" s="156"/>
      <c r="V37" s="156" t="str">
        <f>IF('Ber. Planning Tomasz'!AG22="","",'Ber. Planning Tomasz'!AG22)</f>
        <v/>
      </c>
      <c r="W37" s="156"/>
      <c r="X37" s="156"/>
      <c r="Y37" s="156"/>
      <c r="Z37" s="156"/>
      <c r="AA37" s="156"/>
      <c r="AB37" s="156" t="str">
        <f>IF('Ber. Planning Tomasz'!AH22="","",'Ber. Planning Tomasz'!AH22)</f>
        <v/>
      </c>
      <c r="AC37" s="156"/>
      <c r="AD37" s="156"/>
      <c r="AE37" s="156"/>
      <c r="AF37" s="170" t="str">
        <f>IF('Ber. Planning Tomasz'!AJ22="","",'Ber. Planning Tomasz'!AJ22)</f>
        <v/>
      </c>
      <c r="AG37" s="170"/>
      <c r="AH37" s="114" t="str">
        <f>IF('Ber. Planning Tomasz'!AI22="","",'Ber. Planning Tomasz'!AI22)</f>
        <v/>
      </c>
      <c r="AI37" s="168"/>
      <c r="AJ37" s="152"/>
      <c r="AK37" s="267"/>
      <c r="AL37" s="209"/>
      <c r="AM37" s="155" t="str">
        <f>IF('Ber. Planning Tomasz'!AF37="","",'Ber. Planning Tomasz'!AF37)</f>
        <v/>
      </c>
      <c r="AN37" s="156"/>
      <c r="AO37" s="156" t="str">
        <f>IF('Ber. Planning Tomasz'!AG37="","",'Ber. Planning Tomasz'!AG37)</f>
        <v/>
      </c>
      <c r="AP37" s="156"/>
      <c r="AQ37" s="156"/>
      <c r="AR37" s="156"/>
      <c r="AS37" s="156"/>
      <c r="AT37" s="156"/>
      <c r="AU37" s="156"/>
      <c r="AV37" s="156" t="str">
        <f>IF('Ber. Planning Tomasz'!AH37="","",'Ber. Planning Tomasz'!AH37)</f>
        <v/>
      </c>
      <c r="AW37" s="156"/>
      <c r="AX37" s="156"/>
      <c r="AY37" s="106" t="str">
        <f>IF('Ber. Planning Tomasz'!AJ37="","",'Ber. Planning Tomasz'!AJ37)</f>
        <v/>
      </c>
      <c r="AZ37" s="106" t="str">
        <f>IF('Ber. Planning Tomasz'!AI37="","",'Ber. Planning Tomasz'!AI37)</f>
        <v/>
      </c>
      <c r="BA37" s="151"/>
      <c r="BB37" s="152"/>
      <c r="BC37" s="280"/>
      <c r="BD37" s="49"/>
      <c r="BE37" s="65"/>
    </row>
    <row r="38" spans="1:57" ht="11.25" customHeight="1" thickBot="1" x14ac:dyDescent="0.3">
      <c r="A38" s="65"/>
      <c r="B38" s="50"/>
      <c r="C38" s="239"/>
      <c r="D38" s="157" t="str">
        <f>IF('Ber. Planning Tomasz'!AF8="","",'Ber. Planning Tomasz'!AF8)</f>
        <v/>
      </c>
      <c r="E38" s="158"/>
      <c r="F38" s="158" t="str">
        <f>IF('Ber. Planning Tomasz'!AG8="","",'Ber. Planning Tomasz'!AG8)</f>
        <v/>
      </c>
      <c r="G38" s="158"/>
      <c r="H38" s="158"/>
      <c r="I38" s="158"/>
      <c r="J38" s="158"/>
      <c r="K38" s="158" t="str">
        <f>IF('Ber. Planning Tomasz'!AH8="","",'Ber. Planning Tomasz'!AH8)</f>
        <v/>
      </c>
      <c r="L38" s="158"/>
      <c r="M38" s="158"/>
      <c r="N38" s="107" t="str">
        <f>IF('Ber. Planning Tomasz'!AJ8="","",'Ber. Planning Tomasz'!AJ8)</f>
        <v/>
      </c>
      <c r="O38" s="171" t="str">
        <f>IF('Ber. Planning Tomasz'!AI8="","",'Ber. Planning Tomasz'!AI8)</f>
        <v/>
      </c>
      <c r="P38" s="182"/>
      <c r="Q38" s="180"/>
      <c r="R38" s="267"/>
      <c r="S38" s="210"/>
      <c r="T38" s="198" t="str">
        <f>IF('Ber. Planning Tomasz'!AF23="","",'Ber. Planning Tomasz'!AF23)</f>
        <v/>
      </c>
      <c r="U38" s="196"/>
      <c r="V38" s="196" t="str">
        <f>IF('Ber. Planning Tomasz'!AG23="","",'Ber. Planning Tomasz'!AG23)</f>
        <v/>
      </c>
      <c r="W38" s="196"/>
      <c r="X38" s="196"/>
      <c r="Y38" s="196"/>
      <c r="Z38" s="196"/>
      <c r="AA38" s="196"/>
      <c r="AB38" s="196" t="str">
        <f>IF('Ber. Planning Tomasz'!AH23="","",'Ber. Planning Tomasz'!AH23)</f>
        <v/>
      </c>
      <c r="AC38" s="196"/>
      <c r="AD38" s="196"/>
      <c r="AE38" s="196"/>
      <c r="AF38" s="197" t="str">
        <f>IF('Ber. Planning Tomasz'!AJ23="","",'Ber. Planning Tomasz'!AJ23)</f>
        <v/>
      </c>
      <c r="AG38" s="197"/>
      <c r="AH38" s="115" t="str">
        <f>IF('Ber. Planning Tomasz'!AI23="","",'Ber. Planning Tomasz'!AI23)</f>
        <v/>
      </c>
      <c r="AI38" s="169"/>
      <c r="AJ38" s="154"/>
      <c r="AK38" s="267"/>
      <c r="AL38" s="210"/>
      <c r="AM38" s="157" t="str">
        <f>IF('Ber. Planning Tomasz'!AF38="","",'Ber. Planning Tomasz'!AF38)</f>
        <v/>
      </c>
      <c r="AN38" s="158"/>
      <c r="AO38" s="158" t="str">
        <f>IF('Ber. Planning Tomasz'!AG38="","",'Ber. Planning Tomasz'!AG38)</f>
        <v/>
      </c>
      <c r="AP38" s="158"/>
      <c r="AQ38" s="158"/>
      <c r="AR38" s="158"/>
      <c r="AS38" s="158"/>
      <c r="AT38" s="158"/>
      <c r="AU38" s="158"/>
      <c r="AV38" s="158" t="str">
        <f>IF('Ber. Planning Tomasz'!AH38="","",'Ber. Planning Tomasz'!AH38)</f>
        <v/>
      </c>
      <c r="AW38" s="158"/>
      <c r="AX38" s="158"/>
      <c r="AY38" s="107" t="str">
        <f>IF('Ber. Planning Tomasz'!AJ38="","",'Ber. Planning Tomasz'!AJ38)</f>
        <v/>
      </c>
      <c r="AZ38" s="107" t="str">
        <f>IF('Ber. Planning Tomasz'!AI38="","",'Ber. Planning Tomasz'!AI38)</f>
        <v/>
      </c>
      <c r="BA38" s="153"/>
      <c r="BB38" s="154"/>
      <c r="BC38" s="280"/>
      <c r="BD38" s="49"/>
      <c r="BE38" s="65"/>
    </row>
    <row r="39" spans="1:57" ht="11.25" customHeight="1" x14ac:dyDescent="0.25">
      <c r="A39" s="65"/>
      <c r="B39" s="50"/>
      <c r="C39" s="240" t="s">
        <v>22</v>
      </c>
      <c r="D39" s="312" t="str">
        <f>IF('Ber. Planning Ed'!AF$4="","",'Ber. Planning Ed'!AF$4)</f>
        <v/>
      </c>
      <c r="E39" s="311"/>
      <c r="F39" s="309" t="str">
        <f>IF('Ber. Planning Ed'!AG$4="","",'Ber. Planning Ed'!AG$4)</f>
        <v/>
      </c>
      <c r="G39" s="310"/>
      <c r="H39" s="310"/>
      <c r="I39" s="310"/>
      <c r="J39" s="311"/>
      <c r="K39" s="309" t="str">
        <f>IF('Ber. Planning Ed'!AH$4="","",'Ber. Planning Ed'!AH$4)</f>
        <v/>
      </c>
      <c r="L39" s="310"/>
      <c r="M39" s="311"/>
      <c r="N39" s="105" t="str">
        <f>IF('Ber. Planning Ed'!AJ$4="","",'Ber. Planning Ed'!AJ$4)</f>
        <v/>
      </c>
      <c r="O39" s="177" t="str">
        <f>IF('Ber. Planning Ed'!AI$4="","",'Ber. Planning Ed'!AI$4)</f>
        <v/>
      </c>
      <c r="P39" s="308"/>
      <c r="Q39" s="178">
        <f>SUM(O39:P43)</f>
        <v>0</v>
      </c>
      <c r="R39" s="267" t="str">
        <f>IF(Q39&lt;&gt;'Ber. Planning Ed'!AI15,"!","")</f>
        <v/>
      </c>
      <c r="S39" s="202" t="s">
        <v>22</v>
      </c>
      <c r="T39" s="147" t="str">
        <f>IF('Ber. Planning Ed'!AF19="","",'Ber. Planning Ed'!AF19)</f>
        <v/>
      </c>
      <c r="U39" s="148"/>
      <c r="V39" s="148" t="str">
        <f>IF('Ber. Planning Ed'!AG19="","",'Ber. Planning Ed'!AG19)</f>
        <v/>
      </c>
      <c r="W39" s="148"/>
      <c r="X39" s="148"/>
      <c r="Y39" s="148"/>
      <c r="Z39" s="148"/>
      <c r="AA39" s="148"/>
      <c r="AB39" s="148" t="str">
        <f>IF('Ber. Planning Ed'!AH19="","",'Ber. Planning Ed'!AH19)</f>
        <v/>
      </c>
      <c r="AC39" s="148"/>
      <c r="AD39" s="148"/>
      <c r="AE39" s="148"/>
      <c r="AF39" s="166" t="str">
        <f>IF('Ber. Planning Ed'!AJ19="","",'Ber. Planning Ed'!AJ19)</f>
        <v/>
      </c>
      <c r="AG39" s="166"/>
      <c r="AH39" s="113" t="str">
        <f>IF('Ber. Planning Ed'!AI19="","",'Ber. Planning Ed'!AI19)</f>
        <v/>
      </c>
      <c r="AI39" s="167">
        <f>SUM(AH39:AH43)</f>
        <v>0</v>
      </c>
      <c r="AJ39" s="150"/>
      <c r="AK39" s="267" t="str">
        <f>IF(AI39&lt;&gt;'Ber. Planning Ed'!AI30,"!","")</f>
        <v/>
      </c>
      <c r="AL39" s="202" t="s">
        <v>22</v>
      </c>
      <c r="AM39" s="147" t="str">
        <f>IF('Ber. Planning Ed'!AF34="","",'Ber. Planning Ed'!AF34)</f>
        <v/>
      </c>
      <c r="AN39" s="148"/>
      <c r="AO39" s="148" t="str">
        <f>IF('Ber. Planning Ed'!AG34="","",'Ber. Planning Ed'!AG34)</f>
        <v/>
      </c>
      <c r="AP39" s="148"/>
      <c r="AQ39" s="148"/>
      <c r="AR39" s="148"/>
      <c r="AS39" s="148"/>
      <c r="AT39" s="148"/>
      <c r="AU39" s="148"/>
      <c r="AV39" s="148" t="str">
        <f>IF('Ber. Planning Ed'!AH34="","",'Ber. Planning Ed'!AH34)</f>
        <v/>
      </c>
      <c r="AW39" s="148"/>
      <c r="AX39" s="148"/>
      <c r="AY39" s="105" t="str">
        <f>IF('Ber. Planning Ed'!AJ34="","",'Ber. Planning Ed'!AJ34)</f>
        <v/>
      </c>
      <c r="AZ39" s="105" t="str">
        <f>IF('Ber. Planning Ed'!AI34="","",'Ber. Planning Ed'!AI34)</f>
        <v/>
      </c>
      <c r="BA39" s="149">
        <f>SUM(AZ39:AZ43)</f>
        <v>0</v>
      </c>
      <c r="BB39" s="150"/>
      <c r="BC39" s="280" t="str">
        <f>IF(BA39&lt;&gt;'Ber. Planning Ed'!AI45,"!","")</f>
        <v/>
      </c>
      <c r="BD39" s="49"/>
      <c r="BE39" s="65"/>
    </row>
    <row r="40" spans="1:57" ht="11.25" customHeight="1" x14ac:dyDescent="0.25">
      <c r="A40" s="65"/>
      <c r="B40" s="50"/>
      <c r="C40" s="241"/>
      <c r="D40" s="155" t="str">
        <f>IF('Ber. Planning Ed'!AF5="","",'Ber. Planning Ed'!AF5)</f>
        <v/>
      </c>
      <c r="E40" s="156"/>
      <c r="F40" s="156" t="str">
        <f>IF('Ber. Planning Ed'!AG5="","",'Ber. Planning Ed'!AG5)</f>
        <v/>
      </c>
      <c r="G40" s="156"/>
      <c r="H40" s="156"/>
      <c r="I40" s="156"/>
      <c r="J40" s="156"/>
      <c r="K40" s="156" t="str">
        <f>IF('Ber. Planning Ed'!AH5="","",'Ber. Planning Ed'!AH5)</f>
        <v/>
      </c>
      <c r="L40" s="156"/>
      <c r="M40" s="156"/>
      <c r="N40" s="106" t="str">
        <f>IF('Ber. Planning Ed'!AJ5="","",'Ber. Planning Ed'!AJ5)</f>
        <v/>
      </c>
      <c r="O40" s="170" t="str">
        <f>IF('Ber. Planning Ed'!AI5="","",'Ber. Planning Ed'!AI5)</f>
        <v/>
      </c>
      <c r="P40" s="181"/>
      <c r="Q40" s="179"/>
      <c r="R40" s="267"/>
      <c r="S40" s="203"/>
      <c r="T40" s="155" t="str">
        <f>IF('Ber. Planning Ed'!AF20="","",'Ber. Planning Ed'!AF20)</f>
        <v/>
      </c>
      <c r="U40" s="156"/>
      <c r="V40" s="156" t="str">
        <f>IF('Ber. Planning Ed'!AG20="","",'Ber. Planning Ed'!AG20)</f>
        <v/>
      </c>
      <c r="W40" s="156"/>
      <c r="X40" s="156"/>
      <c r="Y40" s="156"/>
      <c r="Z40" s="156"/>
      <c r="AA40" s="156"/>
      <c r="AB40" s="156" t="str">
        <f>IF('Ber. Planning Ed'!AH20="","",'Ber. Planning Ed'!AH20)</f>
        <v/>
      </c>
      <c r="AC40" s="156"/>
      <c r="AD40" s="156"/>
      <c r="AE40" s="156"/>
      <c r="AF40" s="170" t="str">
        <f>IF('Ber. Planning Ed'!AJ20="","",'Ber. Planning Ed'!AJ20)</f>
        <v/>
      </c>
      <c r="AG40" s="170"/>
      <c r="AH40" s="114" t="str">
        <f>IF('Ber. Planning Ed'!AI20="","",'Ber. Planning Ed'!AI20)</f>
        <v/>
      </c>
      <c r="AI40" s="168"/>
      <c r="AJ40" s="152"/>
      <c r="AK40" s="267"/>
      <c r="AL40" s="203"/>
      <c r="AM40" s="155" t="str">
        <f>IF('Ber. Planning Ed'!AF35="","",'Ber. Planning Ed'!AF35)</f>
        <v/>
      </c>
      <c r="AN40" s="156"/>
      <c r="AO40" s="156" t="str">
        <f>IF('Ber. Planning Ed'!AG35="","",'Ber. Planning Ed'!AG35)</f>
        <v/>
      </c>
      <c r="AP40" s="156"/>
      <c r="AQ40" s="156"/>
      <c r="AR40" s="156"/>
      <c r="AS40" s="156"/>
      <c r="AT40" s="156"/>
      <c r="AU40" s="156"/>
      <c r="AV40" s="156" t="str">
        <f>IF('Ber. Planning Ed'!AH35="","",'Ber. Planning Ed'!AH35)</f>
        <v/>
      </c>
      <c r="AW40" s="156"/>
      <c r="AX40" s="156"/>
      <c r="AY40" s="106" t="str">
        <f>IF('Ber. Planning Ed'!AJ35="","",'Ber. Planning Ed'!AJ35)</f>
        <v/>
      </c>
      <c r="AZ40" s="106" t="str">
        <f>IF('Ber. Planning Ed'!AI35="","",'Ber. Planning Ed'!AI35)</f>
        <v/>
      </c>
      <c r="BA40" s="151"/>
      <c r="BB40" s="152"/>
      <c r="BC40" s="280"/>
      <c r="BD40" s="49"/>
      <c r="BE40" s="65"/>
    </row>
    <row r="41" spans="1:57" ht="11.25" customHeight="1" x14ac:dyDescent="0.25">
      <c r="A41" s="65"/>
      <c r="B41" s="50"/>
      <c r="C41" s="241"/>
      <c r="D41" s="155" t="str">
        <f>IF('Ber. Planning Ed'!AF6="","",'Ber. Planning Ed'!AF6)</f>
        <v/>
      </c>
      <c r="E41" s="156"/>
      <c r="F41" s="156" t="str">
        <f>IF('Ber. Planning Ed'!AG6="","",'Ber. Planning Ed'!AG6)</f>
        <v/>
      </c>
      <c r="G41" s="156"/>
      <c r="H41" s="156"/>
      <c r="I41" s="156"/>
      <c r="J41" s="156"/>
      <c r="K41" s="156" t="str">
        <f>IF('Ber. Planning Ed'!AH6="","",'Ber. Planning Ed'!AH6)</f>
        <v/>
      </c>
      <c r="L41" s="156"/>
      <c r="M41" s="156"/>
      <c r="N41" s="106" t="str">
        <f>IF('Ber. Planning Ed'!AJ6="","",'Ber. Planning Ed'!AJ6)</f>
        <v/>
      </c>
      <c r="O41" s="170" t="str">
        <f>IF('Ber. Planning Ed'!AI6="","",'Ber. Planning Ed'!AI6)</f>
        <v/>
      </c>
      <c r="P41" s="181"/>
      <c r="Q41" s="179"/>
      <c r="R41" s="267"/>
      <c r="S41" s="203"/>
      <c r="T41" s="155" t="str">
        <f>IF('Ber. Planning Ed'!AF21="","",'Ber. Planning Ed'!AF21)</f>
        <v/>
      </c>
      <c r="U41" s="156"/>
      <c r="V41" s="156" t="str">
        <f>IF('Ber. Planning Ed'!AG21="","",'Ber. Planning Ed'!AG21)</f>
        <v/>
      </c>
      <c r="W41" s="156"/>
      <c r="X41" s="156"/>
      <c r="Y41" s="156"/>
      <c r="Z41" s="156"/>
      <c r="AA41" s="156"/>
      <c r="AB41" s="156" t="str">
        <f>IF('Ber. Planning Ed'!AH21="","",'Ber. Planning Ed'!AH21)</f>
        <v/>
      </c>
      <c r="AC41" s="156"/>
      <c r="AD41" s="156"/>
      <c r="AE41" s="156"/>
      <c r="AF41" s="170" t="str">
        <f>IF('Ber. Planning Ed'!AJ21="","",'Ber. Planning Ed'!AJ21)</f>
        <v/>
      </c>
      <c r="AG41" s="170"/>
      <c r="AH41" s="114" t="str">
        <f>IF('Ber. Planning Ed'!AI21="","",'Ber. Planning Ed'!AI21)</f>
        <v/>
      </c>
      <c r="AI41" s="168"/>
      <c r="AJ41" s="152"/>
      <c r="AK41" s="267"/>
      <c r="AL41" s="203"/>
      <c r="AM41" s="155" t="str">
        <f>IF('Ber. Planning Ed'!AF36="","",'Ber. Planning Ed'!AF36)</f>
        <v/>
      </c>
      <c r="AN41" s="156"/>
      <c r="AO41" s="156" t="str">
        <f>IF('Ber. Planning Ed'!AG36="","",'Ber. Planning Ed'!AG36)</f>
        <v/>
      </c>
      <c r="AP41" s="156"/>
      <c r="AQ41" s="156"/>
      <c r="AR41" s="156"/>
      <c r="AS41" s="156"/>
      <c r="AT41" s="156"/>
      <c r="AU41" s="156"/>
      <c r="AV41" s="156" t="str">
        <f>IF('Ber. Planning Ed'!AH36="","",'Ber. Planning Ed'!AH36)</f>
        <v/>
      </c>
      <c r="AW41" s="156"/>
      <c r="AX41" s="156"/>
      <c r="AY41" s="106" t="str">
        <f>IF('Ber. Planning Ed'!AJ36="","",'Ber. Planning Ed'!AJ36)</f>
        <v/>
      </c>
      <c r="AZ41" s="106" t="str">
        <f>IF('Ber. Planning Ed'!AI36="","",'Ber. Planning Ed'!AI36)</f>
        <v/>
      </c>
      <c r="BA41" s="151"/>
      <c r="BB41" s="152"/>
      <c r="BC41" s="280"/>
      <c r="BD41" s="49"/>
      <c r="BE41" s="65"/>
    </row>
    <row r="42" spans="1:57" ht="11.25" customHeight="1" x14ac:dyDescent="0.25">
      <c r="A42" s="65"/>
      <c r="B42" s="50"/>
      <c r="C42" s="241"/>
      <c r="D42" s="155" t="str">
        <f>IF('Ber. Planning Ed'!AF7="","",'Ber. Planning Ed'!AF7)</f>
        <v/>
      </c>
      <c r="E42" s="156"/>
      <c r="F42" s="156" t="str">
        <f>IF('Ber. Planning Ed'!AG7="","",'Ber. Planning Ed'!AG7)</f>
        <v/>
      </c>
      <c r="G42" s="156"/>
      <c r="H42" s="156"/>
      <c r="I42" s="156"/>
      <c r="J42" s="156"/>
      <c r="K42" s="156" t="str">
        <f>IF('Ber. Planning Ed'!AH7="","",'Ber. Planning Ed'!AH7)</f>
        <v/>
      </c>
      <c r="L42" s="156"/>
      <c r="M42" s="156"/>
      <c r="N42" s="106" t="str">
        <f>IF('Ber. Planning Ed'!AJ7="","",'Ber. Planning Ed'!AJ7)</f>
        <v/>
      </c>
      <c r="O42" s="170" t="str">
        <f>IF('Ber. Planning Ed'!AI7="","",'Ber. Planning Ed'!AI7)</f>
        <v/>
      </c>
      <c r="P42" s="181"/>
      <c r="Q42" s="179"/>
      <c r="R42" s="267"/>
      <c r="S42" s="203"/>
      <c r="T42" s="155" t="str">
        <f>IF('Ber. Planning Ed'!AF22="","",'Ber. Planning Ed'!AF22)</f>
        <v/>
      </c>
      <c r="U42" s="156"/>
      <c r="V42" s="156" t="str">
        <f>IF('Ber. Planning Ed'!AG22="","",'Ber. Planning Ed'!AG22)</f>
        <v/>
      </c>
      <c r="W42" s="156"/>
      <c r="X42" s="156"/>
      <c r="Y42" s="156"/>
      <c r="Z42" s="156"/>
      <c r="AA42" s="156"/>
      <c r="AB42" s="156" t="str">
        <f>IF('Ber. Planning Ed'!AH22="","",'Ber. Planning Ed'!AH22)</f>
        <v/>
      </c>
      <c r="AC42" s="156"/>
      <c r="AD42" s="156"/>
      <c r="AE42" s="156"/>
      <c r="AF42" s="170" t="str">
        <f>IF('Ber. Planning Ed'!AJ22="","",'Ber. Planning Ed'!AJ22)</f>
        <v/>
      </c>
      <c r="AG42" s="170"/>
      <c r="AH42" s="114" t="str">
        <f>IF('Ber. Planning Ed'!AI22="","",'Ber. Planning Ed'!AI22)</f>
        <v/>
      </c>
      <c r="AI42" s="168"/>
      <c r="AJ42" s="152"/>
      <c r="AK42" s="267"/>
      <c r="AL42" s="203"/>
      <c r="AM42" s="155" t="str">
        <f>IF('Ber. Planning Ed'!AF37="","",'Ber. Planning Ed'!AF37)</f>
        <v/>
      </c>
      <c r="AN42" s="156"/>
      <c r="AO42" s="156" t="str">
        <f>IF('Ber. Planning Ed'!AG37="","",'Ber. Planning Ed'!AG37)</f>
        <v/>
      </c>
      <c r="AP42" s="156"/>
      <c r="AQ42" s="156"/>
      <c r="AR42" s="156"/>
      <c r="AS42" s="156"/>
      <c r="AT42" s="156"/>
      <c r="AU42" s="156"/>
      <c r="AV42" s="156" t="str">
        <f>IF('Ber. Planning Ed'!AH37="","",'Ber. Planning Ed'!AH37)</f>
        <v/>
      </c>
      <c r="AW42" s="156"/>
      <c r="AX42" s="156"/>
      <c r="AY42" s="106" t="str">
        <f>IF('Ber. Planning Ed'!AJ37="","",'Ber. Planning Ed'!AJ37)</f>
        <v/>
      </c>
      <c r="AZ42" s="106" t="str">
        <f>IF('Ber. Planning Ed'!AI37="","",'Ber. Planning Ed'!AI37)</f>
        <v/>
      </c>
      <c r="BA42" s="151"/>
      <c r="BB42" s="152"/>
      <c r="BC42" s="280"/>
      <c r="BD42" s="49"/>
      <c r="BE42" s="65"/>
    </row>
    <row r="43" spans="1:57" ht="11.25" customHeight="1" thickBot="1" x14ac:dyDescent="0.3">
      <c r="A43" s="65"/>
      <c r="B43" s="50"/>
      <c r="C43" s="242"/>
      <c r="D43" s="157" t="str">
        <f>IF('Ber. Planning Ed'!AF8="","",'Ber. Planning Ed'!AF8)</f>
        <v/>
      </c>
      <c r="E43" s="158"/>
      <c r="F43" s="158" t="str">
        <f>IF('Ber. Planning Ed'!AG8="","",'Ber. Planning Ed'!AG8)</f>
        <v/>
      </c>
      <c r="G43" s="158"/>
      <c r="H43" s="158"/>
      <c r="I43" s="158"/>
      <c r="J43" s="158"/>
      <c r="K43" s="158" t="str">
        <f>IF('Ber. Planning Ed'!AH8="","",'Ber. Planning Ed'!AH8)</f>
        <v/>
      </c>
      <c r="L43" s="158"/>
      <c r="M43" s="158"/>
      <c r="N43" s="107" t="str">
        <f>IF('Ber. Planning Ed'!AJ8="","",'Ber. Planning Ed'!AJ8)</f>
        <v/>
      </c>
      <c r="O43" s="171" t="str">
        <f>IF('Ber. Planning Ed'!AI8="","",'Ber. Planning Ed'!AI8)</f>
        <v/>
      </c>
      <c r="P43" s="182"/>
      <c r="Q43" s="180"/>
      <c r="R43" s="267"/>
      <c r="S43" s="204"/>
      <c r="T43" s="157" t="str">
        <f>IF('Ber. Planning Ed'!AF23="","",'Ber. Planning Ed'!AF23)</f>
        <v/>
      </c>
      <c r="U43" s="158"/>
      <c r="V43" s="158" t="str">
        <f>IF('Ber. Planning Ed'!AG23="","",'Ber. Planning Ed'!AG23)</f>
        <v/>
      </c>
      <c r="W43" s="158"/>
      <c r="X43" s="158"/>
      <c r="Y43" s="158"/>
      <c r="Z43" s="158"/>
      <c r="AA43" s="158"/>
      <c r="AB43" s="158" t="str">
        <f>IF('Ber. Planning Ed'!AH23="","",'Ber. Planning Ed'!AH23)</f>
        <v/>
      </c>
      <c r="AC43" s="158"/>
      <c r="AD43" s="158"/>
      <c r="AE43" s="158"/>
      <c r="AF43" s="171" t="str">
        <f>IF('Ber. Planning Ed'!AJ23="","",'Ber. Planning Ed'!AJ23)</f>
        <v/>
      </c>
      <c r="AG43" s="171"/>
      <c r="AH43" s="116" t="str">
        <f>IF('Ber. Planning Ed'!AI23="","",'Ber. Planning Ed'!AI23)</f>
        <v/>
      </c>
      <c r="AI43" s="169"/>
      <c r="AJ43" s="154"/>
      <c r="AK43" s="267"/>
      <c r="AL43" s="204"/>
      <c r="AM43" s="157" t="str">
        <f>IF('Ber. Planning Ed'!AF38="","",'Ber. Planning Ed'!AF38)</f>
        <v/>
      </c>
      <c r="AN43" s="158"/>
      <c r="AO43" s="158" t="str">
        <f>IF('Ber. Planning Ed'!AG38="","",'Ber. Planning Ed'!AG38)</f>
        <v/>
      </c>
      <c r="AP43" s="158"/>
      <c r="AQ43" s="158"/>
      <c r="AR43" s="158"/>
      <c r="AS43" s="158"/>
      <c r="AT43" s="158"/>
      <c r="AU43" s="158"/>
      <c r="AV43" s="158" t="str">
        <f>IF('Ber. Planning Ed'!AH38="","",'Ber. Planning Ed'!AH38)</f>
        <v/>
      </c>
      <c r="AW43" s="158"/>
      <c r="AX43" s="158"/>
      <c r="AY43" s="107" t="str">
        <f>IF('Ber. Planning Ed'!AJ38="","",'Ber. Planning Ed'!AJ38)</f>
        <v/>
      </c>
      <c r="AZ43" s="107" t="str">
        <f>IF('Ber. Planning Ed'!AI38="","",'Ber. Planning Ed'!AI38)</f>
        <v/>
      </c>
      <c r="BA43" s="153"/>
      <c r="BB43" s="154"/>
      <c r="BC43" s="280"/>
      <c r="BD43" s="49"/>
      <c r="BE43" s="65"/>
    </row>
    <row r="44" spans="1:57" ht="11.25" customHeight="1" x14ac:dyDescent="0.25">
      <c r="A44" s="65"/>
      <c r="B44" s="50"/>
      <c r="C44" s="243" t="s">
        <v>72</v>
      </c>
      <c r="D44" s="312" t="str">
        <f>IF('Ber. Planning Tomasz F'!AF4="","",'Ber. Planning Tomasz F'!AF4)</f>
        <v/>
      </c>
      <c r="E44" s="311"/>
      <c r="F44" s="309" t="str">
        <f>IF('Ber. Planning Tomasz F'!AG4="","",'Ber. Planning Tomasz F'!AG4)</f>
        <v/>
      </c>
      <c r="G44" s="310"/>
      <c r="H44" s="310"/>
      <c r="I44" s="310"/>
      <c r="J44" s="311"/>
      <c r="K44" s="309" t="str">
        <f>IF('Ber. Planning Tomasz F'!AH4="","",'Ber. Planning Tomasz F'!AH4)</f>
        <v/>
      </c>
      <c r="L44" s="310"/>
      <c r="M44" s="311"/>
      <c r="N44" s="105" t="str">
        <f>IF('Ber. Planning Tomasz F'!AJ4="","",'Ber. Planning Tomasz F'!AJ4)</f>
        <v/>
      </c>
      <c r="O44" s="177" t="str">
        <f>IF('Ber. Planning Tomasz F'!AI4="","",'Ber. Planning Tomasz F'!AI4)</f>
        <v/>
      </c>
      <c r="P44" s="308"/>
      <c r="Q44" s="178">
        <f>SUM(O44:P48)</f>
        <v>0</v>
      </c>
      <c r="R44" s="267" t="str">
        <f>IF(Q44&lt;&gt;'Ber. Planning Tomasz F'!AI15,"!","")</f>
        <v/>
      </c>
      <c r="S44" s="211" t="s">
        <v>20</v>
      </c>
      <c r="T44" s="147" t="str">
        <f>IF('Ber. Planning Tomasz F'!AF19="","",'Ber. Planning Tomasz F'!AF19)</f>
        <v/>
      </c>
      <c r="U44" s="148"/>
      <c r="V44" s="148" t="str">
        <f>IF('Ber. Planning Tomasz F'!AG19="","",'Ber. Planning Tomasz F'!AG19)</f>
        <v/>
      </c>
      <c r="W44" s="148"/>
      <c r="X44" s="148"/>
      <c r="Y44" s="148"/>
      <c r="Z44" s="148"/>
      <c r="AA44" s="148"/>
      <c r="AB44" s="148" t="str">
        <f>IF('Ber. Planning Tomasz F'!AH19="","",'Ber. Planning Tomasz F'!AH19)</f>
        <v/>
      </c>
      <c r="AC44" s="148"/>
      <c r="AD44" s="148"/>
      <c r="AE44" s="148"/>
      <c r="AF44" s="166" t="str">
        <f>IF('Ber. Planning Tomasz F'!AJ19="","",'Ber. Planning Tomasz F'!AJ19)</f>
        <v/>
      </c>
      <c r="AG44" s="166"/>
      <c r="AH44" s="113" t="str">
        <f>IF('Ber. Planning Tomasz F'!AI19="","",'Ber. Planning Tomasz F'!AI19)</f>
        <v/>
      </c>
      <c r="AI44" s="167">
        <f>SUM(AH44:AH48)</f>
        <v>0</v>
      </c>
      <c r="AJ44" s="150"/>
      <c r="AK44" s="267" t="str">
        <f>IF(AI44&lt;&gt;'Ber. Planning Tomasz F'!AI30,"!","")</f>
        <v/>
      </c>
      <c r="AL44" s="205" t="s">
        <v>20</v>
      </c>
      <c r="AM44" s="147" t="str">
        <f>IF('Ber. Planning Tomasz F'!AF34="","",'Ber. Planning Tomasz F'!AF34)</f>
        <v/>
      </c>
      <c r="AN44" s="148"/>
      <c r="AO44" s="148" t="str">
        <f>IF('Ber. Planning Tomasz F'!AG34="","",'Ber. Planning Tomasz F'!AG34)</f>
        <v/>
      </c>
      <c r="AP44" s="148"/>
      <c r="AQ44" s="148"/>
      <c r="AR44" s="148"/>
      <c r="AS44" s="148"/>
      <c r="AT44" s="148"/>
      <c r="AU44" s="148"/>
      <c r="AV44" s="148" t="str">
        <f>IF('Ber. Planning Tomasz F'!AH34="","",'Ber. Planning Tomasz F'!AH34)</f>
        <v/>
      </c>
      <c r="AW44" s="148"/>
      <c r="AX44" s="148"/>
      <c r="AY44" s="105" t="str">
        <f>IF('Ber. Planning Tomasz F'!AJ34="","",'Ber. Planning Tomasz F'!AJ34)</f>
        <v/>
      </c>
      <c r="AZ44" s="105" t="str">
        <f>IF('Ber. Planning Tomasz F'!AI34="","",'Ber. Planning Tomasz F'!AI34)</f>
        <v/>
      </c>
      <c r="BA44" s="149">
        <f>SUM(AZ44:AZ48)</f>
        <v>0</v>
      </c>
      <c r="BB44" s="150"/>
      <c r="BC44" s="280" t="str">
        <f>IF(BA44&lt;&gt;'Ber. Planning Tomasz F'!AI45,"!","")</f>
        <v/>
      </c>
      <c r="BD44" s="49"/>
      <c r="BE44" s="65"/>
    </row>
    <row r="45" spans="1:57" ht="11.25" customHeight="1" x14ac:dyDescent="0.25">
      <c r="A45" s="65"/>
      <c r="B45" s="50"/>
      <c r="C45" s="244"/>
      <c r="D45" s="315" t="str">
        <f>IF('Ber. Planning Tomasz F'!AF5="","",'Ber. Planning Tomasz F'!AF5)</f>
        <v/>
      </c>
      <c r="E45" s="316"/>
      <c r="F45" s="318" t="str">
        <f>IF('Ber. Planning Tomasz F'!AG5="","",'Ber. Planning Tomasz F'!AG5)</f>
        <v/>
      </c>
      <c r="G45" s="319"/>
      <c r="H45" s="319"/>
      <c r="I45" s="319"/>
      <c r="J45" s="316"/>
      <c r="K45" s="318" t="str">
        <f>IF('Ber. Planning Tomasz F'!AH5="","",'Ber. Planning Tomasz F'!AH5)</f>
        <v/>
      </c>
      <c r="L45" s="319"/>
      <c r="M45" s="316"/>
      <c r="N45" s="106" t="str">
        <f>IF('Ber. Planning Tomasz F'!AJ5="","",'Ber. Planning Tomasz F'!AJ5)</f>
        <v/>
      </c>
      <c r="O45" s="181" t="str">
        <f>IF('Ber. Planning Tomasz F'!AI5="","",'Ber. Planning Tomasz F'!AI5)</f>
        <v/>
      </c>
      <c r="P45" s="317"/>
      <c r="Q45" s="179"/>
      <c r="R45" s="267"/>
      <c r="S45" s="206"/>
      <c r="T45" s="155" t="str">
        <f>IF('Ber. Planning Tomasz F'!AF20="","",'Ber. Planning Tomasz F'!AF20)</f>
        <v/>
      </c>
      <c r="U45" s="156"/>
      <c r="V45" s="156" t="str">
        <f>IF('Ber. Planning Tomasz F'!AG20="","",'Ber. Planning Tomasz F'!AG20)</f>
        <v/>
      </c>
      <c r="W45" s="156"/>
      <c r="X45" s="156"/>
      <c r="Y45" s="156"/>
      <c r="Z45" s="156"/>
      <c r="AA45" s="156"/>
      <c r="AB45" s="156" t="str">
        <f>IF('Ber. Planning Tomasz F'!AH20="","",'Ber. Planning Tomasz F'!AH20)</f>
        <v/>
      </c>
      <c r="AC45" s="156"/>
      <c r="AD45" s="156"/>
      <c r="AE45" s="156"/>
      <c r="AF45" s="170" t="str">
        <f>IF('Ber. Planning Tomasz F'!AJ20="","",'Ber. Planning Tomasz F'!AJ20)</f>
        <v/>
      </c>
      <c r="AG45" s="170"/>
      <c r="AH45" s="114" t="str">
        <f>IF('Ber. Planning Tomasz F'!AI20="","",'Ber. Planning Tomasz F'!AI20)</f>
        <v/>
      </c>
      <c r="AI45" s="168"/>
      <c r="AJ45" s="152"/>
      <c r="AK45" s="267"/>
      <c r="AL45" s="206"/>
      <c r="AM45" s="155" t="str">
        <f>IF('Ber. Planning Tomasz F'!AF35="","",'Ber. Planning Tomasz F'!AF35)</f>
        <v/>
      </c>
      <c r="AN45" s="156"/>
      <c r="AO45" s="156" t="str">
        <f>IF('Ber. Planning Tomasz F'!AG35="","",'Ber. Planning Tomasz F'!AG35)</f>
        <v/>
      </c>
      <c r="AP45" s="156"/>
      <c r="AQ45" s="156"/>
      <c r="AR45" s="156"/>
      <c r="AS45" s="156"/>
      <c r="AT45" s="156"/>
      <c r="AU45" s="156"/>
      <c r="AV45" s="156" t="str">
        <f>IF('Ber. Planning Tomasz F'!AH35="","",'Ber. Planning Tomasz F'!AH35)</f>
        <v/>
      </c>
      <c r="AW45" s="156"/>
      <c r="AX45" s="156"/>
      <c r="AY45" s="106" t="str">
        <f>IF('Ber. Planning Tomasz F'!AJ35="","",'Ber. Planning Tomasz F'!AJ35)</f>
        <v/>
      </c>
      <c r="AZ45" s="106" t="str">
        <f>IF('Ber. Planning Tomasz F'!AI35="","",'Ber. Planning Tomasz F'!AI35)</f>
        <v/>
      </c>
      <c r="BA45" s="151"/>
      <c r="BB45" s="152"/>
      <c r="BC45" s="280"/>
      <c r="BD45" s="49"/>
      <c r="BE45" s="65"/>
    </row>
    <row r="46" spans="1:57" ht="11.25" customHeight="1" x14ac:dyDescent="0.25">
      <c r="A46" s="65"/>
      <c r="B46" s="50"/>
      <c r="C46" s="244"/>
      <c r="D46" s="315" t="str">
        <f>IF('Ber. Planning Tomasz F'!AF6="","",'Ber. Planning Tomasz F'!AF6)</f>
        <v/>
      </c>
      <c r="E46" s="316"/>
      <c r="F46" s="318" t="str">
        <f>IF('Ber. Planning Tomasz F'!AG6="","",'Ber. Planning Tomasz F'!AG6)</f>
        <v/>
      </c>
      <c r="G46" s="319"/>
      <c r="H46" s="319"/>
      <c r="I46" s="319"/>
      <c r="J46" s="316"/>
      <c r="K46" s="318" t="str">
        <f>IF('Ber. Planning Tomasz F'!AH6="","",'Ber. Planning Tomasz F'!AH6)</f>
        <v/>
      </c>
      <c r="L46" s="319"/>
      <c r="M46" s="316"/>
      <c r="N46" s="106" t="str">
        <f>IF('Ber. Planning Tomasz F'!AJ6="","",'Ber. Planning Tomasz F'!AJ6)</f>
        <v/>
      </c>
      <c r="O46" s="181" t="str">
        <f>IF('Ber. Planning Tomasz F'!AI6="","",'Ber. Planning Tomasz F'!AI6)</f>
        <v/>
      </c>
      <c r="P46" s="317"/>
      <c r="Q46" s="179"/>
      <c r="R46" s="267"/>
      <c r="S46" s="206"/>
      <c r="T46" s="155" t="str">
        <f>IF('Ber. Planning Tomasz F'!AF21="","",'Ber. Planning Tomasz F'!AF21)</f>
        <v/>
      </c>
      <c r="U46" s="156"/>
      <c r="V46" s="156" t="str">
        <f>IF('Ber. Planning Tomasz F'!AG21="","",'Ber. Planning Tomasz F'!AG21)</f>
        <v/>
      </c>
      <c r="W46" s="156"/>
      <c r="X46" s="156"/>
      <c r="Y46" s="156"/>
      <c r="Z46" s="156"/>
      <c r="AA46" s="156"/>
      <c r="AB46" s="156" t="str">
        <f>IF('Ber. Planning Tomasz F'!AH21="","",'Ber. Planning Tomasz F'!AH21)</f>
        <v/>
      </c>
      <c r="AC46" s="156"/>
      <c r="AD46" s="156"/>
      <c r="AE46" s="156"/>
      <c r="AF46" s="170" t="str">
        <f>IF('Ber. Planning Tomasz F'!AJ21="","",'Ber. Planning Tomasz F'!AJ21)</f>
        <v/>
      </c>
      <c r="AG46" s="170"/>
      <c r="AH46" s="114" t="str">
        <f>IF('Ber. Planning Tomasz F'!AI21="","",'Ber. Planning Tomasz F'!AI21)</f>
        <v/>
      </c>
      <c r="AI46" s="168"/>
      <c r="AJ46" s="152"/>
      <c r="AK46" s="267"/>
      <c r="AL46" s="206"/>
      <c r="AM46" s="155" t="str">
        <f>IF('Ber. Planning Tomasz F'!AF36="","",'Ber. Planning Tomasz F'!AF36)</f>
        <v/>
      </c>
      <c r="AN46" s="156"/>
      <c r="AO46" s="156" t="str">
        <f>IF('Ber. Planning Tomasz F'!AG36="","",'Ber. Planning Tomasz F'!AG36)</f>
        <v/>
      </c>
      <c r="AP46" s="156"/>
      <c r="AQ46" s="156"/>
      <c r="AR46" s="156"/>
      <c r="AS46" s="156"/>
      <c r="AT46" s="156"/>
      <c r="AU46" s="156"/>
      <c r="AV46" s="156" t="str">
        <f>IF('Ber. Planning Tomasz F'!AH36="","",'Ber. Planning Tomasz F'!AH36)</f>
        <v/>
      </c>
      <c r="AW46" s="156"/>
      <c r="AX46" s="156"/>
      <c r="AY46" s="106" t="str">
        <f>IF('Ber. Planning Tomasz F'!AJ36="","",'Ber. Planning Tomasz F'!AJ36)</f>
        <v/>
      </c>
      <c r="AZ46" s="106" t="str">
        <f>IF('Ber. Planning Tomasz F'!AI36="","",'Ber. Planning Tomasz F'!AI36)</f>
        <v/>
      </c>
      <c r="BA46" s="151"/>
      <c r="BB46" s="152"/>
      <c r="BC46" s="280"/>
      <c r="BD46" s="49"/>
      <c r="BE46" s="65"/>
    </row>
    <row r="47" spans="1:57" ht="11.25" customHeight="1" x14ac:dyDescent="0.25">
      <c r="A47" s="65"/>
      <c r="B47" s="50"/>
      <c r="C47" s="244"/>
      <c r="D47" s="315" t="str">
        <f>IF('Ber. Planning Tomasz F'!AF7="","",'Ber. Planning Tomasz F'!AF7)</f>
        <v/>
      </c>
      <c r="E47" s="316"/>
      <c r="F47" s="318" t="str">
        <f>IF('Ber. Planning Tomasz F'!AG7="","",'Ber. Planning Tomasz F'!AG7)</f>
        <v/>
      </c>
      <c r="G47" s="319"/>
      <c r="H47" s="319"/>
      <c r="I47" s="319"/>
      <c r="J47" s="316"/>
      <c r="K47" s="318" t="str">
        <f>IF('Ber. Planning Tomasz F'!AH7="","",'Ber. Planning Tomasz F'!AH7)</f>
        <v/>
      </c>
      <c r="L47" s="319"/>
      <c r="M47" s="316"/>
      <c r="N47" s="106" t="str">
        <f>IF('Ber. Planning Tomasz F'!AJ7="","",'Ber. Planning Tomasz F'!AJ7)</f>
        <v/>
      </c>
      <c r="O47" s="181" t="str">
        <f>IF('Ber. Planning Tomasz F'!AI7="","",'Ber. Planning Tomasz F'!AI7)</f>
        <v/>
      </c>
      <c r="P47" s="317"/>
      <c r="Q47" s="179"/>
      <c r="R47" s="267"/>
      <c r="S47" s="206"/>
      <c r="T47" s="155" t="str">
        <f>IF('Ber. Planning Tomasz F'!AF22="","",'Ber. Planning Tomasz F'!AF22)</f>
        <v/>
      </c>
      <c r="U47" s="156"/>
      <c r="V47" s="156" t="str">
        <f>IF('Ber. Planning Tomasz F'!AG22="","",'Ber. Planning Tomasz F'!AG22)</f>
        <v/>
      </c>
      <c r="W47" s="156"/>
      <c r="X47" s="156"/>
      <c r="Y47" s="156"/>
      <c r="Z47" s="156"/>
      <c r="AA47" s="156"/>
      <c r="AB47" s="156" t="str">
        <f>IF('Ber. Planning Tomasz F'!AH22="","",'Ber. Planning Tomasz F'!AH22)</f>
        <v/>
      </c>
      <c r="AC47" s="156"/>
      <c r="AD47" s="156"/>
      <c r="AE47" s="156"/>
      <c r="AF47" s="170" t="str">
        <f>IF('Ber. Planning Tomasz F'!AJ22="","",'Ber. Planning Tomasz F'!AJ22)</f>
        <v/>
      </c>
      <c r="AG47" s="170"/>
      <c r="AH47" s="114" t="str">
        <f>IF('Ber. Planning Tomasz F'!AI22="","",'Ber. Planning Tomasz F'!AI22)</f>
        <v/>
      </c>
      <c r="AI47" s="168"/>
      <c r="AJ47" s="152"/>
      <c r="AK47" s="267"/>
      <c r="AL47" s="206"/>
      <c r="AM47" s="155" t="str">
        <f>IF('Ber. Planning Tomasz F'!AF37="","",'Ber. Planning Tomasz F'!AF37)</f>
        <v/>
      </c>
      <c r="AN47" s="156"/>
      <c r="AO47" s="156" t="str">
        <f>IF('Ber. Planning Tomasz F'!AG37="","",'Ber. Planning Tomasz F'!AG37)</f>
        <v/>
      </c>
      <c r="AP47" s="156"/>
      <c r="AQ47" s="156"/>
      <c r="AR47" s="156"/>
      <c r="AS47" s="156"/>
      <c r="AT47" s="156"/>
      <c r="AU47" s="156"/>
      <c r="AV47" s="156" t="str">
        <f>IF('Ber. Planning Tomasz F'!AH37="","",'Ber. Planning Tomasz F'!AH37)</f>
        <v/>
      </c>
      <c r="AW47" s="156"/>
      <c r="AX47" s="156"/>
      <c r="AY47" s="106" t="str">
        <f>IF('Ber. Planning Tomasz F'!AJ37="","",'Ber. Planning Tomasz F'!AJ37)</f>
        <v/>
      </c>
      <c r="AZ47" s="106" t="str">
        <f>IF('Ber. Planning Tomasz F'!AI37="","",'Ber. Planning Tomasz F'!AI37)</f>
        <v/>
      </c>
      <c r="BA47" s="151"/>
      <c r="BB47" s="152"/>
      <c r="BC47" s="280"/>
      <c r="BD47" s="49"/>
      <c r="BE47" s="65"/>
    </row>
    <row r="48" spans="1:57" ht="11.25" customHeight="1" thickBot="1" x14ac:dyDescent="0.3">
      <c r="A48" s="65"/>
      <c r="B48" s="50"/>
      <c r="C48" s="245"/>
      <c r="D48" s="324" t="str">
        <f>IF('Ber. Planning Tomasz F'!AF8="","",'Ber. Planning Tomasz F'!AF8)</f>
        <v/>
      </c>
      <c r="E48" s="323"/>
      <c r="F48" s="321" t="str">
        <f>IF('Ber. Planning Tomasz F'!AG8="","",'Ber. Planning Tomasz F'!AG8)</f>
        <v/>
      </c>
      <c r="G48" s="322"/>
      <c r="H48" s="322"/>
      <c r="I48" s="322"/>
      <c r="J48" s="323"/>
      <c r="K48" s="321" t="str">
        <f>IF('Ber. Planning Tomasz F'!AH8="","",'Ber. Planning Tomasz F'!AH8)</f>
        <v/>
      </c>
      <c r="L48" s="322"/>
      <c r="M48" s="323"/>
      <c r="N48" s="107" t="str">
        <f>IF('Ber. Planning Tomasz F'!AJ8="","",'Ber. Planning Tomasz F'!AJ8)</f>
        <v/>
      </c>
      <c r="O48" s="182" t="str">
        <f>IF('Ber. Planning Tomasz F'!AI8="","",'Ber. Planning Tomasz F'!AI8)</f>
        <v/>
      </c>
      <c r="P48" s="320"/>
      <c r="Q48" s="180"/>
      <c r="R48" s="267"/>
      <c r="S48" s="207"/>
      <c r="T48" s="157" t="str">
        <f>IF('Ber. Planning Tomasz F'!AF23="","",'Ber. Planning Tomasz F'!AF23)</f>
        <v/>
      </c>
      <c r="U48" s="158"/>
      <c r="V48" s="158" t="str">
        <f>IF('Ber. Planning Tomasz F'!AG23="","",'Ber. Planning Tomasz F'!AG23)</f>
        <v/>
      </c>
      <c r="W48" s="158"/>
      <c r="X48" s="158"/>
      <c r="Y48" s="158"/>
      <c r="Z48" s="158"/>
      <c r="AA48" s="158"/>
      <c r="AB48" s="158" t="str">
        <f>IF('Ber. Planning Tomasz F'!AH23="","",'Ber. Planning Tomasz F'!AH23)</f>
        <v/>
      </c>
      <c r="AC48" s="158"/>
      <c r="AD48" s="158"/>
      <c r="AE48" s="158"/>
      <c r="AF48" s="171" t="str">
        <f>IF('Ber. Planning Tomasz F'!AJ23="","",'Ber. Planning Tomasz F'!AJ23)</f>
        <v/>
      </c>
      <c r="AG48" s="171"/>
      <c r="AH48" s="116" t="str">
        <f>IF('Ber. Planning Tomasz F'!AI23="","",'Ber. Planning Tomasz F'!AI23)</f>
        <v/>
      </c>
      <c r="AI48" s="169"/>
      <c r="AJ48" s="154"/>
      <c r="AK48" s="267"/>
      <c r="AL48" s="207"/>
      <c r="AM48" s="157" t="str">
        <f>IF('Ber. Planning Tomasz F'!AF38="","",'Ber. Planning Tomasz F'!AF38)</f>
        <v/>
      </c>
      <c r="AN48" s="158"/>
      <c r="AO48" s="158" t="str">
        <f>IF('Ber. Planning Tomasz F'!AG38="","",'Ber. Planning Tomasz F'!AG38)</f>
        <v/>
      </c>
      <c r="AP48" s="158"/>
      <c r="AQ48" s="158"/>
      <c r="AR48" s="158"/>
      <c r="AS48" s="158"/>
      <c r="AT48" s="158"/>
      <c r="AU48" s="158"/>
      <c r="AV48" s="158" t="str">
        <f>IF('Ber. Planning Tomasz F'!AH38="","",'Ber. Planning Tomasz F'!AH38)</f>
        <v/>
      </c>
      <c r="AW48" s="158"/>
      <c r="AX48" s="158"/>
      <c r="AY48" s="107" t="str">
        <f>IF('Ber. Planning Tomasz F'!AJ38="","",'Ber. Planning Tomasz F'!AJ38)</f>
        <v/>
      </c>
      <c r="AZ48" s="107" t="str">
        <f>IF('Ber. Planning Tomasz F'!AI38="","",'Ber. Planning Tomasz F'!AI38)</f>
        <v/>
      </c>
      <c r="BA48" s="153"/>
      <c r="BB48" s="154"/>
      <c r="BC48" s="280"/>
      <c r="BD48" s="49"/>
      <c r="BE48" s="65"/>
    </row>
    <row r="49" spans="1:57" ht="11.25" customHeight="1" x14ac:dyDescent="0.25">
      <c r="A49" s="65"/>
      <c r="B49" s="50"/>
      <c r="C49" s="186" t="s">
        <v>73</v>
      </c>
      <c r="D49" s="312" t="str">
        <f>IF('Ber. Planning Mark'!AF4="","",'Ber. Planning Mark'!AF4)</f>
        <v/>
      </c>
      <c r="E49" s="311"/>
      <c r="F49" s="309" t="str">
        <f>IF('Ber. Planning Mark'!AG4="","",'Ber. Planning Mark'!AG4)</f>
        <v/>
      </c>
      <c r="G49" s="310"/>
      <c r="H49" s="310"/>
      <c r="I49" s="310"/>
      <c r="J49" s="311"/>
      <c r="K49" s="309" t="str">
        <f>IF('Ber. Planning Mark'!AH4="","",'Ber. Planning Mark'!AH4)</f>
        <v/>
      </c>
      <c r="L49" s="310"/>
      <c r="M49" s="311"/>
      <c r="N49" s="105" t="str">
        <f>IF('Ber. Planning Mark'!AJ4="","",'Ber. Planning Mark'!AJ4)</f>
        <v/>
      </c>
      <c r="O49" s="177" t="str">
        <f>IF('Ber. Planning Mark'!AI4="","",'Ber. Planning Mark'!AI4)</f>
        <v/>
      </c>
      <c r="P49" s="308"/>
      <c r="Q49" s="178">
        <f>SUM(O49:P53)</f>
        <v>0</v>
      </c>
      <c r="R49" s="267" t="str">
        <f>IF(Q49&lt;&gt;'Ber. Planning Mark'!AI15,"!","")</f>
        <v/>
      </c>
      <c r="S49" s="173" t="s">
        <v>73</v>
      </c>
      <c r="T49" s="147" t="str">
        <f>IF('Ber. Planning Mark'!AF19="","",'Ber. Planning Mark'!AF19)</f>
        <v/>
      </c>
      <c r="U49" s="148"/>
      <c r="V49" s="148" t="str">
        <f>IF('Ber. Planning Mark'!AG19="","",'Ber. Planning Mark'!AG19)</f>
        <v/>
      </c>
      <c r="W49" s="148"/>
      <c r="X49" s="148"/>
      <c r="Y49" s="148"/>
      <c r="Z49" s="148"/>
      <c r="AA49" s="148"/>
      <c r="AB49" s="148" t="str">
        <f>IF('Ber. Planning Mark'!AH19="","",'Ber. Planning Mark'!AH19)</f>
        <v/>
      </c>
      <c r="AC49" s="148"/>
      <c r="AD49" s="148"/>
      <c r="AE49" s="148"/>
      <c r="AF49" s="166" t="str">
        <f>IF('Ber. Planning Mark'!AJ19="","",'Ber. Planning Mark'!AJ19)</f>
        <v/>
      </c>
      <c r="AG49" s="166"/>
      <c r="AH49" s="113" t="str">
        <f>IF('Ber. Planning Mark'!AI19="","",'Ber. Planning Mark'!AI19)</f>
        <v/>
      </c>
      <c r="AI49" s="167">
        <f>SUM(AH49:AH53)</f>
        <v>0</v>
      </c>
      <c r="AJ49" s="150"/>
      <c r="AK49" s="267" t="str">
        <f>IF(AI49&lt;&gt;'Ber. Planning Mark'!AI30,"!","")</f>
        <v/>
      </c>
      <c r="AL49" s="162" t="s">
        <v>73</v>
      </c>
      <c r="AM49" s="147" t="str">
        <f>IF('Ber. Planning Mark'!AF34="","",'Ber. Planning Mark'!AF34)</f>
        <v/>
      </c>
      <c r="AN49" s="148"/>
      <c r="AO49" s="148" t="str">
        <f>IF('Ber. Planning Mark'!AG34="","",'Ber. Planning Mark'!AG34)</f>
        <v/>
      </c>
      <c r="AP49" s="148"/>
      <c r="AQ49" s="148"/>
      <c r="AR49" s="148"/>
      <c r="AS49" s="148"/>
      <c r="AT49" s="148"/>
      <c r="AU49" s="148"/>
      <c r="AV49" s="148" t="str">
        <f>IF('Ber. Planning Mark'!AH34="","",'Ber. Planning Mark'!AH34)</f>
        <v/>
      </c>
      <c r="AW49" s="148"/>
      <c r="AX49" s="148"/>
      <c r="AY49" s="105" t="str">
        <f>IF('Ber. Planning Mark'!AJ34="","",'Ber. Planning Mark'!AJ34)</f>
        <v/>
      </c>
      <c r="AZ49" s="105" t="str">
        <f>IF('Ber. Planning Mark'!AI34="","",'Ber. Planning Mark'!AI34)</f>
        <v/>
      </c>
      <c r="BA49" s="149">
        <f>SUM(AZ49:AZ53)</f>
        <v>0</v>
      </c>
      <c r="BB49" s="150"/>
      <c r="BC49" s="280" t="str">
        <f>IF(BA49&lt;&gt;'Ber. Planning Mark'!AI45,"!","")</f>
        <v/>
      </c>
      <c r="BD49" s="49"/>
      <c r="BE49" s="65"/>
    </row>
    <row r="50" spans="1:57" ht="11.25" customHeight="1" x14ac:dyDescent="0.25">
      <c r="A50" s="65"/>
      <c r="B50" s="50"/>
      <c r="C50" s="187"/>
      <c r="D50" s="315" t="str">
        <f>IF('Ber. Planning Mark'!AF5="","",'Ber. Planning Mark'!AF5)</f>
        <v/>
      </c>
      <c r="E50" s="316"/>
      <c r="F50" s="318" t="str">
        <f>IF('Ber. Planning Mark'!AG5="","",'Ber. Planning Mark'!AG5)</f>
        <v/>
      </c>
      <c r="G50" s="319"/>
      <c r="H50" s="319"/>
      <c r="I50" s="319"/>
      <c r="J50" s="316"/>
      <c r="K50" s="318" t="str">
        <f>IF('Ber. Planning Mark'!AH5="","",'Ber. Planning Mark'!AH5)</f>
        <v/>
      </c>
      <c r="L50" s="319"/>
      <c r="M50" s="316"/>
      <c r="N50" s="106" t="str">
        <f>IF('Ber. Planning Mark'!AJ5="","",'Ber. Planning Mark'!AJ5)</f>
        <v/>
      </c>
      <c r="O50" s="181" t="str">
        <f>IF('Ber. Planning Mark'!AI5="","",'Ber. Planning Mark'!AI5)</f>
        <v/>
      </c>
      <c r="P50" s="317"/>
      <c r="Q50" s="179"/>
      <c r="R50" s="267"/>
      <c r="S50" s="163"/>
      <c r="T50" s="155" t="str">
        <f>IF('Ber. Planning Mark'!AF20="","",'Ber. Planning Mark'!AF20)</f>
        <v/>
      </c>
      <c r="U50" s="156"/>
      <c r="V50" s="156" t="str">
        <f>IF('Ber. Planning Mark'!AG20="","",'Ber. Planning Mark'!AG20)</f>
        <v/>
      </c>
      <c r="W50" s="156"/>
      <c r="X50" s="156"/>
      <c r="Y50" s="156"/>
      <c r="Z50" s="156"/>
      <c r="AA50" s="156"/>
      <c r="AB50" s="156" t="str">
        <f>IF('Ber. Planning Mark'!AH20="","",'Ber. Planning Mark'!AH20)</f>
        <v/>
      </c>
      <c r="AC50" s="156"/>
      <c r="AD50" s="156"/>
      <c r="AE50" s="156"/>
      <c r="AF50" s="170" t="str">
        <f>IF('Ber. Planning Mark'!AJ20="","",'Ber. Planning Mark'!AJ20)</f>
        <v/>
      </c>
      <c r="AG50" s="170"/>
      <c r="AH50" s="114" t="str">
        <f>IF('Ber. Planning Mark'!AI20="","",'Ber. Planning Mark'!AI20)</f>
        <v/>
      </c>
      <c r="AI50" s="168"/>
      <c r="AJ50" s="152"/>
      <c r="AK50" s="267"/>
      <c r="AL50" s="163"/>
      <c r="AM50" s="155" t="str">
        <f>IF('Ber. Planning Mark'!AF35="","",'Ber. Planning Mark'!AF35)</f>
        <v/>
      </c>
      <c r="AN50" s="156"/>
      <c r="AO50" s="156" t="str">
        <f>IF('Ber. Planning Mark'!AG35="","",'Ber. Planning Mark'!AG35)</f>
        <v/>
      </c>
      <c r="AP50" s="156"/>
      <c r="AQ50" s="156"/>
      <c r="AR50" s="156"/>
      <c r="AS50" s="156"/>
      <c r="AT50" s="156"/>
      <c r="AU50" s="156"/>
      <c r="AV50" s="156" t="str">
        <f>IF('Ber. Planning Mark'!AH35="","",'Ber. Planning Mark'!AH35)</f>
        <v/>
      </c>
      <c r="AW50" s="156"/>
      <c r="AX50" s="156"/>
      <c r="AY50" s="106" t="str">
        <f>IF('Ber. Planning Mark'!AJ35="","",'Ber. Planning Mark'!AJ35)</f>
        <v/>
      </c>
      <c r="AZ50" s="106" t="str">
        <f>IF('Ber. Planning Mark'!AI35="","",'Ber. Planning Mark'!AI35)</f>
        <v/>
      </c>
      <c r="BA50" s="151"/>
      <c r="BB50" s="152"/>
      <c r="BC50" s="280"/>
      <c r="BD50" s="49"/>
      <c r="BE50" s="65"/>
    </row>
    <row r="51" spans="1:57" ht="11.25" customHeight="1" x14ac:dyDescent="0.25">
      <c r="A51" s="65"/>
      <c r="B51" s="50"/>
      <c r="C51" s="187"/>
      <c r="D51" s="315" t="str">
        <f>IF('Ber. Planning Mark'!AF6="","",'Ber. Planning Mark'!AF6)</f>
        <v/>
      </c>
      <c r="E51" s="316"/>
      <c r="F51" s="318" t="str">
        <f>IF('Ber. Planning Mark'!AG6="","",'Ber. Planning Mark'!AG6)</f>
        <v/>
      </c>
      <c r="G51" s="319"/>
      <c r="H51" s="319"/>
      <c r="I51" s="319"/>
      <c r="J51" s="316"/>
      <c r="K51" s="318" t="str">
        <f>IF('Ber. Planning Mark'!AH6="","",'Ber. Planning Mark'!AH6)</f>
        <v/>
      </c>
      <c r="L51" s="319"/>
      <c r="M51" s="316"/>
      <c r="N51" s="106" t="str">
        <f>IF('Ber. Planning Mark'!AJ6="","",'Ber. Planning Mark'!AJ6)</f>
        <v/>
      </c>
      <c r="O51" s="181" t="str">
        <f>IF('Ber. Planning Mark'!AI6="","",'Ber. Planning Mark'!AI6)</f>
        <v/>
      </c>
      <c r="P51" s="317"/>
      <c r="Q51" s="179"/>
      <c r="R51" s="267"/>
      <c r="S51" s="163"/>
      <c r="T51" s="155" t="str">
        <f>IF('Ber. Planning Mark'!AF21="","",'Ber. Planning Mark'!AF21)</f>
        <v/>
      </c>
      <c r="U51" s="156"/>
      <c r="V51" s="156" t="str">
        <f>IF('Ber. Planning Mark'!AG21="","",'Ber. Planning Mark'!AG21)</f>
        <v/>
      </c>
      <c r="W51" s="156"/>
      <c r="X51" s="156"/>
      <c r="Y51" s="156"/>
      <c r="Z51" s="156"/>
      <c r="AA51" s="156"/>
      <c r="AB51" s="156" t="str">
        <f>IF('Ber. Planning Mark'!AH21="","",'Ber. Planning Mark'!AH21)</f>
        <v/>
      </c>
      <c r="AC51" s="156"/>
      <c r="AD51" s="156"/>
      <c r="AE51" s="156"/>
      <c r="AF51" s="170" t="str">
        <f>IF('Ber. Planning Mark'!AJ21="","",'Ber. Planning Mark'!AJ21)</f>
        <v/>
      </c>
      <c r="AG51" s="170"/>
      <c r="AH51" s="114" t="str">
        <f>IF('Ber. Planning Mark'!AI21="","",'Ber. Planning Mark'!AI21)</f>
        <v/>
      </c>
      <c r="AI51" s="168"/>
      <c r="AJ51" s="152"/>
      <c r="AK51" s="267"/>
      <c r="AL51" s="163"/>
      <c r="AM51" s="155" t="str">
        <f>IF('Ber. Planning Mark'!AF36="","",'Ber. Planning Mark'!AF36)</f>
        <v/>
      </c>
      <c r="AN51" s="156"/>
      <c r="AO51" s="156" t="str">
        <f>IF('Ber. Planning Mark'!AG36="","",'Ber. Planning Mark'!AG36)</f>
        <v/>
      </c>
      <c r="AP51" s="156"/>
      <c r="AQ51" s="156"/>
      <c r="AR51" s="156"/>
      <c r="AS51" s="156"/>
      <c r="AT51" s="156"/>
      <c r="AU51" s="156"/>
      <c r="AV51" s="156" t="str">
        <f>IF('Ber. Planning Mark'!AH36="","",'Ber. Planning Mark'!AH36)</f>
        <v/>
      </c>
      <c r="AW51" s="156"/>
      <c r="AX51" s="156"/>
      <c r="AY51" s="106" t="str">
        <f>IF('Ber. Planning Mark'!AJ36="","",'Ber. Planning Mark'!AJ36)</f>
        <v/>
      </c>
      <c r="AZ51" s="106" t="str">
        <f>IF('Ber. Planning Mark'!AI36="","",'Ber. Planning Mark'!AI36)</f>
        <v/>
      </c>
      <c r="BA51" s="151"/>
      <c r="BB51" s="152"/>
      <c r="BC51" s="280"/>
      <c r="BD51" s="49"/>
      <c r="BE51" s="65"/>
    </row>
    <row r="52" spans="1:57" ht="11.25" customHeight="1" x14ac:dyDescent="0.25">
      <c r="A52" s="65"/>
      <c r="B52" s="50"/>
      <c r="C52" s="187"/>
      <c r="D52" s="315" t="str">
        <f>IF('Ber. Planning Mark'!AF7="","",'Ber. Planning Mark'!AF7)</f>
        <v/>
      </c>
      <c r="E52" s="316"/>
      <c r="F52" s="318" t="str">
        <f>IF('Ber. Planning Mark'!AG7="","",'Ber. Planning Mark'!AG7)</f>
        <v/>
      </c>
      <c r="G52" s="319"/>
      <c r="H52" s="319"/>
      <c r="I52" s="319"/>
      <c r="J52" s="316"/>
      <c r="K52" s="318" t="str">
        <f>IF('Ber. Planning Mark'!AH7="","",'Ber. Planning Mark'!AH7)</f>
        <v/>
      </c>
      <c r="L52" s="319"/>
      <c r="M52" s="316"/>
      <c r="N52" s="106" t="str">
        <f>IF('Ber. Planning Mark'!AJ7="","",'Ber. Planning Mark'!AJ7)</f>
        <v/>
      </c>
      <c r="O52" s="181" t="str">
        <f>IF('Ber. Planning Mark'!AI7="","",'Ber. Planning Mark'!AI7)</f>
        <v/>
      </c>
      <c r="P52" s="317"/>
      <c r="Q52" s="179"/>
      <c r="R52" s="267"/>
      <c r="S52" s="163"/>
      <c r="T52" s="155" t="str">
        <f>IF('Ber. Planning Mark'!AF22="","",'Ber. Planning Mark'!AF22)</f>
        <v/>
      </c>
      <c r="U52" s="156"/>
      <c r="V52" s="156" t="str">
        <f>IF('Ber. Planning Mark'!AG22="","",'Ber. Planning Mark'!AG22)</f>
        <v/>
      </c>
      <c r="W52" s="156"/>
      <c r="X52" s="156"/>
      <c r="Y52" s="156"/>
      <c r="Z52" s="156"/>
      <c r="AA52" s="156"/>
      <c r="AB52" s="156" t="str">
        <f>IF('Ber. Planning Mark'!AH22="","",'Ber. Planning Mark'!AH22)</f>
        <v/>
      </c>
      <c r="AC52" s="156"/>
      <c r="AD52" s="156"/>
      <c r="AE52" s="156"/>
      <c r="AF52" s="170" t="str">
        <f>IF('Ber. Planning Mark'!AJ22="","",'Ber. Planning Mark'!AJ22)</f>
        <v/>
      </c>
      <c r="AG52" s="170"/>
      <c r="AH52" s="114" t="str">
        <f>IF('Ber. Planning Mark'!AI22="","",'Ber. Planning Mark'!AI22)</f>
        <v/>
      </c>
      <c r="AI52" s="168"/>
      <c r="AJ52" s="152"/>
      <c r="AK52" s="267"/>
      <c r="AL52" s="163"/>
      <c r="AM52" s="155" t="str">
        <f>IF('Ber. Planning Mark'!AF37="","",'Ber. Planning Mark'!AF37)</f>
        <v/>
      </c>
      <c r="AN52" s="156"/>
      <c r="AO52" s="156" t="str">
        <f>IF('Ber. Planning Mark'!AG37="","",'Ber. Planning Mark'!AG37)</f>
        <v/>
      </c>
      <c r="AP52" s="156"/>
      <c r="AQ52" s="156"/>
      <c r="AR52" s="156"/>
      <c r="AS52" s="156"/>
      <c r="AT52" s="156"/>
      <c r="AU52" s="156"/>
      <c r="AV52" s="156" t="str">
        <f>IF('Ber. Planning Mark'!AH37="","",'Ber. Planning Mark'!AH37)</f>
        <v/>
      </c>
      <c r="AW52" s="156"/>
      <c r="AX52" s="156"/>
      <c r="AY52" s="106" t="str">
        <f>IF('Ber. Planning Mark'!AJ37="","",'Ber. Planning Mark'!AJ37)</f>
        <v/>
      </c>
      <c r="AZ52" s="106" t="str">
        <f>IF('Ber. Planning Mark'!AI37="","",'Ber. Planning Mark'!AI37)</f>
        <v/>
      </c>
      <c r="BA52" s="151"/>
      <c r="BB52" s="152"/>
      <c r="BC52" s="280"/>
      <c r="BD52" s="49"/>
      <c r="BE52" s="65"/>
    </row>
    <row r="53" spans="1:57" ht="11.25" customHeight="1" thickBot="1" x14ac:dyDescent="0.3">
      <c r="A53" s="65"/>
      <c r="B53" s="50"/>
      <c r="C53" s="188"/>
      <c r="D53" s="324" t="str">
        <f>IF('Ber. Planning Mark'!AF8="","",'Ber. Planning Mark'!AF8)</f>
        <v/>
      </c>
      <c r="E53" s="323"/>
      <c r="F53" s="321" t="str">
        <f>IF('Ber. Planning Mark'!AG8="","",'Ber. Planning Mark'!AG8)</f>
        <v/>
      </c>
      <c r="G53" s="322"/>
      <c r="H53" s="322"/>
      <c r="I53" s="322"/>
      <c r="J53" s="323"/>
      <c r="K53" s="321" t="str">
        <f>IF('Ber. Planning Mark'!AH8="","",'Ber. Planning Mark'!AH8)</f>
        <v/>
      </c>
      <c r="L53" s="322"/>
      <c r="M53" s="323"/>
      <c r="N53" s="107" t="str">
        <f>IF('Ber. Planning Mark'!AJ8="","",'Ber. Planning Mark'!AJ8)</f>
        <v/>
      </c>
      <c r="O53" s="182" t="str">
        <f>IF('Ber. Planning Mark'!AI8="","",'Ber. Planning Mark'!AI8)</f>
        <v/>
      </c>
      <c r="P53" s="320"/>
      <c r="Q53" s="180"/>
      <c r="R53" s="267"/>
      <c r="S53" s="164"/>
      <c r="T53" s="157" t="str">
        <f>IF('Ber. Planning Mark'!AF23="","",'Ber. Planning Mark'!AF23)</f>
        <v/>
      </c>
      <c r="U53" s="158"/>
      <c r="V53" s="158" t="str">
        <f>IF('Ber. Planning Mark'!AG23="","",'Ber. Planning Mark'!AG23)</f>
        <v/>
      </c>
      <c r="W53" s="158"/>
      <c r="X53" s="158"/>
      <c r="Y53" s="158"/>
      <c r="Z53" s="158"/>
      <c r="AA53" s="158"/>
      <c r="AB53" s="158" t="str">
        <f>IF('Ber. Planning Mark'!AH23="","",'Ber. Planning Mark'!AH23)</f>
        <v/>
      </c>
      <c r="AC53" s="158"/>
      <c r="AD53" s="158"/>
      <c r="AE53" s="158"/>
      <c r="AF53" s="171" t="str">
        <f>IF('Ber. Planning Mark'!AJ23="","",'Ber. Planning Mark'!AJ23)</f>
        <v/>
      </c>
      <c r="AG53" s="171"/>
      <c r="AH53" s="116" t="str">
        <f>IF('Ber. Planning Mark'!AI23="","",'Ber. Planning Mark'!AI23)</f>
        <v/>
      </c>
      <c r="AI53" s="169"/>
      <c r="AJ53" s="154"/>
      <c r="AK53" s="267"/>
      <c r="AL53" s="164"/>
      <c r="AM53" s="157" t="str">
        <f>IF('Ber. Planning Mark'!AF38="","",'Ber. Planning Mark'!AF38)</f>
        <v/>
      </c>
      <c r="AN53" s="158"/>
      <c r="AO53" s="158" t="str">
        <f>IF('Ber. Planning Mark'!AG38="","",'Ber. Planning Mark'!AG38)</f>
        <v/>
      </c>
      <c r="AP53" s="158"/>
      <c r="AQ53" s="158"/>
      <c r="AR53" s="158"/>
      <c r="AS53" s="158"/>
      <c r="AT53" s="158"/>
      <c r="AU53" s="158"/>
      <c r="AV53" s="158" t="str">
        <f>IF('Ber. Planning Mark'!AH38="","",'Ber. Planning Mark'!AH38)</f>
        <v/>
      </c>
      <c r="AW53" s="158"/>
      <c r="AX53" s="158"/>
      <c r="AY53" s="107" t="str">
        <f>IF('Ber. Planning Mark'!AJ38="","",'Ber. Planning Mark'!AJ38)</f>
        <v/>
      </c>
      <c r="AZ53" s="107" t="str">
        <f>IF('Ber. Planning Mark'!AI38="","",'Ber. Planning Mark'!AI38)</f>
        <v/>
      </c>
      <c r="BA53" s="153"/>
      <c r="BB53" s="154"/>
      <c r="BC53" s="280"/>
      <c r="BD53" s="49"/>
      <c r="BE53" s="65"/>
    </row>
    <row r="54" spans="1:57" ht="11.25" customHeight="1" x14ac:dyDescent="0.25">
      <c r="A54" s="65"/>
      <c r="B54" s="50"/>
      <c r="C54" s="183" t="s">
        <v>74</v>
      </c>
      <c r="D54" s="312" t="str">
        <f>IF('Ber. Planning Zoltan'!AF4="","",'Ber. Planning Zoltan'!AF4)</f>
        <v/>
      </c>
      <c r="E54" s="311"/>
      <c r="F54" s="309" t="str">
        <f>IF('Ber. Planning Zoltan'!AG4="","",'Ber. Planning Zoltan'!AG4)</f>
        <v/>
      </c>
      <c r="G54" s="310"/>
      <c r="H54" s="310"/>
      <c r="I54" s="310"/>
      <c r="J54" s="311"/>
      <c r="K54" s="309" t="str">
        <f>IF('Ber. Planning Zoltan'!AH4="","",'Ber. Planning Zoltan'!AH4)</f>
        <v/>
      </c>
      <c r="L54" s="310"/>
      <c r="M54" s="311"/>
      <c r="N54" s="105" t="str">
        <f>IF('Ber. Planning Zoltan'!AJ4="","",'Ber. Planning Zoltan'!AJ4)</f>
        <v/>
      </c>
      <c r="O54" s="177" t="str">
        <f>IF('Ber. Planning Zoltan'!AI4="","",'Ber. Planning Zoltan'!AI4)</f>
        <v/>
      </c>
      <c r="P54" s="308"/>
      <c r="Q54" s="178">
        <f>SUM(O54:P58)</f>
        <v>0</v>
      </c>
      <c r="R54" s="267" t="str">
        <f>IF(Q54&lt;&gt;'Ber. Planning Zoltan'!AI15,"!","")</f>
        <v/>
      </c>
      <c r="S54" s="172" t="s">
        <v>74</v>
      </c>
      <c r="T54" s="147" t="str">
        <f>IF('Ber. Planning Zoltan'!AF19="","",'Ber. Planning Zoltan'!AF19)</f>
        <v/>
      </c>
      <c r="U54" s="148"/>
      <c r="V54" s="148" t="str">
        <f>IF('Ber. Planning Zoltan'!AG19="","",'Ber. Planning Zoltan'!AG19)</f>
        <v/>
      </c>
      <c r="W54" s="148"/>
      <c r="X54" s="148"/>
      <c r="Y54" s="148"/>
      <c r="Z54" s="148"/>
      <c r="AA54" s="148"/>
      <c r="AB54" s="148" t="str">
        <f>IF('Ber. Planning Zoltan'!AH19="","",'Ber. Planning Zoltan'!AH19)</f>
        <v/>
      </c>
      <c r="AC54" s="148"/>
      <c r="AD54" s="148"/>
      <c r="AE54" s="148"/>
      <c r="AF54" s="166" t="str">
        <f>IF('Ber. Planning Zoltan'!AJ19="","",'Ber. Planning Zoltan'!AJ19)</f>
        <v/>
      </c>
      <c r="AG54" s="166"/>
      <c r="AH54" s="113" t="str">
        <f>IF('Ber. Planning Zoltan'!AI19="","",'Ber. Planning Zoltan'!AI19)</f>
        <v/>
      </c>
      <c r="AI54" s="167">
        <f>SUM(AH54:AH58)</f>
        <v>0</v>
      </c>
      <c r="AJ54" s="150"/>
      <c r="AK54" s="267" t="str">
        <f>IF(AI54&lt;&gt;'Ber. Planning Zoltan'!AI30,"!","")</f>
        <v/>
      </c>
      <c r="AL54" s="159" t="s">
        <v>74</v>
      </c>
      <c r="AM54" s="147" t="str">
        <f>IF('Ber. Planning Zoltan'!AF34="","",'Ber. Planning Zoltan'!AF34)</f>
        <v/>
      </c>
      <c r="AN54" s="148"/>
      <c r="AO54" s="148" t="str">
        <f>IF('Ber. Planning Zoltan'!AG34="","",'Ber. Planning Zoltan'!AG34)</f>
        <v/>
      </c>
      <c r="AP54" s="148"/>
      <c r="AQ54" s="148"/>
      <c r="AR54" s="148"/>
      <c r="AS54" s="148"/>
      <c r="AT54" s="148"/>
      <c r="AU54" s="148"/>
      <c r="AV54" s="148" t="str">
        <f>IF('Ber. Planning Zoltan'!AH34="","",'Ber. Planning Zoltan'!AH34)</f>
        <v/>
      </c>
      <c r="AW54" s="148"/>
      <c r="AX54" s="148"/>
      <c r="AY54" s="105" t="str">
        <f>IF('Ber. Planning Zoltan'!AJ34="","",'Ber. Planning Zoltan'!AJ34)</f>
        <v/>
      </c>
      <c r="AZ54" s="105" t="str">
        <f>IF('Ber. Planning Zoltan'!AI34="","",'Ber. Planning Zoltan'!AI34)</f>
        <v/>
      </c>
      <c r="BA54" s="149">
        <f>SUM(AZ54:AZ58)</f>
        <v>0</v>
      </c>
      <c r="BB54" s="150"/>
      <c r="BC54" s="280" t="str">
        <f>IF(BA54&lt;&gt;'Ber. Planning Zoltan'!AI45,"!","")</f>
        <v/>
      </c>
      <c r="BD54" s="49"/>
      <c r="BE54" s="65"/>
    </row>
    <row r="55" spans="1:57" ht="11.25" customHeight="1" x14ac:dyDescent="0.25">
      <c r="A55" s="65"/>
      <c r="B55" s="50"/>
      <c r="C55" s="184"/>
      <c r="D55" s="315" t="str">
        <f>IF('Ber. Planning Zoltan'!AF5="","",'Ber. Planning Zoltan'!AF5)</f>
        <v/>
      </c>
      <c r="E55" s="316"/>
      <c r="F55" s="318" t="str">
        <f>IF('Ber. Planning Zoltan'!AG5="","",'Ber. Planning Zoltan'!AG5)</f>
        <v/>
      </c>
      <c r="G55" s="319"/>
      <c r="H55" s="319"/>
      <c r="I55" s="319"/>
      <c r="J55" s="316"/>
      <c r="K55" s="318" t="str">
        <f>IF('Ber. Planning Zoltan'!AH5="","",'Ber. Planning Zoltan'!AH5)</f>
        <v/>
      </c>
      <c r="L55" s="319"/>
      <c r="M55" s="316"/>
      <c r="N55" s="106" t="str">
        <f>IF('Ber. Planning Zoltan'!AJ5="","",'Ber. Planning Zoltan'!AJ5)</f>
        <v/>
      </c>
      <c r="O55" s="181" t="str">
        <f>IF('Ber. Planning Zoltan'!AI5="","",'Ber. Planning Zoltan'!AI5)</f>
        <v/>
      </c>
      <c r="P55" s="317"/>
      <c r="Q55" s="179"/>
      <c r="R55" s="267"/>
      <c r="S55" s="160"/>
      <c r="T55" s="155" t="str">
        <f>IF('Ber. Planning Zoltan'!AF20="","",'Ber. Planning Zoltan'!AF20)</f>
        <v/>
      </c>
      <c r="U55" s="156"/>
      <c r="V55" s="156" t="str">
        <f>IF('Ber. Planning Zoltan'!AG20="","",'Ber. Planning Zoltan'!AG20)</f>
        <v/>
      </c>
      <c r="W55" s="156"/>
      <c r="X55" s="156"/>
      <c r="Y55" s="156"/>
      <c r="Z55" s="156"/>
      <c r="AA55" s="156"/>
      <c r="AB55" s="156" t="str">
        <f>IF('Ber. Planning Zoltan'!AH20="","",'Ber. Planning Zoltan'!AH20)</f>
        <v/>
      </c>
      <c r="AC55" s="156"/>
      <c r="AD55" s="156"/>
      <c r="AE55" s="156"/>
      <c r="AF55" s="170" t="str">
        <f>IF('Ber. Planning Zoltan'!AJ20="","",'Ber. Planning Zoltan'!AJ20)</f>
        <v/>
      </c>
      <c r="AG55" s="170"/>
      <c r="AH55" s="114" t="str">
        <f>IF('Ber. Planning Zoltan'!AI20="","",'Ber. Planning Zoltan'!AI20)</f>
        <v/>
      </c>
      <c r="AI55" s="168"/>
      <c r="AJ55" s="152"/>
      <c r="AK55" s="267"/>
      <c r="AL55" s="160"/>
      <c r="AM55" s="155" t="str">
        <f>IF('Ber. Planning Zoltan'!AF35="","",'Ber. Planning Zoltan'!AF35)</f>
        <v/>
      </c>
      <c r="AN55" s="156"/>
      <c r="AO55" s="156" t="str">
        <f>IF('Ber. Planning Zoltan'!AG35="","",'Ber. Planning Zoltan'!AG35)</f>
        <v/>
      </c>
      <c r="AP55" s="156"/>
      <c r="AQ55" s="156"/>
      <c r="AR55" s="156"/>
      <c r="AS55" s="156"/>
      <c r="AT55" s="156"/>
      <c r="AU55" s="156"/>
      <c r="AV55" s="156" t="str">
        <f>IF('Ber. Planning Zoltan'!AH35="","",'Ber. Planning Zoltan'!AH35)</f>
        <v/>
      </c>
      <c r="AW55" s="156"/>
      <c r="AX55" s="156"/>
      <c r="AY55" s="106" t="str">
        <f>IF('Ber. Planning Zoltan'!AJ35="","",'Ber. Planning Zoltan'!AJ35)</f>
        <v/>
      </c>
      <c r="AZ55" s="106" t="str">
        <f>IF('Ber. Planning Zoltan'!AI35="","",'Ber. Planning Zoltan'!AI35)</f>
        <v/>
      </c>
      <c r="BA55" s="151"/>
      <c r="BB55" s="152"/>
      <c r="BC55" s="280"/>
      <c r="BD55" s="49"/>
      <c r="BE55" s="65"/>
    </row>
    <row r="56" spans="1:57" ht="11.25" customHeight="1" x14ac:dyDescent="0.25">
      <c r="A56" s="65"/>
      <c r="B56" s="50"/>
      <c r="C56" s="184"/>
      <c r="D56" s="315" t="str">
        <f>IF('Ber. Planning Zoltan'!AF6="","",'Ber. Planning Zoltan'!AF6)</f>
        <v/>
      </c>
      <c r="E56" s="316"/>
      <c r="F56" s="318" t="str">
        <f>IF('Ber. Planning Zoltan'!AG6="","",'Ber. Planning Zoltan'!AG6)</f>
        <v/>
      </c>
      <c r="G56" s="319"/>
      <c r="H56" s="319"/>
      <c r="I56" s="319"/>
      <c r="J56" s="316"/>
      <c r="K56" s="318" t="str">
        <f>IF('Ber. Planning Zoltan'!AH6="","",'Ber. Planning Zoltan'!AH6)</f>
        <v/>
      </c>
      <c r="L56" s="319"/>
      <c r="M56" s="316"/>
      <c r="N56" s="106" t="str">
        <f>IF('Ber. Planning Zoltan'!AJ6="","",'Ber. Planning Zoltan'!AJ6)</f>
        <v/>
      </c>
      <c r="O56" s="181" t="str">
        <f>IF('Ber. Planning Zoltan'!AI6="","",'Ber. Planning Zoltan'!AI6)</f>
        <v/>
      </c>
      <c r="P56" s="317"/>
      <c r="Q56" s="179"/>
      <c r="R56" s="267"/>
      <c r="S56" s="160"/>
      <c r="T56" s="155" t="str">
        <f>IF('Ber. Planning Zoltan'!AF21="","",'Ber. Planning Zoltan'!AF21)</f>
        <v/>
      </c>
      <c r="U56" s="156"/>
      <c r="V56" s="156" t="str">
        <f>IF('Ber. Planning Zoltan'!AG21="","",'Ber. Planning Zoltan'!AG21)</f>
        <v/>
      </c>
      <c r="W56" s="156"/>
      <c r="X56" s="156"/>
      <c r="Y56" s="156"/>
      <c r="Z56" s="156"/>
      <c r="AA56" s="156"/>
      <c r="AB56" s="156" t="str">
        <f>IF('Ber. Planning Zoltan'!AH21="","",'Ber. Planning Zoltan'!AH21)</f>
        <v/>
      </c>
      <c r="AC56" s="156"/>
      <c r="AD56" s="156"/>
      <c r="AE56" s="156"/>
      <c r="AF56" s="170" t="str">
        <f>IF('Ber. Planning Zoltan'!AJ21="","",'Ber. Planning Zoltan'!AJ21)</f>
        <v/>
      </c>
      <c r="AG56" s="170"/>
      <c r="AH56" s="114" t="str">
        <f>IF('Ber. Planning Zoltan'!AI21="","",'Ber. Planning Zoltan'!AI21)</f>
        <v/>
      </c>
      <c r="AI56" s="168"/>
      <c r="AJ56" s="152"/>
      <c r="AK56" s="267"/>
      <c r="AL56" s="160"/>
      <c r="AM56" s="155" t="str">
        <f>IF('Ber. Planning Zoltan'!AF36="","",'Ber. Planning Zoltan'!AF36)</f>
        <v/>
      </c>
      <c r="AN56" s="156"/>
      <c r="AO56" s="156" t="str">
        <f>IF('Ber. Planning Zoltan'!AG36="","",'Ber. Planning Zoltan'!AG36)</f>
        <v/>
      </c>
      <c r="AP56" s="156"/>
      <c r="AQ56" s="156"/>
      <c r="AR56" s="156"/>
      <c r="AS56" s="156"/>
      <c r="AT56" s="156"/>
      <c r="AU56" s="156"/>
      <c r="AV56" s="156" t="str">
        <f>IF('Ber. Planning Zoltan'!AH36="","",'Ber. Planning Zoltan'!AH36)</f>
        <v/>
      </c>
      <c r="AW56" s="156"/>
      <c r="AX56" s="156"/>
      <c r="AY56" s="106" t="str">
        <f>IF('Ber. Planning Zoltan'!AJ36="","",'Ber. Planning Zoltan'!AJ36)</f>
        <v/>
      </c>
      <c r="AZ56" s="106" t="str">
        <f>IF('Ber. Planning Zoltan'!AI36="","",'Ber. Planning Zoltan'!AI36)</f>
        <v/>
      </c>
      <c r="BA56" s="151"/>
      <c r="BB56" s="152"/>
      <c r="BC56" s="280"/>
      <c r="BD56" s="49"/>
      <c r="BE56" s="65"/>
    </row>
    <row r="57" spans="1:57" ht="11.25" customHeight="1" x14ac:dyDescent="0.25">
      <c r="A57" s="65"/>
      <c r="B57" s="50"/>
      <c r="C57" s="184"/>
      <c r="D57" s="155" t="str">
        <f>IF('Ber. Planning Zoltan'!AF7="","",'Ber. Planning Zoltan'!AF7)</f>
        <v/>
      </c>
      <c r="E57" s="156"/>
      <c r="F57" s="156" t="str">
        <f>IF('Ber. Planning Zoltan'!AG7="","",'Ber. Planning Zoltan'!AG7)</f>
        <v/>
      </c>
      <c r="G57" s="156"/>
      <c r="H57" s="156"/>
      <c r="I57" s="156"/>
      <c r="J57" s="156"/>
      <c r="K57" s="156" t="str">
        <f>IF('Ber. Planning Zoltan'!AH7="","",'Ber. Planning Zoltan'!AH7)</f>
        <v/>
      </c>
      <c r="L57" s="156"/>
      <c r="M57" s="156"/>
      <c r="N57" s="106" t="str">
        <f>IF('Ber. Planning Zoltan'!AJ7="","",'Ber. Planning Zoltan'!AJ7)</f>
        <v/>
      </c>
      <c r="O57" s="170" t="str">
        <f>IF('Ber. Planning Zoltan'!AI7="","",'Ber. Planning Zoltan'!AI7)</f>
        <v/>
      </c>
      <c r="P57" s="181"/>
      <c r="Q57" s="179"/>
      <c r="R57" s="267"/>
      <c r="S57" s="160"/>
      <c r="T57" s="155" t="str">
        <f>IF('Ber. Planning Zoltan'!AF22="","",'Ber. Planning Zoltan'!AF22)</f>
        <v/>
      </c>
      <c r="U57" s="156"/>
      <c r="V57" s="156" t="str">
        <f>IF('Ber. Planning Zoltan'!AG22="","",'Ber. Planning Zoltan'!AG22)</f>
        <v/>
      </c>
      <c r="W57" s="156"/>
      <c r="X57" s="156"/>
      <c r="Y57" s="156"/>
      <c r="Z57" s="156"/>
      <c r="AA57" s="156"/>
      <c r="AB57" s="156" t="str">
        <f>IF('Ber. Planning Zoltan'!AH22="","",'Ber. Planning Zoltan'!AH22)</f>
        <v/>
      </c>
      <c r="AC57" s="156"/>
      <c r="AD57" s="156"/>
      <c r="AE57" s="156"/>
      <c r="AF57" s="170" t="str">
        <f>IF('Ber. Planning Zoltan'!AJ22="","",'Ber. Planning Zoltan'!AJ22)</f>
        <v/>
      </c>
      <c r="AG57" s="170"/>
      <c r="AH57" s="114" t="str">
        <f>IF('Ber. Planning Zoltan'!AI22="","",'Ber. Planning Zoltan'!AI22)</f>
        <v/>
      </c>
      <c r="AI57" s="168"/>
      <c r="AJ57" s="152"/>
      <c r="AK57" s="267"/>
      <c r="AL57" s="160"/>
      <c r="AM57" s="155" t="str">
        <f>IF('Ber. Planning Zoltan'!AF37="","",'Ber. Planning Zoltan'!AF37)</f>
        <v/>
      </c>
      <c r="AN57" s="156"/>
      <c r="AO57" s="156" t="str">
        <f>IF('Ber. Planning Zoltan'!AG37="","",'Ber. Planning Zoltan'!AG37)</f>
        <v/>
      </c>
      <c r="AP57" s="156"/>
      <c r="AQ57" s="156"/>
      <c r="AR57" s="156"/>
      <c r="AS57" s="156"/>
      <c r="AT57" s="156"/>
      <c r="AU57" s="156"/>
      <c r="AV57" s="156" t="str">
        <f>IF('Ber. Planning Zoltan'!AH37="","",'Ber. Planning Zoltan'!AH37)</f>
        <v/>
      </c>
      <c r="AW57" s="156"/>
      <c r="AX57" s="156"/>
      <c r="AY57" s="106" t="str">
        <f>IF('Ber. Planning Zoltan'!AJ37="","",'Ber. Planning Zoltan'!AJ37)</f>
        <v/>
      </c>
      <c r="AZ57" s="106" t="str">
        <f>IF('Ber. Planning Zoltan'!AI37="","",'Ber. Planning Zoltan'!AI37)</f>
        <v/>
      </c>
      <c r="BA57" s="151"/>
      <c r="BB57" s="152"/>
      <c r="BC57" s="280"/>
      <c r="BD57" s="49"/>
      <c r="BE57" s="65"/>
    </row>
    <row r="58" spans="1:57" ht="11.25" customHeight="1" thickBot="1" x14ac:dyDescent="0.3">
      <c r="A58" s="65"/>
      <c r="B58" s="50"/>
      <c r="C58" s="185"/>
      <c r="D58" s="157" t="str">
        <f>IF('Ber. Planning Zoltan'!AF8="","",'Ber. Planning Zoltan'!AF8)</f>
        <v/>
      </c>
      <c r="E58" s="158"/>
      <c r="F58" s="158" t="str">
        <f>IF('Ber. Planning Zoltan'!AG8="","",'Ber. Planning Zoltan'!AG8)</f>
        <v/>
      </c>
      <c r="G58" s="158"/>
      <c r="H58" s="158"/>
      <c r="I58" s="158"/>
      <c r="J58" s="158"/>
      <c r="K58" s="158" t="str">
        <f>IF('Ber. Planning Zoltan'!AH8="","",'Ber. Planning Zoltan'!AH8)</f>
        <v/>
      </c>
      <c r="L58" s="158"/>
      <c r="M58" s="158"/>
      <c r="N58" s="107" t="str">
        <f>IF('Ber. Planning Zoltan'!AJ8="","",'Ber. Planning Zoltan'!AJ8)</f>
        <v/>
      </c>
      <c r="O58" s="171" t="str">
        <f>IF('Ber. Planning Zoltan'!AI8="","",'Ber. Planning Zoltan'!AI8)</f>
        <v/>
      </c>
      <c r="P58" s="182"/>
      <c r="Q58" s="180"/>
      <c r="R58" s="267"/>
      <c r="S58" s="161"/>
      <c r="T58" s="157" t="str">
        <f>IF('Ber. Planning Zoltan'!AF23="","",'Ber. Planning Zoltan'!AF23)</f>
        <v/>
      </c>
      <c r="U58" s="158"/>
      <c r="V58" s="158" t="str">
        <f>IF('Ber. Planning Zoltan'!AG23="","",'Ber. Planning Zoltan'!AG23)</f>
        <v/>
      </c>
      <c r="W58" s="158"/>
      <c r="X58" s="158"/>
      <c r="Y58" s="158"/>
      <c r="Z58" s="158"/>
      <c r="AA58" s="158"/>
      <c r="AB58" s="158" t="str">
        <f>IF('Ber. Planning Zoltan'!AH23="","",'Ber. Planning Zoltan'!AH23)</f>
        <v/>
      </c>
      <c r="AC58" s="158"/>
      <c r="AD58" s="158"/>
      <c r="AE58" s="158"/>
      <c r="AF58" s="171" t="str">
        <f>IF('Ber. Planning Zoltan'!AJ23="","",'Ber. Planning Zoltan'!AJ23)</f>
        <v/>
      </c>
      <c r="AG58" s="171"/>
      <c r="AH58" s="116" t="str">
        <f>IF('Ber. Planning Zoltan'!AI23="","",'Ber. Planning Zoltan'!AI23)</f>
        <v/>
      </c>
      <c r="AI58" s="169"/>
      <c r="AJ58" s="154"/>
      <c r="AK58" s="267"/>
      <c r="AL58" s="161"/>
      <c r="AM58" s="157" t="str">
        <f>IF('Ber. Planning Zoltan'!AF38="","",'Ber. Planning Zoltan'!AF38)</f>
        <v/>
      </c>
      <c r="AN58" s="158"/>
      <c r="AO58" s="158" t="str">
        <f>IF('Ber. Planning Zoltan'!AG38="","",'Ber. Planning Zoltan'!AG38)</f>
        <v/>
      </c>
      <c r="AP58" s="158"/>
      <c r="AQ58" s="158"/>
      <c r="AR58" s="158"/>
      <c r="AS58" s="158"/>
      <c r="AT58" s="158"/>
      <c r="AU58" s="158"/>
      <c r="AV58" s="158" t="str">
        <f>IF('Ber. Planning Zoltan'!AH38="","",'Ber. Planning Zoltan'!AH38)</f>
        <v/>
      </c>
      <c r="AW58" s="158"/>
      <c r="AX58" s="158"/>
      <c r="AY58" s="107" t="str">
        <f>IF('Ber. Planning Zoltan'!AJ38="","",'Ber. Planning Zoltan'!AJ38)</f>
        <v/>
      </c>
      <c r="AZ58" s="107" t="str">
        <f>IF('Ber. Planning Zoltan'!AI38="","",'Ber. Planning Zoltan'!AI38)</f>
        <v/>
      </c>
      <c r="BA58" s="153"/>
      <c r="BB58" s="154"/>
      <c r="BC58" s="280"/>
      <c r="BD58" s="49"/>
      <c r="BE58" s="65"/>
    </row>
    <row r="59" spans="1:57" ht="11.25" customHeight="1" x14ac:dyDescent="0.25">
      <c r="A59" s="65"/>
      <c r="B59" s="50"/>
      <c r="C59" s="174" t="s">
        <v>77</v>
      </c>
      <c r="D59" s="147" t="str">
        <f>IF('Ber. Planning Voorbewerk.'!AF4="","",'Ber. Planning Voorbewerk.'!AF4)</f>
        <v/>
      </c>
      <c r="E59" s="148"/>
      <c r="F59" s="148" t="str">
        <f>IF('Ber. Planning Voorbewerk.'!AG4="","",'Ber. Planning Voorbewerk.'!AG4)</f>
        <v/>
      </c>
      <c r="G59" s="148"/>
      <c r="H59" s="148"/>
      <c r="I59" s="148"/>
      <c r="J59" s="148"/>
      <c r="K59" s="148" t="str">
        <f>IF('Ber. Planning Voorbewerk.'!AH4="","",'Ber. Planning Voorbewerk.'!AH4)</f>
        <v/>
      </c>
      <c r="L59" s="148"/>
      <c r="M59" s="148"/>
      <c r="N59" s="105" t="str">
        <f>IF('Ber. Planning Voorbewerk.'!AJ4="","",'Ber. Planning Voorbewerk.'!AJ4)</f>
        <v/>
      </c>
      <c r="O59" s="166" t="str">
        <f>IF('Ber. Planning Voorbewerk.'!AI4="","",'Ber. Planning Voorbewerk.'!AI4)</f>
        <v/>
      </c>
      <c r="P59" s="177"/>
      <c r="Q59" s="178">
        <f>SUM(O59:P63)</f>
        <v>0</v>
      </c>
      <c r="R59" s="267" t="str">
        <f>IF(Q59&lt;&gt;'Ber. Planning Voorbewerk.'!AI15,"!","")</f>
        <v/>
      </c>
      <c r="S59" s="165" t="s">
        <v>77</v>
      </c>
      <c r="T59" s="147" t="str">
        <f>IF('Ber. Planning Voorbewerk.'!AF19="","",'Ber. Planning Voorbewerk.'!AF19)</f>
        <v/>
      </c>
      <c r="U59" s="148"/>
      <c r="V59" s="148" t="str">
        <f>IF('Ber. Planning Voorbewerk.'!AG19="","",'Ber. Planning Voorbewerk.'!AG19)</f>
        <v/>
      </c>
      <c r="W59" s="148"/>
      <c r="X59" s="148"/>
      <c r="Y59" s="148"/>
      <c r="Z59" s="148"/>
      <c r="AA59" s="148"/>
      <c r="AB59" s="148" t="str">
        <f>IF('Ber. Planning Voorbewerk.'!AH19="","",'Ber. Planning Voorbewerk.'!AH19)</f>
        <v/>
      </c>
      <c r="AC59" s="148"/>
      <c r="AD59" s="148"/>
      <c r="AE59" s="148"/>
      <c r="AF59" s="166" t="str">
        <f>IF('Ber. Planning Voorbewerk.'!AJ19="","",'Ber. Planning Voorbewerk.'!AJ19)</f>
        <v/>
      </c>
      <c r="AG59" s="166"/>
      <c r="AH59" s="113" t="str">
        <f>IF('Ber. Planning Voorbewerk.'!AI19="","",'Ber. Planning Voorbewerk.'!AI19)</f>
        <v/>
      </c>
      <c r="AI59" s="167">
        <f>SUM(AH59:AH63)</f>
        <v>0</v>
      </c>
      <c r="AJ59" s="150"/>
      <c r="AK59" s="267" t="str">
        <f>IF(AI59&lt;&gt;'Ber. Planning Voorbewerk.'!AI30,"!","")</f>
        <v/>
      </c>
      <c r="AL59" s="144" t="s">
        <v>77</v>
      </c>
      <c r="AM59" s="147" t="str">
        <f>IF('Ber. Planning Voorbewerk.'!AF34="","",'Ber. Planning Voorbewerk.'!AF34)</f>
        <v/>
      </c>
      <c r="AN59" s="148"/>
      <c r="AO59" s="148" t="str">
        <f>IF('Ber. Planning Voorbewerk.'!AG34="","",'Ber. Planning Voorbewerk.'!AG34)</f>
        <v/>
      </c>
      <c r="AP59" s="148"/>
      <c r="AQ59" s="148"/>
      <c r="AR59" s="148"/>
      <c r="AS59" s="148"/>
      <c r="AT59" s="148"/>
      <c r="AU59" s="148"/>
      <c r="AV59" s="148" t="str">
        <f>IF('Ber. Planning Voorbewerk.'!AH34="","",'Ber. Planning Voorbewerk.'!AH34)</f>
        <v/>
      </c>
      <c r="AW59" s="148"/>
      <c r="AX59" s="148"/>
      <c r="AY59" s="105" t="str">
        <f>IF('Ber. Planning Voorbewerk.'!AJ34="","",'Ber. Planning Voorbewerk.'!AJ34)</f>
        <v/>
      </c>
      <c r="AZ59" s="105" t="str">
        <f>IF('Ber. Planning Voorbewerk.'!AI34="","",'Ber. Planning Voorbewerk.'!AI34)</f>
        <v/>
      </c>
      <c r="BA59" s="149">
        <f>SUM(AZ59:AZ63)</f>
        <v>0</v>
      </c>
      <c r="BB59" s="150"/>
      <c r="BC59" s="280" t="str">
        <f>IF(BA59&lt;&gt;'Ber. Planning Voorbewerk.'!AI45,"!","")</f>
        <v/>
      </c>
      <c r="BD59" s="49"/>
      <c r="BE59" s="65"/>
    </row>
    <row r="60" spans="1:57" ht="11.25" customHeight="1" x14ac:dyDescent="0.25">
      <c r="A60" s="65"/>
      <c r="B60" s="50"/>
      <c r="C60" s="175"/>
      <c r="D60" s="155" t="str">
        <f>IF('Ber. Planning Voorbewerk.'!AF5="","",'Ber. Planning Voorbewerk.'!AF5)</f>
        <v/>
      </c>
      <c r="E60" s="156"/>
      <c r="F60" s="156" t="str">
        <f>IF('Ber. Planning Voorbewerk.'!AG5="","",'Ber. Planning Voorbewerk.'!AG5)</f>
        <v/>
      </c>
      <c r="G60" s="156"/>
      <c r="H60" s="156"/>
      <c r="I60" s="156"/>
      <c r="J60" s="156"/>
      <c r="K60" s="156" t="str">
        <f>IF('Ber. Planning Voorbewerk.'!AH5="","",'Ber. Planning Voorbewerk.'!AH5)</f>
        <v/>
      </c>
      <c r="L60" s="156"/>
      <c r="M60" s="156"/>
      <c r="N60" s="106" t="str">
        <f>IF('Ber. Planning Voorbewerk.'!AJ5="","",'Ber. Planning Voorbewerk.'!AJ5)</f>
        <v/>
      </c>
      <c r="O60" s="170" t="str">
        <f>IF('Ber. Planning Voorbewerk.'!AI5="","",'Ber. Planning Voorbewerk.'!AI5)</f>
        <v/>
      </c>
      <c r="P60" s="181"/>
      <c r="Q60" s="179"/>
      <c r="R60" s="267"/>
      <c r="S60" s="145"/>
      <c r="T60" s="155" t="str">
        <f>IF('Ber. Planning Voorbewerk.'!AF20="","",'Ber. Planning Voorbewerk.'!AF20)</f>
        <v/>
      </c>
      <c r="U60" s="156"/>
      <c r="V60" s="156" t="str">
        <f>IF('Ber. Planning Voorbewerk.'!AG20="","",'Ber. Planning Voorbewerk.'!AG20)</f>
        <v/>
      </c>
      <c r="W60" s="156"/>
      <c r="X60" s="156"/>
      <c r="Y60" s="156"/>
      <c r="Z60" s="156"/>
      <c r="AA60" s="156"/>
      <c r="AB60" s="156" t="str">
        <f>IF('Ber. Planning Voorbewerk.'!AH20="","",'Ber. Planning Voorbewerk.'!AH20)</f>
        <v/>
      </c>
      <c r="AC60" s="156"/>
      <c r="AD60" s="156"/>
      <c r="AE60" s="156"/>
      <c r="AF60" s="170" t="str">
        <f>IF('Ber. Planning Voorbewerk.'!AJ20="","",'Ber. Planning Voorbewerk.'!AJ20)</f>
        <v/>
      </c>
      <c r="AG60" s="170"/>
      <c r="AH60" s="114" t="str">
        <f>IF('Ber. Planning Voorbewerk.'!AI20="","",'Ber. Planning Voorbewerk.'!AI20)</f>
        <v/>
      </c>
      <c r="AI60" s="168"/>
      <c r="AJ60" s="152"/>
      <c r="AK60" s="267"/>
      <c r="AL60" s="145"/>
      <c r="AM60" s="155" t="str">
        <f>IF('Ber. Planning Voorbewerk.'!AF35="","",'Ber. Planning Voorbewerk.'!AF35)</f>
        <v/>
      </c>
      <c r="AN60" s="156"/>
      <c r="AO60" s="156" t="str">
        <f>IF('Ber. Planning Voorbewerk.'!AG35="","",'Ber. Planning Voorbewerk.'!AG35)</f>
        <v/>
      </c>
      <c r="AP60" s="156"/>
      <c r="AQ60" s="156"/>
      <c r="AR60" s="156"/>
      <c r="AS60" s="156"/>
      <c r="AT60" s="156"/>
      <c r="AU60" s="156"/>
      <c r="AV60" s="156" t="str">
        <f>IF('Ber. Planning Voorbewerk.'!AH35="","",'Ber. Planning Voorbewerk.'!AH35)</f>
        <v/>
      </c>
      <c r="AW60" s="156"/>
      <c r="AX60" s="156"/>
      <c r="AY60" s="106" t="str">
        <f>IF('Ber. Planning Voorbewerk.'!AJ35="","",'Ber. Planning Voorbewerk.'!AJ35)</f>
        <v/>
      </c>
      <c r="AZ60" s="106" t="str">
        <f>IF('Ber. Planning Voorbewerk.'!AI35="","",'Ber. Planning Voorbewerk.'!AI35)</f>
        <v/>
      </c>
      <c r="BA60" s="151"/>
      <c r="BB60" s="152"/>
      <c r="BC60" s="280"/>
      <c r="BD60" s="49"/>
      <c r="BE60" s="65"/>
    </row>
    <row r="61" spans="1:57" ht="11.25" customHeight="1" x14ac:dyDescent="0.25">
      <c r="A61" s="65"/>
      <c r="B61" s="50"/>
      <c r="C61" s="175"/>
      <c r="D61" s="155" t="str">
        <f>IF('Ber. Planning Voorbewerk.'!AF6="","",'Ber. Planning Voorbewerk.'!AF6)</f>
        <v/>
      </c>
      <c r="E61" s="156"/>
      <c r="F61" s="156" t="str">
        <f>IF('Ber. Planning Voorbewerk.'!AG6="","",'Ber. Planning Voorbewerk.'!AG6)</f>
        <v/>
      </c>
      <c r="G61" s="156"/>
      <c r="H61" s="156"/>
      <c r="I61" s="156"/>
      <c r="J61" s="156"/>
      <c r="K61" s="156" t="str">
        <f>IF('Ber. Planning Voorbewerk.'!AH6="","",'Ber. Planning Voorbewerk.'!AH6)</f>
        <v/>
      </c>
      <c r="L61" s="156"/>
      <c r="M61" s="156"/>
      <c r="N61" s="106" t="str">
        <f>IF('Ber. Planning Voorbewerk.'!AJ6="","",'Ber. Planning Voorbewerk.'!AJ6)</f>
        <v/>
      </c>
      <c r="O61" s="170" t="str">
        <f>IF('Ber. Planning Voorbewerk.'!AI6="","",'Ber. Planning Voorbewerk.'!AI6)</f>
        <v/>
      </c>
      <c r="P61" s="181"/>
      <c r="Q61" s="179"/>
      <c r="R61" s="267"/>
      <c r="S61" s="145"/>
      <c r="T61" s="155" t="str">
        <f>IF('Ber. Planning Voorbewerk.'!AF21="","",'Ber. Planning Voorbewerk.'!AF21)</f>
        <v/>
      </c>
      <c r="U61" s="156"/>
      <c r="V61" s="156" t="str">
        <f>IF('Ber. Planning Voorbewerk.'!AG21="","",'Ber. Planning Voorbewerk.'!AG21)</f>
        <v/>
      </c>
      <c r="W61" s="156"/>
      <c r="X61" s="156"/>
      <c r="Y61" s="156"/>
      <c r="Z61" s="156"/>
      <c r="AA61" s="156"/>
      <c r="AB61" s="156" t="str">
        <f>IF('Ber. Planning Voorbewerk.'!AH21="","",'Ber. Planning Voorbewerk.'!AH21)</f>
        <v/>
      </c>
      <c r="AC61" s="156"/>
      <c r="AD61" s="156"/>
      <c r="AE61" s="156"/>
      <c r="AF61" s="170" t="str">
        <f>IF('Ber. Planning Voorbewerk.'!AJ21="","",'Ber. Planning Voorbewerk.'!AJ21)</f>
        <v/>
      </c>
      <c r="AG61" s="170"/>
      <c r="AH61" s="114" t="str">
        <f>IF('Ber. Planning Voorbewerk.'!AI21="","",'Ber. Planning Voorbewerk.'!AI21)</f>
        <v/>
      </c>
      <c r="AI61" s="168"/>
      <c r="AJ61" s="152"/>
      <c r="AK61" s="267"/>
      <c r="AL61" s="145"/>
      <c r="AM61" s="155" t="str">
        <f>IF('Ber. Planning Voorbewerk.'!AF36="","",'Ber. Planning Voorbewerk.'!AF36)</f>
        <v/>
      </c>
      <c r="AN61" s="156"/>
      <c r="AO61" s="156" t="str">
        <f>IF('Ber. Planning Voorbewerk.'!AG36="","",'Ber. Planning Voorbewerk.'!AG36)</f>
        <v/>
      </c>
      <c r="AP61" s="156"/>
      <c r="AQ61" s="156"/>
      <c r="AR61" s="156"/>
      <c r="AS61" s="156"/>
      <c r="AT61" s="156"/>
      <c r="AU61" s="156"/>
      <c r="AV61" s="156" t="str">
        <f>IF('Ber. Planning Voorbewerk.'!AH36="","",'Ber. Planning Voorbewerk.'!AH36)</f>
        <v/>
      </c>
      <c r="AW61" s="156"/>
      <c r="AX61" s="156"/>
      <c r="AY61" s="106" t="str">
        <f>IF('Ber. Planning Voorbewerk.'!AJ36="","",'Ber. Planning Voorbewerk.'!AJ36)</f>
        <v/>
      </c>
      <c r="AZ61" s="106" t="str">
        <f>IF('Ber. Planning Voorbewerk.'!AI36="","",'Ber. Planning Voorbewerk.'!AI36)</f>
        <v/>
      </c>
      <c r="BA61" s="151"/>
      <c r="BB61" s="152"/>
      <c r="BC61" s="280"/>
      <c r="BD61" s="49"/>
      <c r="BE61" s="65"/>
    </row>
    <row r="62" spans="1:57" ht="11.25" customHeight="1" x14ac:dyDescent="0.25">
      <c r="A62" s="65"/>
      <c r="B62" s="50"/>
      <c r="C62" s="175"/>
      <c r="D62" s="155" t="str">
        <f>IF('Ber. Planning Voorbewerk.'!AF7="","",'Ber. Planning Voorbewerk.'!AF7)</f>
        <v/>
      </c>
      <c r="E62" s="156"/>
      <c r="F62" s="156" t="str">
        <f>IF('Ber. Planning Voorbewerk.'!AG7="","",'Ber. Planning Voorbewerk.'!AG7)</f>
        <v/>
      </c>
      <c r="G62" s="156"/>
      <c r="H62" s="156"/>
      <c r="I62" s="156"/>
      <c r="J62" s="156"/>
      <c r="K62" s="156" t="str">
        <f>IF('Ber. Planning Voorbewerk.'!AH7="","",'Ber. Planning Voorbewerk.'!AH7)</f>
        <v/>
      </c>
      <c r="L62" s="156"/>
      <c r="M62" s="156"/>
      <c r="N62" s="106" t="str">
        <f>IF('Ber. Planning Voorbewerk.'!AJ7="","",'Ber. Planning Voorbewerk.'!AJ7)</f>
        <v/>
      </c>
      <c r="O62" s="170" t="str">
        <f>IF('Ber. Planning Voorbewerk.'!AI7="","",'Ber. Planning Voorbewerk.'!AI7)</f>
        <v/>
      </c>
      <c r="P62" s="181"/>
      <c r="Q62" s="179"/>
      <c r="R62" s="267"/>
      <c r="S62" s="145"/>
      <c r="T62" s="155" t="str">
        <f>IF('Ber. Planning Voorbewerk.'!AF22="","",'Ber. Planning Voorbewerk.'!AF22)</f>
        <v/>
      </c>
      <c r="U62" s="156"/>
      <c r="V62" s="156" t="str">
        <f>IF('Ber. Planning Voorbewerk.'!AG22="","",'Ber. Planning Voorbewerk.'!AG22)</f>
        <v/>
      </c>
      <c r="W62" s="156"/>
      <c r="X62" s="156"/>
      <c r="Y62" s="156"/>
      <c r="Z62" s="156"/>
      <c r="AA62" s="156"/>
      <c r="AB62" s="156" t="str">
        <f>IF('Ber. Planning Voorbewerk.'!AH22="","",'Ber. Planning Voorbewerk.'!AH22)</f>
        <v/>
      </c>
      <c r="AC62" s="156"/>
      <c r="AD62" s="156"/>
      <c r="AE62" s="156"/>
      <c r="AF62" s="170" t="str">
        <f>IF('Ber. Planning Voorbewerk.'!AJ22="","",'Ber. Planning Voorbewerk.'!AJ22)</f>
        <v/>
      </c>
      <c r="AG62" s="170"/>
      <c r="AH62" s="114" t="str">
        <f>IF('Ber. Planning Voorbewerk.'!AI22="","",'Ber. Planning Voorbewerk.'!AI22)</f>
        <v/>
      </c>
      <c r="AI62" s="168"/>
      <c r="AJ62" s="152"/>
      <c r="AK62" s="267"/>
      <c r="AL62" s="145"/>
      <c r="AM62" s="155" t="str">
        <f>IF('Ber. Planning Voorbewerk.'!AF37="","",'Ber. Planning Voorbewerk.'!AF37)</f>
        <v/>
      </c>
      <c r="AN62" s="156"/>
      <c r="AO62" s="156" t="str">
        <f>IF('Ber. Planning Voorbewerk.'!AG37="","",'Ber. Planning Voorbewerk.'!AG37)</f>
        <v/>
      </c>
      <c r="AP62" s="156"/>
      <c r="AQ62" s="156"/>
      <c r="AR62" s="156"/>
      <c r="AS62" s="156"/>
      <c r="AT62" s="156"/>
      <c r="AU62" s="156"/>
      <c r="AV62" s="156" t="str">
        <f>IF('Ber. Planning Voorbewerk.'!AH37="","",'Ber. Planning Voorbewerk.'!AH37)</f>
        <v/>
      </c>
      <c r="AW62" s="156"/>
      <c r="AX62" s="156"/>
      <c r="AY62" s="106" t="str">
        <f>IF('Ber. Planning Voorbewerk.'!AJ37="","",'Ber. Planning Voorbewerk.'!AJ37)</f>
        <v/>
      </c>
      <c r="AZ62" s="106" t="str">
        <f>IF('Ber. Planning Voorbewerk.'!AI37="","",'Ber. Planning Voorbewerk.'!AI37)</f>
        <v/>
      </c>
      <c r="BA62" s="151"/>
      <c r="BB62" s="152"/>
      <c r="BC62" s="280"/>
      <c r="BD62" s="49"/>
      <c r="BE62" s="65"/>
    </row>
    <row r="63" spans="1:57" ht="11.25" customHeight="1" thickBot="1" x14ac:dyDescent="0.3">
      <c r="A63" s="65"/>
      <c r="B63" s="50"/>
      <c r="C63" s="176"/>
      <c r="D63" s="157" t="str">
        <f>IF('Ber. Planning Voorbewerk.'!AF8="","",'Ber. Planning Voorbewerk.'!AF8)</f>
        <v/>
      </c>
      <c r="E63" s="158"/>
      <c r="F63" s="158" t="str">
        <f>IF('Ber. Planning Voorbewerk.'!AG8="","",'Ber. Planning Voorbewerk.'!AG8)</f>
        <v/>
      </c>
      <c r="G63" s="158"/>
      <c r="H63" s="158"/>
      <c r="I63" s="158"/>
      <c r="J63" s="158"/>
      <c r="K63" s="158" t="str">
        <f>IF('Ber. Planning Voorbewerk.'!AH8="","",'Ber. Planning Voorbewerk.'!AH8)</f>
        <v/>
      </c>
      <c r="L63" s="158"/>
      <c r="M63" s="158"/>
      <c r="N63" s="107" t="str">
        <f>IF('Ber. Planning Voorbewerk.'!AJ8="","",'Ber. Planning Voorbewerk.'!AJ8)</f>
        <v/>
      </c>
      <c r="O63" s="171" t="str">
        <f>IF('Ber. Planning Voorbewerk.'!AI8="","",'Ber. Planning Voorbewerk.'!AI8)</f>
        <v/>
      </c>
      <c r="P63" s="182"/>
      <c r="Q63" s="180"/>
      <c r="R63" s="267"/>
      <c r="S63" s="146"/>
      <c r="T63" s="157" t="str">
        <f>IF('Ber. Planning Voorbewerk.'!AF23="","",'Ber. Planning Voorbewerk.'!AF23)</f>
        <v/>
      </c>
      <c r="U63" s="158"/>
      <c r="V63" s="158" t="str">
        <f>IF('Ber. Planning Voorbewerk.'!AG23="","",'Ber. Planning Voorbewerk.'!AG23)</f>
        <v/>
      </c>
      <c r="W63" s="158"/>
      <c r="X63" s="158"/>
      <c r="Y63" s="158"/>
      <c r="Z63" s="158"/>
      <c r="AA63" s="158"/>
      <c r="AB63" s="158" t="str">
        <f>IF('Ber. Planning Voorbewerk.'!AH23="","",'Ber. Planning Voorbewerk.'!AH23)</f>
        <v/>
      </c>
      <c r="AC63" s="158"/>
      <c r="AD63" s="158"/>
      <c r="AE63" s="158"/>
      <c r="AF63" s="171" t="str">
        <f>IF('Ber. Planning Voorbewerk.'!AJ23="","",'Ber. Planning Voorbewerk.'!AJ23)</f>
        <v/>
      </c>
      <c r="AG63" s="171"/>
      <c r="AH63" s="116" t="str">
        <f>IF('Ber. Planning Voorbewerk.'!AI23="","",'Ber. Planning Voorbewerk.'!AI23)</f>
        <v/>
      </c>
      <c r="AI63" s="169"/>
      <c r="AJ63" s="154"/>
      <c r="AK63" s="267"/>
      <c r="AL63" s="146"/>
      <c r="AM63" s="157" t="str">
        <f>IF('Ber. Planning Voorbewerk.'!AF38="","",'Ber. Planning Voorbewerk.'!AF38)</f>
        <v/>
      </c>
      <c r="AN63" s="158"/>
      <c r="AO63" s="158" t="str">
        <f>IF('Ber. Planning Voorbewerk.'!AG38="","",'Ber. Planning Voorbewerk.'!AG38)</f>
        <v/>
      </c>
      <c r="AP63" s="158"/>
      <c r="AQ63" s="158"/>
      <c r="AR63" s="158"/>
      <c r="AS63" s="158"/>
      <c r="AT63" s="158"/>
      <c r="AU63" s="158"/>
      <c r="AV63" s="158" t="str">
        <f>IF('Ber. Planning Voorbewerk.'!AH38="","",'Ber. Planning Voorbewerk.'!AH38)</f>
        <v/>
      </c>
      <c r="AW63" s="158"/>
      <c r="AX63" s="158"/>
      <c r="AY63" s="107" t="str">
        <f>IF('Ber. Planning Voorbewerk.'!AJ38="","",'Ber. Planning Voorbewerk.'!AJ38)</f>
        <v/>
      </c>
      <c r="AZ63" s="107" t="str">
        <f>IF('Ber. Planning Voorbewerk.'!AI38="","",'Ber. Planning Voorbewerk.'!AI38)</f>
        <v/>
      </c>
      <c r="BA63" s="153"/>
      <c r="BB63" s="154"/>
      <c r="BC63" s="280"/>
      <c r="BD63" s="49"/>
      <c r="BE63" s="65"/>
    </row>
    <row r="64" spans="1:57" ht="11.25" customHeight="1" x14ac:dyDescent="0.25">
      <c r="A64" s="65"/>
      <c r="B64" s="50"/>
      <c r="C64" s="193" t="s">
        <v>47</v>
      </c>
      <c r="D64" s="147" t="str">
        <f>IF('Ber. Planning Overig'!AF4="","",'Ber. Planning Overig'!AF4)</f>
        <v/>
      </c>
      <c r="E64" s="148"/>
      <c r="F64" s="148" t="str">
        <f>IF('Ber. Planning Overig'!AG4="","",'Ber. Planning Overig'!AG4)</f>
        <v/>
      </c>
      <c r="G64" s="148"/>
      <c r="H64" s="148"/>
      <c r="I64" s="148"/>
      <c r="J64" s="148"/>
      <c r="K64" s="148" t="str">
        <f>IF('Ber. Planning Overig'!AH4="","",'Ber. Planning Overig'!AH4)</f>
        <v/>
      </c>
      <c r="L64" s="148"/>
      <c r="M64" s="148"/>
      <c r="N64" s="105" t="str">
        <f>IF('Ber. Planning Overig'!AJ4="","",'Ber. Planning Overig'!AJ4)</f>
        <v/>
      </c>
      <c r="O64" s="166" t="str">
        <f>IF('Ber. Planning Overig'!AI4="","",'Ber. Planning Overig'!AI4)</f>
        <v/>
      </c>
      <c r="P64" s="177"/>
      <c r="Q64" s="178">
        <f>SUM(O64:P65)</f>
        <v>0</v>
      </c>
      <c r="R64" s="313" t="str">
        <f>IF(Q64&lt;&gt;'Ber. Planning Overig'!AI15,"!","")</f>
        <v/>
      </c>
      <c r="S64" s="193" t="s">
        <v>47</v>
      </c>
      <c r="T64" s="147" t="str">
        <f>IF('Ber. Planning Overig'!AF19="","",'Ber. Planning Overig'!AF19)</f>
        <v/>
      </c>
      <c r="U64" s="148"/>
      <c r="V64" s="148" t="str">
        <f>IF('Ber. Planning Overig'!AG19="","",'Ber. Planning Overig'!AG19)</f>
        <v/>
      </c>
      <c r="W64" s="148"/>
      <c r="X64" s="148"/>
      <c r="Y64" s="148"/>
      <c r="Z64" s="148"/>
      <c r="AA64" s="148"/>
      <c r="AB64" s="148" t="str">
        <f>IF('Ber. Planning Overig'!AH19="","",'Ber. Planning Overig'!AH19)</f>
        <v/>
      </c>
      <c r="AC64" s="148"/>
      <c r="AD64" s="148"/>
      <c r="AE64" s="148"/>
      <c r="AF64" s="166" t="str">
        <f>IF('Ber. Planning Overig'!AJ19="","",'Ber. Planning Overig'!AJ19)</f>
        <v/>
      </c>
      <c r="AG64" s="166"/>
      <c r="AH64" s="113" t="str">
        <f>IF('Ber. Planning Overig'!AI19="","",'Ber. Planning Overig'!AI19)</f>
        <v/>
      </c>
      <c r="AI64" s="189">
        <f>SUM(AH64:AH65)</f>
        <v>0</v>
      </c>
      <c r="AJ64" s="190"/>
      <c r="AK64" s="314" t="str">
        <f>IF(AI64&lt;&gt;'Ber. Planning Overig'!AI30,"!","")</f>
        <v/>
      </c>
      <c r="AL64" s="193" t="s">
        <v>47</v>
      </c>
      <c r="AM64" s="147" t="str">
        <f>IF('Ber. Planning Overig'!AF34="","",'Ber. Planning Overig'!AF34)</f>
        <v/>
      </c>
      <c r="AN64" s="148"/>
      <c r="AO64" s="148" t="str">
        <f>IF('Ber. Planning Overig'!AG34="","",'Ber. Planning Overig'!AG34)</f>
        <v/>
      </c>
      <c r="AP64" s="148"/>
      <c r="AQ64" s="148"/>
      <c r="AR64" s="148"/>
      <c r="AS64" s="148"/>
      <c r="AT64" s="148"/>
      <c r="AU64" s="148"/>
      <c r="AV64" s="148" t="str">
        <f>IF('Ber. Planning Overig'!AH34="","",'Ber. Planning Overig'!AH34)</f>
        <v/>
      </c>
      <c r="AW64" s="148"/>
      <c r="AX64" s="148"/>
      <c r="AY64" s="105" t="str">
        <f>IF('Ber. Planning Overig'!AJ34="","",'Ber. Planning Overig'!AJ34)</f>
        <v/>
      </c>
      <c r="AZ64" s="105" t="str">
        <f>IF('Ber. Planning Overig'!AI34="","",'Ber. Planning Overig'!AI34)</f>
        <v/>
      </c>
      <c r="BA64" s="149">
        <f>SUM(AZ64:AZ65)</f>
        <v>0</v>
      </c>
      <c r="BB64" s="150"/>
      <c r="BC64" s="279" t="str">
        <f>IF(BA64&lt;&gt;'Ber. Planning Overig'!AI45,"!","")</f>
        <v/>
      </c>
      <c r="BD64" s="49"/>
      <c r="BE64" s="65"/>
    </row>
    <row r="65" spans="1:57" ht="11.25" customHeight="1" thickBot="1" x14ac:dyDescent="0.3">
      <c r="A65" s="65"/>
      <c r="B65" s="50"/>
      <c r="C65" s="194"/>
      <c r="D65" s="157" t="str">
        <f>IF('Ber. Planning Overig'!AF5="","",'Ber. Planning Overig'!AF5)</f>
        <v/>
      </c>
      <c r="E65" s="158"/>
      <c r="F65" s="158" t="str">
        <f>IF('Ber. Planning Overig'!AG5="","",'Ber. Planning Overig'!AG5)</f>
        <v/>
      </c>
      <c r="G65" s="158"/>
      <c r="H65" s="158"/>
      <c r="I65" s="158"/>
      <c r="J65" s="158"/>
      <c r="K65" s="158" t="str">
        <f>IF('Ber. Planning Overig'!AH5="","",'Ber. Planning Overig'!AH5)</f>
        <v/>
      </c>
      <c r="L65" s="158"/>
      <c r="M65" s="158"/>
      <c r="N65" s="107" t="str">
        <f>IF('Ber. Planning Overig'!AJ5="","",'Ber. Planning Overig'!AJ5)</f>
        <v/>
      </c>
      <c r="O65" s="171" t="str">
        <f>IF('Ber. Planning Overig'!AI5="","",'Ber. Planning Overig'!AI5)</f>
        <v/>
      </c>
      <c r="P65" s="182"/>
      <c r="Q65" s="180"/>
      <c r="R65" s="313"/>
      <c r="S65" s="194"/>
      <c r="T65" s="157" t="str">
        <f>IF('Ber. Planning Overig'!AF20="","",'Ber. Planning Overig'!AF20)</f>
        <v/>
      </c>
      <c r="U65" s="158"/>
      <c r="V65" s="158" t="str">
        <f>IF('Ber. Planning Overig'!AG20="","",'Ber. Planning Overig'!AG20)</f>
        <v/>
      </c>
      <c r="W65" s="158"/>
      <c r="X65" s="158"/>
      <c r="Y65" s="158"/>
      <c r="Z65" s="158"/>
      <c r="AA65" s="158"/>
      <c r="AB65" s="158" t="str">
        <f>IF('Ber. Planning Overig'!AH20="","",'Ber. Planning Overig'!AH20)</f>
        <v/>
      </c>
      <c r="AC65" s="158"/>
      <c r="AD65" s="158"/>
      <c r="AE65" s="158"/>
      <c r="AF65" s="171" t="str">
        <f>IF('Ber. Planning Overig'!AJ20="","",'Ber. Planning Overig'!AJ20)</f>
        <v/>
      </c>
      <c r="AG65" s="171"/>
      <c r="AH65" s="116" t="str">
        <f>IF('Ber. Planning Overig'!AI20="","",'Ber. Planning Overig'!AI20)</f>
        <v/>
      </c>
      <c r="AI65" s="191"/>
      <c r="AJ65" s="192"/>
      <c r="AK65" s="314"/>
      <c r="AL65" s="194"/>
      <c r="AM65" s="157" t="str">
        <f>IF('Ber. Planning Overig'!AF35="","",'Ber. Planning Overig'!AF35)</f>
        <v/>
      </c>
      <c r="AN65" s="158"/>
      <c r="AO65" s="158" t="str">
        <f>IF('Ber. Planning Overig'!AG35="","",'Ber. Planning Overig'!AG35)</f>
        <v/>
      </c>
      <c r="AP65" s="158"/>
      <c r="AQ65" s="158"/>
      <c r="AR65" s="158"/>
      <c r="AS65" s="158"/>
      <c r="AT65" s="158"/>
      <c r="AU65" s="158"/>
      <c r="AV65" s="158" t="str">
        <f>IF('Ber. Planning Overig'!AH35="","",'Ber. Planning Overig'!AH35)</f>
        <v/>
      </c>
      <c r="AW65" s="158"/>
      <c r="AX65" s="158"/>
      <c r="AY65" s="107" t="str">
        <f>IF('Ber. Planning Overig'!AJ35="","",'Ber. Planning Overig'!AJ35)</f>
        <v/>
      </c>
      <c r="AZ65" s="107" t="str">
        <f>IF('Ber. Planning Overig'!AI35="","",'Ber. Planning Overig'!AI35)</f>
        <v/>
      </c>
      <c r="BA65" s="153"/>
      <c r="BB65" s="154"/>
      <c r="BC65" s="279"/>
      <c r="BD65" s="49"/>
      <c r="BE65" s="65"/>
    </row>
    <row r="66" spans="1:57" s="11" customFormat="1" ht="7.5" customHeight="1" thickBot="1" x14ac:dyDescent="0.3">
      <c r="A66" s="65"/>
      <c r="B66" s="56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51"/>
      <c r="AQ66" s="51"/>
      <c r="AR66" s="51"/>
      <c r="AS66" s="51"/>
      <c r="AT66" s="51"/>
      <c r="AU66" s="51"/>
      <c r="AV66" s="51"/>
      <c r="AW66" s="51"/>
      <c r="AX66" s="51"/>
      <c r="AY66" s="51"/>
      <c r="AZ66" s="51"/>
      <c r="BA66" s="51"/>
      <c r="BB66" s="51"/>
      <c r="BC66" s="51"/>
      <c r="BD66" s="59"/>
      <c r="BE66" s="65"/>
    </row>
    <row r="67" spans="1:57" s="11" customFormat="1" ht="15" customHeight="1" x14ac:dyDescent="0.25">
      <c r="A67" s="65"/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  <c r="AD67" s="67"/>
      <c r="AE67" s="67"/>
      <c r="AF67" s="65"/>
      <c r="AG67" s="65"/>
      <c r="AH67" s="65"/>
      <c r="AI67" s="65"/>
      <c r="AJ67" s="65"/>
      <c r="AK67" s="65"/>
      <c r="AL67" s="65"/>
      <c r="AM67" s="65"/>
      <c r="AN67" s="65"/>
      <c r="AO67" s="65"/>
      <c r="AP67" s="65"/>
      <c r="AQ67" s="65"/>
      <c r="AR67" s="65"/>
      <c r="AS67" s="65"/>
      <c r="AT67" s="65"/>
      <c r="AU67" s="65"/>
      <c r="AV67" s="65"/>
      <c r="AW67" s="65"/>
      <c r="AX67" s="65"/>
      <c r="AY67" s="65"/>
      <c r="AZ67" s="65"/>
      <c r="BA67" s="65"/>
      <c r="BB67" s="65"/>
      <c r="BC67" s="65"/>
      <c r="BD67" s="65"/>
      <c r="BE67" s="65"/>
    </row>
    <row r="68" spans="1:57" s="11" customFormat="1" ht="15" customHeight="1" x14ac:dyDescent="0.25">
      <c r="A68" s="65"/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  <c r="AB68" s="67"/>
      <c r="AC68" s="67"/>
      <c r="AD68" s="67"/>
      <c r="AE68" s="67"/>
      <c r="AF68" s="65"/>
      <c r="AG68" s="65"/>
      <c r="AH68" s="65"/>
      <c r="AI68" s="65"/>
      <c r="AJ68" s="65"/>
      <c r="AK68" s="65"/>
      <c r="AL68" s="65"/>
      <c r="AM68" s="65"/>
      <c r="AN68" s="65"/>
      <c r="AO68" s="65"/>
      <c r="AP68" s="65"/>
      <c r="AQ68" s="65"/>
      <c r="AR68" s="65"/>
      <c r="AS68" s="65"/>
      <c r="AT68" s="65"/>
      <c r="AU68" s="65"/>
      <c r="AV68" s="65"/>
      <c r="AW68" s="65"/>
      <c r="AX68" s="65"/>
      <c r="AY68" s="65"/>
      <c r="AZ68" s="65"/>
      <c r="BA68" s="65"/>
      <c r="BB68" s="65"/>
      <c r="BC68" s="65"/>
      <c r="BD68" s="65"/>
      <c r="BE68" s="65"/>
    </row>
    <row r="69" spans="1:57" s="11" customFormat="1" ht="15" customHeight="1" x14ac:dyDescent="0.25">
      <c r="A69" s="65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/>
      <c r="AD69" s="67"/>
      <c r="AE69" s="67"/>
      <c r="AF69" s="65"/>
      <c r="AG69" s="65"/>
      <c r="AH69" s="65"/>
      <c r="AI69" s="65"/>
      <c r="AJ69" s="65"/>
      <c r="AK69" s="65"/>
      <c r="AL69" s="65"/>
      <c r="AM69" s="65"/>
      <c r="AN69" s="65"/>
      <c r="AO69" s="65"/>
      <c r="AP69" s="65"/>
      <c r="AQ69" s="65"/>
      <c r="AR69" s="65"/>
      <c r="AS69" s="65"/>
      <c r="AT69" s="65"/>
      <c r="AU69" s="65"/>
      <c r="AV69" s="65"/>
      <c r="AW69" s="65"/>
      <c r="AX69" s="65"/>
      <c r="AY69" s="65"/>
      <c r="AZ69" s="65"/>
      <c r="BA69" s="65"/>
      <c r="BB69" s="65"/>
      <c r="BC69" s="65"/>
      <c r="BD69" s="65"/>
      <c r="BE69" s="65"/>
    </row>
    <row r="70" spans="1:57" s="11" customFormat="1" ht="15" customHeight="1" x14ac:dyDescent="0.25">
      <c r="A70" s="65"/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  <c r="AB70" s="67"/>
      <c r="AC70" s="67"/>
      <c r="AD70" s="67"/>
      <c r="AE70" s="67"/>
      <c r="AF70" s="65"/>
      <c r="AG70" s="65"/>
      <c r="AH70" s="65"/>
      <c r="AI70" s="65"/>
      <c r="AJ70" s="65"/>
      <c r="AK70" s="65"/>
      <c r="AL70" s="65"/>
      <c r="AM70" s="65"/>
      <c r="AN70" s="65"/>
      <c r="AO70" s="65"/>
      <c r="AP70" s="65"/>
      <c r="AQ70" s="65"/>
      <c r="AR70" s="65"/>
      <c r="AS70" s="65"/>
      <c r="AT70" s="65"/>
      <c r="AU70" s="65"/>
      <c r="AV70" s="65"/>
      <c r="AW70" s="65"/>
      <c r="AX70" s="65"/>
      <c r="AY70" s="65"/>
      <c r="AZ70" s="65"/>
      <c r="BA70" s="65"/>
      <c r="BB70" s="65"/>
      <c r="BC70" s="65"/>
      <c r="BD70" s="65"/>
      <c r="BE70" s="65"/>
    </row>
    <row r="71" spans="1:57" ht="15" customHeight="1" x14ac:dyDescent="0.25"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</row>
    <row r="72" spans="1:57" ht="15" customHeight="1" x14ac:dyDescent="0.25"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</row>
    <row r="73" spans="1:57" ht="15" customHeight="1" x14ac:dyDescent="0.25"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</row>
    <row r="74" spans="1:57" ht="15" customHeight="1" x14ac:dyDescent="0.25"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</row>
    <row r="75" spans="1:57" ht="15" customHeight="1" x14ac:dyDescent="0.25"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</row>
    <row r="76" spans="1:57" ht="15" customHeight="1" x14ac:dyDescent="0.25"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</row>
    <row r="77" spans="1:57" ht="15" customHeight="1" x14ac:dyDescent="0.25"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</row>
    <row r="78" spans="1:57" ht="15" customHeight="1" x14ac:dyDescent="0.25"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</row>
    <row r="79" spans="1:57" ht="15" customHeight="1" x14ac:dyDescent="0.25"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</row>
    <row r="80" spans="1:57" ht="15" customHeight="1" x14ac:dyDescent="0.25"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</row>
    <row r="81" spans="16:31" ht="15" customHeight="1" x14ac:dyDescent="0.25"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</row>
    <row r="82" spans="16:31" ht="15" customHeight="1" x14ac:dyDescent="0.25"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</row>
    <row r="83" spans="16:31" ht="15" customHeight="1" x14ac:dyDescent="0.25"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</row>
    <row r="84" spans="16:31" ht="15" customHeight="1" x14ac:dyDescent="0.25"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</row>
    <row r="85" spans="16:31" ht="15" customHeight="1" x14ac:dyDescent="0.25"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</row>
    <row r="86" spans="16:31" ht="15" customHeight="1" x14ac:dyDescent="0.25"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</row>
    <row r="87" spans="16:31" ht="15" customHeight="1" x14ac:dyDescent="0.25"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</row>
    <row r="88" spans="16:31" ht="15" customHeight="1" x14ac:dyDescent="0.25"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</row>
    <row r="89" spans="16:31" ht="15" customHeight="1" x14ac:dyDescent="0.25"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</row>
    <row r="90" spans="16:31" ht="15" customHeight="1" x14ac:dyDescent="0.25"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</row>
    <row r="91" spans="16:31" ht="15" customHeight="1" x14ac:dyDescent="0.25"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</row>
    <row r="92" spans="16:31" ht="15" customHeight="1" x14ac:dyDescent="0.25"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</row>
    <row r="93" spans="16:31" ht="15.75" customHeight="1" x14ac:dyDescent="0.25"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</row>
  </sheetData>
  <sheetProtection sheet="1" objects="1" scenarios="1"/>
  <mergeCells count="714">
    <mergeCell ref="AV32:AW32"/>
    <mergeCell ref="AX32:AZ32"/>
    <mergeCell ref="BA32:BB32"/>
    <mergeCell ref="AP32:AU32"/>
    <mergeCell ref="G32:J32"/>
    <mergeCell ref="K32:L32"/>
    <mergeCell ref="M32:N32"/>
    <mergeCell ref="O32:Q32"/>
    <mergeCell ref="W32:Z32"/>
    <mergeCell ref="AA32:AB32"/>
    <mergeCell ref="AC32:AG32"/>
    <mergeCell ref="R64:R65"/>
    <mergeCell ref="R59:R63"/>
    <mergeCell ref="R54:R58"/>
    <mergeCell ref="R49:R53"/>
    <mergeCell ref="AK64:AK65"/>
    <mergeCell ref="AK59:AK63"/>
    <mergeCell ref="AK54:AK58"/>
    <mergeCell ref="AK49:AK53"/>
    <mergeCell ref="BC59:BC63"/>
    <mergeCell ref="BC54:BC58"/>
    <mergeCell ref="BC49:BC53"/>
    <mergeCell ref="BC64:BC65"/>
    <mergeCell ref="BC44:BC48"/>
    <mergeCell ref="BC39:BC43"/>
    <mergeCell ref="BC34:BC38"/>
    <mergeCell ref="AV47:AX47"/>
    <mergeCell ref="AV48:AX48"/>
    <mergeCell ref="AV64:AX64"/>
    <mergeCell ref="AV65:AX65"/>
    <mergeCell ref="BA64:BB65"/>
    <mergeCell ref="BA44:BB48"/>
    <mergeCell ref="BA39:BB43"/>
    <mergeCell ref="BA34:BB38"/>
    <mergeCell ref="AV35:AX35"/>
    <mergeCell ref="AV36:AX36"/>
    <mergeCell ref="AV37:AX37"/>
    <mergeCell ref="AV44:AX44"/>
    <mergeCell ref="AV45:AX45"/>
    <mergeCell ref="AV46:AX46"/>
    <mergeCell ref="AO33:AU33"/>
    <mergeCell ref="AO65:AU65"/>
    <mergeCell ref="AO64:AU64"/>
    <mergeCell ref="AO48:AU48"/>
    <mergeCell ref="AO47:AU47"/>
    <mergeCell ref="AO46:AU46"/>
    <mergeCell ref="AO45:AU45"/>
    <mergeCell ref="AO44:AU44"/>
    <mergeCell ref="AO43:AU43"/>
    <mergeCell ref="AO42:AU42"/>
    <mergeCell ref="AO41:AU41"/>
    <mergeCell ref="AO40:AU40"/>
    <mergeCell ref="AO39:AU39"/>
    <mergeCell ref="AO38:AU38"/>
    <mergeCell ref="AO37:AU37"/>
    <mergeCell ref="AO36:AU36"/>
    <mergeCell ref="AO35:AU35"/>
    <mergeCell ref="R34:R38"/>
    <mergeCell ref="R39:R43"/>
    <mergeCell ref="R44:R48"/>
    <mergeCell ref="AK34:AK38"/>
    <mergeCell ref="AK39:AK43"/>
    <mergeCell ref="AK44:AK48"/>
    <mergeCell ref="AR3:BC3"/>
    <mergeCell ref="AR19:BC19"/>
    <mergeCell ref="AR11:BC11"/>
    <mergeCell ref="BA33:BB33"/>
    <mergeCell ref="V34:AA34"/>
    <mergeCell ref="AB34:AE34"/>
    <mergeCell ref="AF34:AG34"/>
    <mergeCell ref="AM34:AN34"/>
    <mergeCell ref="AV33:AX33"/>
    <mergeCell ref="AV34:AX34"/>
    <mergeCell ref="AO34:AU34"/>
    <mergeCell ref="AR10:AS10"/>
    <mergeCell ref="AU10:AX10"/>
    <mergeCell ref="R8:V8"/>
    <mergeCell ref="R7:V7"/>
    <mergeCell ref="R6:V6"/>
    <mergeCell ref="R5:V5"/>
    <mergeCell ref="R4:V4"/>
    <mergeCell ref="C3:N3"/>
    <mergeCell ref="C10:D10"/>
    <mergeCell ref="C9:D9"/>
    <mergeCell ref="C8:D8"/>
    <mergeCell ref="P21:AA21"/>
    <mergeCell ref="P13:AA13"/>
    <mergeCell ref="P3:AA3"/>
    <mergeCell ref="AC3:AN3"/>
    <mergeCell ref="AC7:AD7"/>
    <mergeCell ref="AC6:AD6"/>
    <mergeCell ref="AC5:AD5"/>
    <mergeCell ref="AC21:AN21"/>
    <mergeCell ref="AC12:AD12"/>
    <mergeCell ref="AF12:AI12"/>
    <mergeCell ref="W11:Z11"/>
    <mergeCell ref="W10:Z10"/>
    <mergeCell ref="W9:Z9"/>
    <mergeCell ref="AJ12:AL12"/>
    <mergeCell ref="AC13:AN13"/>
    <mergeCell ref="C7:D7"/>
    <mergeCell ref="C6:D6"/>
    <mergeCell ref="C5:D5"/>
    <mergeCell ref="C4:D4"/>
    <mergeCell ref="E4:I4"/>
    <mergeCell ref="C34:C38"/>
    <mergeCell ref="C39:C43"/>
    <mergeCell ref="C44:C48"/>
    <mergeCell ref="C29:D29"/>
    <mergeCell ref="C28:D28"/>
    <mergeCell ref="C27:D27"/>
    <mergeCell ref="C26:D26"/>
    <mergeCell ref="C25:D25"/>
    <mergeCell ref="C24:D24"/>
    <mergeCell ref="D48:E48"/>
    <mergeCell ref="D47:E47"/>
    <mergeCell ref="D46:E46"/>
    <mergeCell ref="D45:E45"/>
    <mergeCell ref="D44:E44"/>
    <mergeCell ref="D43:E43"/>
    <mergeCell ref="D42:E42"/>
    <mergeCell ref="D41:E41"/>
    <mergeCell ref="D40:E40"/>
    <mergeCell ref="D39:E39"/>
    <mergeCell ref="C23:D23"/>
    <mergeCell ref="C22:D22"/>
    <mergeCell ref="C19:D19"/>
    <mergeCell ref="C18:D18"/>
    <mergeCell ref="C17:D17"/>
    <mergeCell ref="C16:D16"/>
    <mergeCell ref="C15:D15"/>
    <mergeCell ref="C14:D14"/>
    <mergeCell ref="C11:D11"/>
    <mergeCell ref="C13:N13"/>
    <mergeCell ref="C21:N21"/>
    <mergeCell ref="E11:I11"/>
    <mergeCell ref="J17:M17"/>
    <mergeCell ref="J16:M16"/>
    <mergeCell ref="J15:M15"/>
    <mergeCell ref="J14:M14"/>
    <mergeCell ref="E10:I10"/>
    <mergeCell ref="E9:I9"/>
    <mergeCell ref="E8:I8"/>
    <mergeCell ref="E7:I7"/>
    <mergeCell ref="E6:I6"/>
    <mergeCell ref="E5:I5"/>
    <mergeCell ref="E29:I29"/>
    <mergeCell ref="E28:I28"/>
    <mergeCell ref="E27:I27"/>
    <mergeCell ref="E26:I26"/>
    <mergeCell ref="E25:I25"/>
    <mergeCell ref="E24:I24"/>
    <mergeCell ref="E23:I23"/>
    <mergeCell ref="E22:I22"/>
    <mergeCell ref="E19:I19"/>
    <mergeCell ref="E18:I18"/>
    <mergeCell ref="E17:I17"/>
    <mergeCell ref="E16:I16"/>
    <mergeCell ref="E15:I15"/>
    <mergeCell ref="E14:I14"/>
    <mergeCell ref="P10:Q10"/>
    <mergeCell ref="P9:Q9"/>
    <mergeCell ref="P8:Q8"/>
    <mergeCell ref="P7:Q7"/>
    <mergeCell ref="P6:Q6"/>
    <mergeCell ref="P5:Q5"/>
    <mergeCell ref="P4:Q4"/>
    <mergeCell ref="R29:V29"/>
    <mergeCell ref="R28:V28"/>
    <mergeCell ref="R27:V27"/>
    <mergeCell ref="R26:V26"/>
    <mergeCell ref="R25:V25"/>
    <mergeCell ref="R24:V24"/>
    <mergeCell ref="R23:V23"/>
    <mergeCell ref="R19:V19"/>
    <mergeCell ref="R18:V18"/>
    <mergeCell ref="R17:V17"/>
    <mergeCell ref="R16:V16"/>
    <mergeCell ref="R15:V15"/>
    <mergeCell ref="R14:V14"/>
    <mergeCell ref="R11:V11"/>
    <mergeCell ref="R10:V10"/>
    <mergeCell ref="R9:V9"/>
    <mergeCell ref="P18:Q18"/>
    <mergeCell ref="AC29:AD29"/>
    <mergeCell ref="AC28:AD28"/>
    <mergeCell ref="AC27:AD27"/>
    <mergeCell ref="AC26:AD26"/>
    <mergeCell ref="AC25:AD25"/>
    <mergeCell ref="AC24:AD24"/>
    <mergeCell ref="AC23:AD23"/>
    <mergeCell ref="AC22:AD22"/>
    <mergeCell ref="P11:Q11"/>
    <mergeCell ref="P17:Q17"/>
    <mergeCell ref="P16:Q16"/>
    <mergeCell ref="P15:Q15"/>
    <mergeCell ref="P14:Q14"/>
    <mergeCell ref="P29:Q29"/>
    <mergeCell ref="P28:Q28"/>
    <mergeCell ref="P27:Q27"/>
    <mergeCell ref="P26:Q26"/>
    <mergeCell ref="P25:Q25"/>
    <mergeCell ref="P24:Q24"/>
    <mergeCell ref="P23:Q23"/>
    <mergeCell ref="P22:Q22"/>
    <mergeCell ref="P19:Q19"/>
    <mergeCell ref="AC19:AD19"/>
    <mergeCell ref="AC18:AD18"/>
    <mergeCell ref="AC17:AD17"/>
    <mergeCell ref="AC16:AD16"/>
    <mergeCell ref="AC15:AD15"/>
    <mergeCell ref="AC14:AD14"/>
    <mergeCell ref="AC11:AD11"/>
    <mergeCell ref="AC10:AD10"/>
    <mergeCell ref="AC9:AD9"/>
    <mergeCell ref="AE18:AI18"/>
    <mergeCell ref="AE17:AI17"/>
    <mergeCell ref="AE16:AI16"/>
    <mergeCell ref="AE15:AI15"/>
    <mergeCell ref="AE14:AI14"/>
    <mergeCell ref="AE11:AI11"/>
    <mergeCell ref="AE10:AI10"/>
    <mergeCell ref="AE9:AI9"/>
    <mergeCell ref="AE29:AI29"/>
    <mergeCell ref="AE28:AI28"/>
    <mergeCell ref="AE27:AI27"/>
    <mergeCell ref="AE26:AI26"/>
    <mergeCell ref="AE25:AI25"/>
    <mergeCell ref="AE24:AI24"/>
    <mergeCell ref="AE23:AI23"/>
    <mergeCell ref="AE22:AI22"/>
    <mergeCell ref="AE19:AI19"/>
    <mergeCell ref="AT13:AX13"/>
    <mergeCell ref="AT12:AX12"/>
    <mergeCell ref="AT9:AX9"/>
    <mergeCell ref="AT8:AX8"/>
    <mergeCell ref="AT7:AX7"/>
    <mergeCell ref="AT6:AX6"/>
    <mergeCell ref="AT5:AX5"/>
    <mergeCell ref="AR25:AS25"/>
    <mergeCell ref="AR24:AS24"/>
    <mergeCell ref="AR23:AS23"/>
    <mergeCell ref="AR22:AS22"/>
    <mergeCell ref="AR21:AS21"/>
    <mergeCell ref="AR20:AS20"/>
    <mergeCell ref="AR17:AS17"/>
    <mergeCell ref="AR16:AS16"/>
    <mergeCell ref="AR15:AS15"/>
    <mergeCell ref="AR14:AS14"/>
    <mergeCell ref="AT25:AX25"/>
    <mergeCell ref="AT24:AX24"/>
    <mergeCell ref="AT23:AX23"/>
    <mergeCell ref="AT22:AX22"/>
    <mergeCell ref="AT21:AX21"/>
    <mergeCell ref="AT17:AX17"/>
    <mergeCell ref="AT16:AX16"/>
    <mergeCell ref="AT15:AX15"/>
    <mergeCell ref="AT14:AX14"/>
    <mergeCell ref="AT20:AX20"/>
    <mergeCell ref="C32:D32"/>
    <mergeCell ref="D33:E33"/>
    <mergeCell ref="D34:E34"/>
    <mergeCell ref="F33:J33"/>
    <mergeCell ref="F34:J34"/>
    <mergeCell ref="J4:M4"/>
    <mergeCell ref="J11:M11"/>
    <mergeCell ref="J10:M10"/>
    <mergeCell ref="J9:M9"/>
    <mergeCell ref="J8:M8"/>
    <mergeCell ref="J7:M7"/>
    <mergeCell ref="J6:M6"/>
    <mergeCell ref="J5:M5"/>
    <mergeCell ref="J29:M29"/>
    <mergeCell ref="J28:M28"/>
    <mergeCell ref="J27:M27"/>
    <mergeCell ref="J26:M26"/>
    <mergeCell ref="J25:M25"/>
    <mergeCell ref="AR13:AS13"/>
    <mergeCell ref="AR12:AS12"/>
    <mergeCell ref="AR9:AS9"/>
    <mergeCell ref="W29:Z29"/>
    <mergeCell ref="W28:Z28"/>
    <mergeCell ref="W27:Z27"/>
    <mergeCell ref="W26:Z26"/>
    <mergeCell ref="W25:Z25"/>
    <mergeCell ref="W24:Z24"/>
    <mergeCell ref="W23:Z23"/>
    <mergeCell ref="W22:Z22"/>
    <mergeCell ref="W19:Z19"/>
    <mergeCell ref="W18:Z18"/>
    <mergeCell ref="W17:Z17"/>
    <mergeCell ref="W16:Z16"/>
    <mergeCell ref="W15:Z15"/>
    <mergeCell ref="W14:Z14"/>
    <mergeCell ref="R22:V22"/>
    <mergeCell ref="J24:M24"/>
    <mergeCell ref="J23:M23"/>
    <mergeCell ref="J22:M22"/>
    <mergeCell ref="J19:M19"/>
    <mergeCell ref="J18:M18"/>
    <mergeCell ref="AJ14:AM14"/>
    <mergeCell ref="AJ11:AM11"/>
    <mergeCell ref="AJ10:AM10"/>
    <mergeCell ref="AJ9:AM9"/>
    <mergeCell ref="AJ8:AM8"/>
    <mergeCell ref="AJ29:AM29"/>
    <mergeCell ref="AJ28:AM28"/>
    <mergeCell ref="AJ27:AM27"/>
    <mergeCell ref="AJ26:AM26"/>
    <mergeCell ref="AJ25:AM25"/>
    <mergeCell ref="AJ24:AM24"/>
    <mergeCell ref="AJ23:AM23"/>
    <mergeCell ref="AJ22:AM22"/>
    <mergeCell ref="AJ19:AM19"/>
    <mergeCell ref="AJ18:AM18"/>
    <mergeCell ref="AJ17:AM17"/>
    <mergeCell ref="AJ16:AM16"/>
    <mergeCell ref="AJ15:AM15"/>
    <mergeCell ref="AY7:BB7"/>
    <mergeCell ref="AY6:BB6"/>
    <mergeCell ref="AY5:BB5"/>
    <mergeCell ref="AY4:BB4"/>
    <mergeCell ref="W8:Z8"/>
    <mergeCell ref="W7:Z7"/>
    <mergeCell ref="W6:Z6"/>
    <mergeCell ref="W5:Z5"/>
    <mergeCell ref="W4:Z4"/>
    <mergeCell ref="AJ7:AM7"/>
    <mergeCell ref="AT4:AX4"/>
    <mergeCell ref="AR6:AS6"/>
    <mergeCell ref="AR5:AS5"/>
    <mergeCell ref="AR4:AS4"/>
    <mergeCell ref="AC4:AD4"/>
    <mergeCell ref="AE7:AI7"/>
    <mergeCell ref="AE6:AI6"/>
    <mergeCell ref="AE5:AI5"/>
    <mergeCell ref="AE4:AI4"/>
    <mergeCell ref="AR8:AS8"/>
    <mergeCell ref="AR7:AS7"/>
    <mergeCell ref="AC8:AD8"/>
    <mergeCell ref="AE8:AI8"/>
    <mergeCell ref="AY20:BB20"/>
    <mergeCell ref="AY17:BB17"/>
    <mergeCell ref="AY16:BB16"/>
    <mergeCell ref="AY15:BB15"/>
    <mergeCell ref="AY14:BB14"/>
    <mergeCell ref="AY13:BB13"/>
    <mergeCell ref="AY12:BB12"/>
    <mergeCell ref="AY9:BB9"/>
    <mergeCell ref="AY8:BB8"/>
    <mergeCell ref="AY10:BA10"/>
    <mergeCell ref="B2:E2"/>
    <mergeCell ref="AQ2:AT2"/>
    <mergeCell ref="K33:M33"/>
    <mergeCell ref="K34:M34"/>
    <mergeCell ref="O33:P33"/>
    <mergeCell ref="O34:P34"/>
    <mergeCell ref="T33:U33"/>
    <mergeCell ref="AM33:AN33"/>
    <mergeCell ref="AL34:AL38"/>
    <mergeCell ref="F35:J35"/>
    <mergeCell ref="AI33:AJ33"/>
    <mergeCell ref="V33:AA33"/>
    <mergeCell ref="AB33:AE33"/>
    <mergeCell ref="AF33:AG33"/>
    <mergeCell ref="AJ6:AM6"/>
    <mergeCell ref="AJ5:AM5"/>
    <mergeCell ref="AJ4:AM4"/>
    <mergeCell ref="D38:E38"/>
    <mergeCell ref="D37:E37"/>
    <mergeCell ref="D36:E36"/>
    <mergeCell ref="D35:E35"/>
    <mergeCell ref="O37:P37"/>
    <mergeCell ref="O36:P36"/>
    <mergeCell ref="O35:P35"/>
    <mergeCell ref="AY25:BB25"/>
    <mergeCell ref="AY24:BB24"/>
    <mergeCell ref="AY23:BB23"/>
    <mergeCell ref="AY22:BB22"/>
    <mergeCell ref="AY21:BB21"/>
    <mergeCell ref="AL39:AL43"/>
    <mergeCell ref="AL44:AL48"/>
    <mergeCell ref="S34:S38"/>
    <mergeCell ref="S39:S43"/>
    <mergeCell ref="S44:S48"/>
    <mergeCell ref="T44:U44"/>
    <mergeCell ref="T45:U45"/>
    <mergeCell ref="T46:U46"/>
    <mergeCell ref="T47:U47"/>
    <mergeCell ref="T48:U48"/>
    <mergeCell ref="V44:AA44"/>
    <mergeCell ref="AB44:AE44"/>
    <mergeCell ref="V47:AA47"/>
    <mergeCell ref="T39:U39"/>
    <mergeCell ref="T40:U40"/>
    <mergeCell ref="T41:U41"/>
    <mergeCell ref="T42:U42"/>
    <mergeCell ref="T43:U43"/>
    <mergeCell ref="V41:AA41"/>
    <mergeCell ref="F40:J40"/>
    <mergeCell ref="F39:J39"/>
    <mergeCell ref="F38:J38"/>
    <mergeCell ref="F37:J37"/>
    <mergeCell ref="F36:J36"/>
    <mergeCell ref="F65:J65"/>
    <mergeCell ref="F48:J48"/>
    <mergeCell ref="F47:J47"/>
    <mergeCell ref="F46:J46"/>
    <mergeCell ref="F45:J45"/>
    <mergeCell ref="F44:J44"/>
    <mergeCell ref="F43:J43"/>
    <mergeCell ref="F42:J42"/>
    <mergeCell ref="F41:J41"/>
    <mergeCell ref="K48:M48"/>
    <mergeCell ref="K47:M47"/>
    <mergeCell ref="K46:M46"/>
    <mergeCell ref="K45:M45"/>
    <mergeCell ref="K44:M44"/>
    <mergeCell ref="K43:M43"/>
    <mergeCell ref="K42:M42"/>
    <mergeCell ref="K41:M41"/>
    <mergeCell ref="K40:M40"/>
    <mergeCell ref="Q44:Q48"/>
    <mergeCell ref="Q39:Q43"/>
    <mergeCell ref="Q34:Q38"/>
    <mergeCell ref="T34:U34"/>
    <mergeCell ref="T35:U35"/>
    <mergeCell ref="T36:U36"/>
    <mergeCell ref="T37:U37"/>
    <mergeCell ref="T38:U38"/>
    <mergeCell ref="K39:M39"/>
    <mergeCell ref="K38:M38"/>
    <mergeCell ref="K37:M37"/>
    <mergeCell ref="K36:M36"/>
    <mergeCell ref="K35:M35"/>
    <mergeCell ref="O48:P48"/>
    <mergeCell ref="O47:P47"/>
    <mergeCell ref="O46:P46"/>
    <mergeCell ref="O45:P45"/>
    <mergeCell ref="O44:P44"/>
    <mergeCell ref="O43:P43"/>
    <mergeCell ref="O42:P42"/>
    <mergeCell ref="O41:P41"/>
    <mergeCell ref="O40:P40"/>
    <mergeCell ref="O39:P39"/>
    <mergeCell ref="O38:P38"/>
    <mergeCell ref="AB39:AE39"/>
    <mergeCell ref="AF39:AG39"/>
    <mergeCell ref="V40:AA40"/>
    <mergeCell ref="AB40:AE40"/>
    <mergeCell ref="AF40:AG40"/>
    <mergeCell ref="V35:AA35"/>
    <mergeCell ref="AB35:AE35"/>
    <mergeCell ref="AF35:AG35"/>
    <mergeCell ref="V36:AA36"/>
    <mergeCell ref="AB36:AE36"/>
    <mergeCell ref="AF36:AG36"/>
    <mergeCell ref="V37:AA37"/>
    <mergeCell ref="AB37:AE37"/>
    <mergeCell ref="AF37:AG37"/>
    <mergeCell ref="S32:T32"/>
    <mergeCell ref="AL32:AM32"/>
    <mergeCell ref="AM39:AN39"/>
    <mergeCell ref="AM40:AN40"/>
    <mergeCell ref="AV38:AX38"/>
    <mergeCell ref="AV39:AX39"/>
    <mergeCell ref="AV40:AX40"/>
    <mergeCell ref="AM41:AN41"/>
    <mergeCell ref="AM42:AN42"/>
    <mergeCell ref="AM38:AN38"/>
    <mergeCell ref="AI34:AJ38"/>
    <mergeCell ref="AI39:AJ43"/>
    <mergeCell ref="AF41:AG41"/>
    <mergeCell ref="V42:AA42"/>
    <mergeCell ref="AB42:AE42"/>
    <mergeCell ref="AF42:AG42"/>
    <mergeCell ref="V43:AA43"/>
    <mergeCell ref="AB43:AE43"/>
    <mergeCell ref="AF43:AG43"/>
    <mergeCell ref="V38:AA38"/>
    <mergeCell ref="AB38:AE38"/>
    <mergeCell ref="AB41:AE41"/>
    <mergeCell ref="AF38:AG38"/>
    <mergeCell ref="V39:AA39"/>
    <mergeCell ref="AM35:AN35"/>
    <mergeCell ref="AM36:AN36"/>
    <mergeCell ref="AM37:AN37"/>
    <mergeCell ref="C64:C65"/>
    <mergeCell ref="Q64:Q65"/>
    <mergeCell ref="D64:E64"/>
    <mergeCell ref="F64:J64"/>
    <mergeCell ref="K64:M64"/>
    <mergeCell ref="O64:P64"/>
    <mergeCell ref="D65:E65"/>
    <mergeCell ref="K65:M65"/>
    <mergeCell ref="O65:P65"/>
    <mergeCell ref="AM64:AN64"/>
    <mergeCell ref="AM65:AN65"/>
    <mergeCell ref="S64:S65"/>
    <mergeCell ref="AL64:AL65"/>
    <mergeCell ref="T64:U64"/>
    <mergeCell ref="V64:AA64"/>
    <mergeCell ref="AB64:AE64"/>
    <mergeCell ref="AF64:AG64"/>
    <mergeCell ref="AB47:AE47"/>
    <mergeCell ref="AF47:AG47"/>
    <mergeCell ref="V48:AA48"/>
    <mergeCell ref="AB48:AE48"/>
    <mergeCell ref="T65:U65"/>
    <mergeCell ref="V65:AA65"/>
    <mergeCell ref="AB65:AE65"/>
    <mergeCell ref="AF65:AG65"/>
    <mergeCell ref="AI64:AJ65"/>
    <mergeCell ref="AM43:AN43"/>
    <mergeCell ref="AV41:AX41"/>
    <mergeCell ref="AV42:AX42"/>
    <mergeCell ref="AV43:AX43"/>
    <mergeCell ref="AF48:AG48"/>
    <mergeCell ref="AI44:AJ48"/>
    <mergeCell ref="AF44:AG44"/>
    <mergeCell ref="V45:AA45"/>
    <mergeCell ref="AB45:AE45"/>
    <mergeCell ref="AF45:AG45"/>
    <mergeCell ref="V46:AA46"/>
    <mergeCell ref="AB46:AE46"/>
    <mergeCell ref="AF46:AG46"/>
    <mergeCell ref="AM47:AN47"/>
    <mergeCell ref="AM48:AN48"/>
    <mergeCell ref="AM44:AN44"/>
    <mergeCell ref="AM45:AN45"/>
    <mergeCell ref="AM46:AN46"/>
    <mergeCell ref="C49:C53"/>
    <mergeCell ref="D49:E49"/>
    <mergeCell ref="F49:J49"/>
    <mergeCell ref="K49:M49"/>
    <mergeCell ref="O49:P49"/>
    <mergeCell ref="Q49:Q53"/>
    <mergeCell ref="D50:E50"/>
    <mergeCell ref="F50:J50"/>
    <mergeCell ref="K50:M50"/>
    <mergeCell ref="O50:P50"/>
    <mergeCell ref="D51:E51"/>
    <mergeCell ref="F51:J51"/>
    <mergeCell ref="K51:M51"/>
    <mergeCell ref="O51:P51"/>
    <mergeCell ref="D52:E52"/>
    <mergeCell ref="F52:J52"/>
    <mergeCell ref="K52:M52"/>
    <mergeCell ref="O52:P52"/>
    <mergeCell ref="D53:E53"/>
    <mergeCell ref="F53:J53"/>
    <mergeCell ref="K53:M53"/>
    <mergeCell ref="O53:P53"/>
    <mergeCell ref="Q54:Q58"/>
    <mergeCell ref="D55:E55"/>
    <mergeCell ref="F55:J55"/>
    <mergeCell ref="K55:M55"/>
    <mergeCell ref="O55:P55"/>
    <mergeCell ref="F56:J56"/>
    <mergeCell ref="K56:M56"/>
    <mergeCell ref="O56:P56"/>
    <mergeCell ref="D57:E57"/>
    <mergeCell ref="F57:J57"/>
    <mergeCell ref="K57:M57"/>
    <mergeCell ref="O57:P57"/>
    <mergeCell ref="D58:E58"/>
    <mergeCell ref="F58:J58"/>
    <mergeCell ref="K58:M58"/>
    <mergeCell ref="O58:P58"/>
    <mergeCell ref="D63:E63"/>
    <mergeCell ref="F63:J63"/>
    <mergeCell ref="K63:M63"/>
    <mergeCell ref="O63:P63"/>
    <mergeCell ref="D56:E56"/>
    <mergeCell ref="C54:C58"/>
    <mergeCell ref="D54:E54"/>
    <mergeCell ref="F54:J54"/>
    <mergeCell ref="K54:M54"/>
    <mergeCell ref="O54:P54"/>
    <mergeCell ref="S49:S53"/>
    <mergeCell ref="T49:U49"/>
    <mergeCell ref="T50:U50"/>
    <mergeCell ref="T51:U51"/>
    <mergeCell ref="T52:U52"/>
    <mergeCell ref="T53:U53"/>
    <mergeCell ref="C59:C63"/>
    <mergeCell ref="D59:E59"/>
    <mergeCell ref="F59:J59"/>
    <mergeCell ref="K59:M59"/>
    <mergeCell ref="O59:P59"/>
    <mergeCell ref="Q59:Q63"/>
    <mergeCell ref="D60:E60"/>
    <mergeCell ref="F60:J60"/>
    <mergeCell ref="K60:M60"/>
    <mergeCell ref="O60:P60"/>
    <mergeCell ref="D61:E61"/>
    <mergeCell ref="F61:J61"/>
    <mergeCell ref="K61:M61"/>
    <mergeCell ref="O61:P61"/>
    <mergeCell ref="D62:E62"/>
    <mergeCell ref="F62:J62"/>
    <mergeCell ref="K62:M62"/>
    <mergeCell ref="O62:P62"/>
    <mergeCell ref="V49:AA49"/>
    <mergeCell ref="AB49:AE49"/>
    <mergeCell ref="AF49:AG49"/>
    <mergeCell ref="AI49:AJ53"/>
    <mergeCell ref="V50:AA50"/>
    <mergeCell ref="AB50:AE50"/>
    <mergeCell ref="AF50:AG50"/>
    <mergeCell ref="V51:AA51"/>
    <mergeCell ref="AB51:AE51"/>
    <mergeCell ref="AF51:AG51"/>
    <mergeCell ref="V52:AA52"/>
    <mergeCell ref="AB52:AE52"/>
    <mergeCell ref="AF52:AG52"/>
    <mergeCell ref="V53:AA53"/>
    <mergeCell ref="AB53:AE53"/>
    <mergeCell ref="AF53:AG53"/>
    <mergeCell ref="S54:S58"/>
    <mergeCell ref="T54:U54"/>
    <mergeCell ref="V54:AA54"/>
    <mergeCell ref="AB54:AE54"/>
    <mergeCell ref="AF54:AG54"/>
    <mergeCell ref="AI54:AJ58"/>
    <mergeCell ref="T55:U55"/>
    <mergeCell ref="V55:AA55"/>
    <mergeCell ref="AB55:AE55"/>
    <mergeCell ref="AF55:AG55"/>
    <mergeCell ref="T56:U56"/>
    <mergeCell ref="V56:AA56"/>
    <mergeCell ref="AB56:AE56"/>
    <mergeCell ref="AF56:AG56"/>
    <mergeCell ref="T57:U57"/>
    <mergeCell ref="V57:AA57"/>
    <mergeCell ref="AB57:AE57"/>
    <mergeCell ref="AF57:AG57"/>
    <mergeCell ref="T58:U58"/>
    <mergeCell ref="V58:AA58"/>
    <mergeCell ref="AB58:AE58"/>
    <mergeCell ref="AF58:AG58"/>
    <mergeCell ref="S59:S63"/>
    <mergeCell ref="T59:U59"/>
    <mergeCell ref="V59:AA59"/>
    <mergeCell ref="AB59:AE59"/>
    <mergeCell ref="AF59:AG59"/>
    <mergeCell ref="AI59:AJ63"/>
    <mergeCell ref="T60:U60"/>
    <mergeCell ref="V60:AA60"/>
    <mergeCell ref="AB60:AE60"/>
    <mergeCell ref="AF60:AG60"/>
    <mergeCell ref="T61:U61"/>
    <mergeCell ref="V61:AA61"/>
    <mergeCell ref="AB61:AE61"/>
    <mergeCell ref="AF61:AG61"/>
    <mergeCell ref="T62:U62"/>
    <mergeCell ref="V62:AA62"/>
    <mergeCell ref="AB62:AE62"/>
    <mergeCell ref="AF62:AG62"/>
    <mergeCell ref="T63:U63"/>
    <mergeCell ref="V63:AA63"/>
    <mergeCell ref="AB63:AE63"/>
    <mergeCell ref="AF63:AG63"/>
    <mergeCell ref="AL49:AL53"/>
    <mergeCell ref="AM49:AN49"/>
    <mergeCell ref="AO49:AU49"/>
    <mergeCell ref="AV49:AX49"/>
    <mergeCell ref="BA49:BB53"/>
    <mergeCell ref="AM50:AN50"/>
    <mergeCell ref="AO50:AU50"/>
    <mergeCell ref="AV50:AX50"/>
    <mergeCell ref="AM51:AN51"/>
    <mergeCell ref="AO51:AU51"/>
    <mergeCell ref="AV51:AX51"/>
    <mergeCell ref="AM52:AN52"/>
    <mergeCell ref="AO52:AU52"/>
    <mergeCell ref="AV52:AX52"/>
    <mergeCell ref="AM53:AN53"/>
    <mergeCell ref="AO53:AU53"/>
    <mergeCell ref="AV53:AX53"/>
    <mergeCell ref="AL54:AL58"/>
    <mergeCell ref="AM54:AN54"/>
    <mergeCell ref="AO54:AU54"/>
    <mergeCell ref="AV54:AX54"/>
    <mergeCell ref="BA54:BB58"/>
    <mergeCell ref="AM55:AN55"/>
    <mergeCell ref="AO55:AU55"/>
    <mergeCell ref="AV55:AX55"/>
    <mergeCell ref="AM56:AN56"/>
    <mergeCell ref="AO56:AU56"/>
    <mergeCell ref="AV56:AX56"/>
    <mergeCell ref="AM57:AN57"/>
    <mergeCell ref="AO57:AU57"/>
    <mergeCell ref="AV57:AX57"/>
    <mergeCell ref="AM58:AN58"/>
    <mergeCell ref="AO58:AU58"/>
    <mergeCell ref="AV58:AX58"/>
    <mergeCell ref="AL59:AL63"/>
    <mergeCell ref="AM59:AN59"/>
    <mergeCell ref="AO59:AU59"/>
    <mergeCell ref="AV59:AX59"/>
    <mergeCell ref="BA59:BB63"/>
    <mergeCell ref="AM60:AN60"/>
    <mergeCell ref="AO60:AU60"/>
    <mergeCell ref="AV60:AX60"/>
    <mergeCell ref="AM61:AN61"/>
    <mergeCell ref="AO61:AU61"/>
    <mergeCell ref="AV61:AX61"/>
    <mergeCell ref="AM62:AN62"/>
    <mergeCell ref="AO62:AU62"/>
    <mergeCell ref="AV62:AX62"/>
    <mergeCell ref="AM63:AN63"/>
    <mergeCell ref="AO63:AU63"/>
    <mergeCell ref="AV63:AX63"/>
  </mergeCells>
  <conditionalFormatting sqref="C5 E5 J5 N5">
    <cfRule type="expression" dxfId="114" priority="444">
      <formula>$N$5&lt;$E$32</formula>
    </cfRule>
  </conditionalFormatting>
  <conditionalFormatting sqref="C6 E6 J6 N6">
    <cfRule type="expression" dxfId="112" priority="448">
      <formula>$N$6&lt;$E$32</formula>
    </cfRule>
  </conditionalFormatting>
  <conditionalFormatting sqref="C7 E7 J7 N7">
    <cfRule type="expression" dxfId="110" priority="452">
      <formula>$N$7&lt;$E$32</formula>
    </cfRule>
  </conditionalFormatting>
  <conditionalFormatting sqref="C8 E8 J8 N8">
    <cfRule type="expression" dxfId="108" priority="456">
      <formula>$N$8&lt;$E$32</formula>
    </cfRule>
  </conditionalFormatting>
  <conditionalFormatting sqref="C9 E9 J9 N9">
    <cfRule type="expression" dxfId="106" priority="460">
      <formula>$N$9&lt;$E$32</formula>
    </cfRule>
  </conditionalFormatting>
  <conditionalFormatting sqref="C10 E10 J10 N10">
    <cfRule type="expression" dxfId="104" priority="468">
      <formula>$N$10&lt;$E$32</formula>
    </cfRule>
  </conditionalFormatting>
  <conditionalFormatting sqref="C11 E11 J11 N11">
    <cfRule type="expression" dxfId="102" priority="464">
      <formula>$N$11&lt;$E$32</formula>
    </cfRule>
  </conditionalFormatting>
  <conditionalFormatting sqref="C15 E15 J15 N15">
    <cfRule type="expression" dxfId="100" priority="472">
      <formula>$N$15&lt;$E$32</formula>
    </cfRule>
  </conditionalFormatting>
  <conditionalFormatting sqref="C16 E16 J16 N16">
    <cfRule type="expression" dxfId="98" priority="476">
      <formula>$N$16&lt;$E$32</formula>
    </cfRule>
  </conditionalFormatting>
  <conditionalFormatting sqref="C17 E17 J17 N17">
    <cfRule type="expression" dxfId="96" priority="480">
      <formula>$N$17&lt;$E$32</formula>
    </cfRule>
  </conditionalFormatting>
  <conditionalFormatting sqref="C18 E18 J18 N18">
    <cfRule type="expression" dxfId="94" priority="484">
      <formula>$N$18&lt;$E$32</formula>
    </cfRule>
  </conditionalFormatting>
  <conditionalFormatting sqref="C19 E19 J19 N19">
    <cfRule type="expression" dxfId="92" priority="488">
      <formula>$N$19&lt;$E$32</formula>
    </cfRule>
  </conditionalFormatting>
  <conditionalFormatting sqref="C23 E23 J23 N23">
    <cfRule type="expression" dxfId="90" priority="492">
      <formula>$N$23&lt;$E$32</formula>
    </cfRule>
  </conditionalFormatting>
  <conditionalFormatting sqref="C24 E24 J24 N24">
    <cfRule type="expression" dxfId="88" priority="496">
      <formula>$N$24&lt;$E$32</formula>
    </cfRule>
  </conditionalFormatting>
  <conditionalFormatting sqref="C25 E25 J25 N25">
    <cfRule type="expression" dxfId="86" priority="500">
      <formula>$N$25&lt;$E$32</formula>
    </cfRule>
  </conditionalFormatting>
  <conditionalFormatting sqref="C26 E26 J26 N26">
    <cfRule type="expression" dxfId="84" priority="504">
      <formula>$N$26&lt;$E$32</formula>
    </cfRule>
  </conditionalFormatting>
  <conditionalFormatting sqref="C27 E27 J27 N27">
    <cfRule type="expression" dxfId="82" priority="508">
      <formula>$N$27&lt;$E$32</formula>
    </cfRule>
  </conditionalFormatting>
  <conditionalFormatting sqref="C28 E28 J28 N28">
    <cfRule type="expression" dxfId="80" priority="512">
      <formula>$N$28&lt;$E$32</formula>
    </cfRule>
  </conditionalFormatting>
  <conditionalFormatting sqref="C29 E29 J29 N29">
    <cfRule type="expression" dxfId="78" priority="516">
      <formula>$N$29&lt;$E$32</formula>
    </cfRule>
  </conditionalFormatting>
  <conditionalFormatting sqref="P5 R5 W5 AA5">
    <cfRule type="expression" dxfId="76" priority="520">
      <formula>$AA$5&lt;$E$32</formula>
    </cfRule>
  </conditionalFormatting>
  <conditionalFormatting sqref="P6 R6 W6 AA6">
    <cfRule type="expression" dxfId="74" priority="528">
      <formula>$AA$6&lt;$E$32</formula>
    </cfRule>
  </conditionalFormatting>
  <conditionalFormatting sqref="P7 R7 W7 AA7">
    <cfRule type="expression" dxfId="72" priority="524">
      <formula>$AA$7&lt;$E$32</formula>
    </cfRule>
  </conditionalFormatting>
  <conditionalFormatting sqref="P8 R8 W8 AA8">
    <cfRule type="expression" dxfId="70" priority="532">
      <formula>$AA$8&lt;$E$32</formula>
    </cfRule>
  </conditionalFormatting>
  <conditionalFormatting sqref="P9 R9 W9 AA9">
    <cfRule type="expression" dxfId="68" priority="536">
      <formula>$AA$9&lt;$E$32</formula>
    </cfRule>
  </conditionalFormatting>
  <conditionalFormatting sqref="P10 R10 W10 AA10">
    <cfRule type="expression" dxfId="66" priority="540">
      <formula>$AA$10&lt;$E$32</formula>
    </cfRule>
  </conditionalFormatting>
  <conditionalFormatting sqref="P11 R11 W11 AA11">
    <cfRule type="expression" dxfId="64" priority="544">
      <formula>$AA$11&lt;$E$32</formula>
    </cfRule>
  </conditionalFormatting>
  <conditionalFormatting sqref="P15 R15 W15 AA15">
    <cfRule type="expression" dxfId="62" priority="548">
      <formula>$AA$15&lt;$E$32</formula>
    </cfRule>
  </conditionalFormatting>
  <conditionalFormatting sqref="P16 R16 W16 AA16">
    <cfRule type="expression" dxfId="60" priority="552">
      <formula>$AA$16&lt;$E$32</formula>
    </cfRule>
  </conditionalFormatting>
  <conditionalFormatting sqref="P17 R17 W17 AA17">
    <cfRule type="expression" dxfId="58" priority="556">
      <formula>$AA$17&lt;$E$32</formula>
    </cfRule>
  </conditionalFormatting>
  <conditionalFormatting sqref="P18 R18 W18 AA18">
    <cfRule type="expression" dxfId="56" priority="560">
      <formula>$AA$18&lt;$E$32</formula>
    </cfRule>
  </conditionalFormatting>
  <conditionalFormatting sqref="P19 R19 W19 AA19">
    <cfRule type="expression" dxfId="54" priority="564">
      <formula>$AA$19&lt;$E$32</formula>
    </cfRule>
  </conditionalFormatting>
  <conditionalFormatting sqref="P23 R23 W23 AA23">
    <cfRule type="expression" dxfId="52" priority="568">
      <formula>$AA$23&lt;$E$32</formula>
    </cfRule>
  </conditionalFormatting>
  <conditionalFormatting sqref="P24 R24 W24 AA24">
    <cfRule type="expression" dxfId="50" priority="576">
      <formula>$AA$24&lt;$E$32</formula>
    </cfRule>
  </conditionalFormatting>
  <conditionalFormatting sqref="P25 R25 W25 AA25">
    <cfRule type="expression" dxfId="48" priority="580">
      <formula>$AA$25&lt;$E$32</formula>
    </cfRule>
  </conditionalFormatting>
  <conditionalFormatting sqref="P26 R26 W26 AA26">
    <cfRule type="expression" dxfId="46" priority="584">
      <formula>$AA$26&lt;$E$32</formula>
    </cfRule>
  </conditionalFormatting>
  <conditionalFormatting sqref="P27 R27 W27 AA27">
    <cfRule type="expression" dxfId="44" priority="572">
      <formula>$AA$27&lt;$E$32</formula>
    </cfRule>
  </conditionalFormatting>
  <conditionalFormatting sqref="P28 R28 W28 AA28">
    <cfRule type="expression" dxfId="42" priority="588">
      <formula>$AA$28&lt;$E$32</formula>
    </cfRule>
  </conditionalFormatting>
  <conditionalFormatting sqref="P29 R29 W29 AA29">
    <cfRule type="expression" dxfId="40" priority="592">
      <formula>$AA$29&lt;$E$32</formula>
    </cfRule>
  </conditionalFormatting>
  <conditionalFormatting sqref="Q34:Q38">
    <cfRule type="expression" dxfId="39" priority="21">
      <formula>$Q$34&gt;40</formula>
    </cfRule>
  </conditionalFormatting>
  <conditionalFormatting sqref="Q39:Q43">
    <cfRule type="expression" dxfId="38" priority="20">
      <formula>$Q$39&gt;40</formula>
    </cfRule>
  </conditionalFormatting>
  <conditionalFormatting sqref="Q44:Q63">
    <cfRule type="expression" dxfId="37" priority="19">
      <formula>$Q$44&gt;40</formula>
    </cfRule>
  </conditionalFormatting>
  <conditionalFormatting sqref="Q64:Q65">
    <cfRule type="expression" dxfId="36" priority="18">
      <formula>$Q$64&gt;40</formula>
    </cfRule>
  </conditionalFormatting>
  <conditionalFormatting sqref="AI34:AJ38">
    <cfRule type="expression" dxfId="16" priority="17">
      <formula>$AI$34&gt;40</formula>
    </cfRule>
  </conditionalFormatting>
  <conditionalFormatting sqref="AI39:AJ43">
    <cfRule type="expression" dxfId="15" priority="16">
      <formula>$AI$39&gt;40</formula>
    </cfRule>
  </conditionalFormatting>
  <conditionalFormatting sqref="AI44:AJ63">
    <cfRule type="expression" dxfId="14" priority="15">
      <formula>$AI$44&gt;40</formula>
    </cfRule>
  </conditionalFormatting>
  <conditionalFormatting sqref="AI64:AJ65">
    <cfRule type="expression" dxfId="13" priority="14">
      <formula>$AI$64&gt;40</formula>
    </cfRule>
  </conditionalFormatting>
  <conditionalFormatting sqref="BA34">
    <cfRule type="expression" dxfId="12" priority="596">
      <formula>$BA$34&gt;40</formula>
    </cfRule>
  </conditionalFormatting>
  <conditionalFormatting sqref="BA39">
    <cfRule type="expression" dxfId="11" priority="595">
      <formula>$BA$39&gt;40</formula>
    </cfRule>
  </conditionalFormatting>
  <conditionalFormatting sqref="BA44">
    <cfRule type="expression" dxfId="10" priority="594">
      <formula>$BA$44&gt;40</formula>
    </cfRule>
  </conditionalFormatting>
  <conditionalFormatting sqref="BA49">
    <cfRule type="expression" dxfId="9" priority="9">
      <formula>$BA$44&gt;40</formula>
    </cfRule>
  </conditionalFormatting>
  <conditionalFormatting sqref="BA54">
    <cfRule type="expression" dxfId="8" priority="8">
      <formula>$BA$44&gt;40</formula>
    </cfRule>
  </conditionalFormatting>
  <conditionalFormatting sqref="BA59">
    <cfRule type="expression" dxfId="7" priority="7">
      <formula>$BA$44&gt;40</formula>
    </cfRule>
  </conditionalFormatting>
  <conditionalFormatting sqref="BA64">
    <cfRule type="expression" dxfId="6" priority="593">
      <formula>$BA$64&gt;40</formula>
    </cfRule>
  </conditionalFormatting>
  <conditionalFormatting sqref="O32:Q32">
    <cfRule type="cellIs" dxfId="5" priority="6" operator="greaterThan">
      <formula>0</formula>
    </cfRule>
    <cfRule type="cellIs" dxfId="4" priority="5" operator="lessThan">
      <formula>0</formula>
    </cfRule>
  </conditionalFormatting>
  <conditionalFormatting sqref="AH32">
    <cfRule type="cellIs" dxfId="3" priority="4" operator="greaterThan">
      <formula>0</formula>
    </cfRule>
    <cfRule type="cellIs" dxfId="2" priority="3" operator="lessThan">
      <formula>0</formula>
    </cfRule>
  </conditionalFormatting>
  <conditionalFormatting sqref="BA32:BB32">
    <cfRule type="cellIs" dxfId="1" priority="2" operator="greaterThan">
      <formula>0</formula>
    </cfRule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9" r:id="rId4" name="Spinner 3">
              <controlPr defaultSize="0" autoPict="0">
                <anchor moveWithCells="1" sizeWithCells="1">
                  <from>
                    <xdr:col>4</xdr:col>
                    <xdr:colOff>466725</xdr:colOff>
                    <xdr:row>31</xdr:row>
                    <xdr:rowOff>19050</xdr:rowOff>
                  </from>
                  <to>
                    <xdr:col>5</xdr:col>
                    <xdr:colOff>200025</xdr:colOff>
                    <xdr:row>31</xdr:row>
                    <xdr:rowOff>257175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0" id="{40FCE48D-67C6-49A8-AB09-AEEF9C42DD90}">
            <xm:f>('Ber. Goed ingevuld'!$E$5="")+('Ber. Goed ingevuld'!$F$5="")</xm:f>
            <x14:dxf>
              <font>
                <b/>
                <i val="0"/>
                <color rgb="FFFFC000"/>
              </font>
            </x14:dxf>
          </x14:cfRule>
          <xm:sqref>C5 E5 J5 N5</xm:sqref>
        </x14:conditionalFormatting>
        <x14:conditionalFormatting xmlns:xm="http://schemas.microsoft.com/office/excel/2006/main">
          <x14:cfRule type="expression" priority="121" id="{E1F9F2A9-6D96-4A1C-A204-B8CEBA8EE322}">
            <xm:f>('Ber. Goed ingevuld'!$E$6="")+('Ber. Goed ingevuld'!$F$6="")</xm:f>
            <x14:dxf>
              <font>
                <b/>
                <i val="0"/>
                <color rgb="FFFFC000"/>
              </font>
            </x14:dxf>
          </x14:cfRule>
          <xm:sqref>C6 E6 J6 N6</xm:sqref>
        </x14:conditionalFormatting>
        <x14:conditionalFormatting xmlns:xm="http://schemas.microsoft.com/office/excel/2006/main">
          <x14:cfRule type="expression" priority="119" id="{F33B0CA0-8A21-4E60-BB29-51631C182C80}">
            <xm:f>('Ber. Goed ingevuld'!$E$7="")+('Ber. Goed ingevuld'!$F$7="")</xm:f>
            <x14:dxf>
              <font>
                <b/>
                <i val="0"/>
                <color rgb="FFFFC000"/>
              </font>
            </x14:dxf>
          </x14:cfRule>
          <xm:sqref>C7 E7 J7 N7</xm:sqref>
        </x14:conditionalFormatting>
        <x14:conditionalFormatting xmlns:xm="http://schemas.microsoft.com/office/excel/2006/main">
          <x14:cfRule type="expression" priority="118" id="{97B70179-44EA-4F04-A4BD-484FCAED9E17}">
            <xm:f>('Ber. Goed ingevuld'!$E$8="")+('Ber. Goed ingevuld'!$F$8="")</xm:f>
            <x14:dxf>
              <font>
                <b/>
                <i val="0"/>
                <color rgb="FFFFC000"/>
              </font>
            </x14:dxf>
          </x14:cfRule>
          <xm:sqref>C8 E8 J8 N8</xm:sqref>
        </x14:conditionalFormatting>
        <x14:conditionalFormatting xmlns:xm="http://schemas.microsoft.com/office/excel/2006/main">
          <x14:cfRule type="expression" priority="116" id="{65EF577A-FE36-4B42-A65D-9BBEBDA5DF99}">
            <xm:f>('Ber. Goed ingevuld'!$E$9="")+('Ber. Goed ingevuld'!$F$9="")</xm:f>
            <x14:dxf>
              <font>
                <b/>
                <i val="0"/>
                <color rgb="FFFFC000"/>
              </font>
            </x14:dxf>
          </x14:cfRule>
          <xm:sqref>C9 E9 J9 N9</xm:sqref>
        </x14:conditionalFormatting>
        <x14:conditionalFormatting xmlns:xm="http://schemas.microsoft.com/office/excel/2006/main">
          <x14:cfRule type="expression" priority="115" id="{905CA697-2097-40FD-B428-419D00C94FB6}">
            <xm:f>('Ber. Goed ingevuld'!$E$10="")+('Ber. Goed ingevuld'!$F$10="")</xm:f>
            <x14:dxf>
              <font>
                <b/>
                <i val="0"/>
                <color rgb="FFFFC000"/>
              </font>
            </x14:dxf>
          </x14:cfRule>
          <xm:sqref>C10 E10 J10 N10</xm:sqref>
        </x14:conditionalFormatting>
        <x14:conditionalFormatting xmlns:xm="http://schemas.microsoft.com/office/excel/2006/main">
          <x14:cfRule type="expression" priority="117" id="{AD50DF42-5420-4808-9AEB-B5660FBA8583}">
            <xm:f>('Ber. Goed ingevuld'!$E$11="")+('Ber. Goed ingevuld'!$F$11="")</xm:f>
            <x14:dxf>
              <font>
                <b/>
                <i val="0"/>
                <color rgb="FFFFC000"/>
              </font>
            </x14:dxf>
          </x14:cfRule>
          <xm:sqref>C11 E11 J11 N11</xm:sqref>
        </x14:conditionalFormatting>
        <x14:conditionalFormatting xmlns:xm="http://schemas.microsoft.com/office/excel/2006/main">
          <x14:cfRule type="expression" priority="114" id="{1B09FC49-4EA9-40CF-85CB-5F626053C543}">
            <xm:f>('Ber. Goed ingevuld'!$E$15="")+('Ber. Goed ingevuld'!$F$15="")</xm:f>
            <x14:dxf>
              <font>
                <b/>
                <i val="0"/>
                <color rgb="FFFFC000"/>
              </font>
            </x14:dxf>
          </x14:cfRule>
          <xm:sqref>C15 E15 J15 N15</xm:sqref>
        </x14:conditionalFormatting>
        <x14:conditionalFormatting xmlns:xm="http://schemas.microsoft.com/office/excel/2006/main">
          <x14:cfRule type="expression" priority="113" id="{DC998037-64BB-45A0-AC7A-F13526071702}">
            <xm:f>('Ber. Goed ingevuld'!$E$16="")+('Ber. Goed ingevuld'!$F$16="")</xm:f>
            <x14:dxf>
              <font>
                <b/>
                <i val="0"/>
                <color rgb="FFFFC000"/>
              </font>
            </x14:dxf>
          </x14:cfRule>
          <xm:sqref>C16 E16 J16 N16</xm:sqref>
        </x14:conditionalFormatting>
        <x14:conditionalFormatting xmlns:xm="http://schemas.microsoft.com/office/excel/2006/main">
          <x14:cfRule type="expression" priority="112" id="{61B1C644-0147-4AC9-AB80-458891D43436}">
            <xm:f>('Ber. Goed ingevuld'!$E$17="")+('Ber. Goed ingevuld'!$F$17="")</xm:f>
            <x14:dxf>
              <font>
                <b/>
                <i val="0"/>
                <color rgb="FFFFC000"/>
              </font>
            </x14:dxf>
          </x14:cfRule>
          <xm:sqref>C17 E17 J17 N17</xm:sqref>
        </x14:conditionalFormatting>
        <x14:conditionalFormatting xmlns:xm="http://schemas.microsoft.com/office/excel/2006/main">
          <x14:cfRule type="expression" priority="111" id="{1F027815-FCB4-44FB-B734-2C6F65CEDB0A}">
            <xm:f>('Ber. Goed ingevuld'!$E$18="")+('Ber. Goed ingevuld'!$F$18="")</xm:f>
            <x14:dxf>
              <font>
                <b/>
                <i val="0"/>
                <color rgb="FFFFC000"/>
              </font>
            </x14:dxf>
          </x14:cfRule>
          <xm:sqref>C18 E18 J18 N18</xm:sqref>
        </x14:conditionalFormatting>
        <x14:conditionalFormatting xmlns:xm="http://schemas.microsoft.com/office/excel/2006/main">
          <x14:cfRule type="expression" priority="110" id="{80C34F27-A80D-4694-ADA7-32599EE789B4}">
            <xm:f>('Ber. Goed ingevuld'!$E$19="")+('Ber. Goed ingevuld'!$F$19="")</xm:f>
            <x14:dxf>
              <font>
                <b/>
                <i val="0"/>
                <color rgb="FFFFC000"/>
              </font>
            </x14:dxf>
          </x14:cfRule>
          <xm:sqref>C19 E19 J19 N19</xm:sqref>
        </x14:conditionalFormatting>
        <x14:conditionalFormatting xmlns:xm="http://schemas.microsoft.com/office/excel/2006/main">
          <x14:cfRule type="expression" priority="109" id="{57054471-3AF3-486A-8E32-7F3E2E621A07}">
            <xm:f>('Ber. Goed ingevuld'!$E$23="")+('Ber. Goed ingevuld'!$F$23="")</xm:f>
            <x14:dxf>
              <font>
                <b/>
                <i val="0"/>
                <color rgb="FFFFC000"/>
              </font>
            </x14:dxf>
          </x14:cfRule>
          <xm:sqref>C23 E23 J23 N23</xm:sqref>
        </x14:conditionalFormatting>
        <x14:conditionalFormatting xmlns:xm="http://schemas.microsoft.com/office/excel/2006/main">
          <x14:cfRule type="expression" priority="67" id="{A0DF457E-3CD7-4BFC-AEC7-AA317F98A017}">
            <xm:f>('Ber. Goed ingevuld'!$E$24="")+('Ber. Goed ingevuld'!$F$24="")</xm:f>
            <x14:dxf>
              <font>
                <b/>
                <i val="0"/>
                <color rgb="FFFFC000"/>
              </font>
            </x14:dxf>
          </x14:cfRule>
          <xm:sqref>C24 E24 J24 N24</xm:sqref>
        </x14:conditionalFormatting>
        <x14:conditionalFormatting xmlns:xm="http://schemas.microsoft.com/office/excel/2006/main">
          <x14:cfRule type="expression" priority="108" id="{BAE0F3D5-65D6-47A4-B601-DCDA474400DF}">
            <xm:f>('Ber. Goed ingevuld'!$E$25="")+('Ber. Goed ingevuld'!$F$25="")</xm:f>
            <x14:dxf>
              <font>
                <b/>
                <i val="0"/>
                <color rgb="FFFFC000"/>
              </font>
            </x14:dxf>
          </x14:cfRule>
          <xm:sqref>C25 E25 J25 N25</xm:sqref>
        </x14:conditionalFormatting>
        <x14:conditionalFormatting xmlns:xm="http://schemas.microsoft.com/office/excel/2006/main">
          <x14:cfRule type="expression" priority="106" id="{397E3909-C117-4776-9477-8EF4A3EA1FD8}">
            <xm:f>('Ber. Goed ingevuld'!$E$26="")+('Ber. Goed ingevuld'!$F$26="")</xm:f>
            <x14:dxf>
              <font>
                <b/>
                <i val="0"/>
                <color rgb="FFFFC000"/>
              </font>
            </x14:dxf>
          </x14:cfRule>
          <xm:sqref>C26 E26 J26 N26</xm:sqref>
        </x14:conditionalFormatting>
        <x14:conditionalFormatting xmlns:xm="http://schemas.microsoft.com/office/excel/2006/main">
          <x14:cfRule type="expression" priority="105" id="{9F78F5F3-D06E-48CD-A6E9-994234542084}">
            <xm:f>('Ber. Goed ingevuld'!$E$27="")+('Ber. Goed ingevuld'!$F$27="")</xm:f>
            <x14:dxf>
              <font>
                <b/>
                <i val="0"/>
                <color rgb="FFFFC000"/>
              </font>
            </x14:dxf>
          </x14:cfRule>
          <xm:sqref>C27 E27 J27 N27</xm:sqref>
        </x14:conditionalFormatting>
        <x14:conditionalFormatting xmlns:xm="http://schemas.microsoft.com/office/excel/2006/main">
          <x14:cfRule type="expression" priority="104" id="{9088C78D-E032-4CFE-9DB1-C63C931A4869}">
            <xm:f>('Ber. Goed ingevuld'!$E$28="")+('Ber. Goed ingevuld'!$F$28="")</xm:f>
            <x14:dxf>
              <font>
                <b/>
                <i val="0"/>
                <color rgb="FFFFC000"/>
              </font>
            </x14:dxf>
          </x14:cfRule>
          <xm:sqref>C28 E28 J28 N28</xm:sqref>
        </x14:conditionalFormatting>
        <x14:conditionalFormatting xmlns:xm="http://schemas.microsoft.com/office/excel/2006/main">
          <x14:cfRule type="expression" priority="103" id="{33CA8F6F-3A82-4166-BA99-C571CDB2109E}">
            <xm:f>('Ber. Goed ingevuld'!$E$29="")+('Ber. Goed ingevuld'!$F$29="")</xm:f>
            <x14:dxf>
              <font>
                <b/>
                <i val="0"/>
                <color rgb="FFFFC000"/>
              </font>
            </x14:dxf>
          </x14:cfRule>
          <xm:sqref>C29 E29 J29 N29</xm:sqref>
        </x14:conditionalFormatting>
        <x14:conditionalFormatting xmlns:xm="http://schemas.microsoft.com/office/excel/2006/main">
          <x14:cfRule type="expression" priority="102" id="{4A9B5AF7-C801-4FAE-86C8-CF0AB2B829D6}">
            <xm:f>('Ber. Goed ingevuld'!$K$5="")+('Ber. Goed ingevuld'!$L$5="")</xm:f>
            <x14:dxf>
              <font>
                <b/>
                <i val="0"/>
                <color rgb="FFFFC000"/>
              </font>
            </x14:dxf>
          </x14:cfRule>
          <xm:sqref>P5 R5 W5 AA5</xm:sqref>
        </x14:conditionalFormatting>
        <x14:conditionalFormatting xmlns:xm="http://schemas.microsoft.com/office/excel/2006/main">
          <x14:cfRule type="expression" priority="100" id="{BD86AD4E-9AE9-4208-94C5-151C6A134B52}">
            <xm:f>('Ber. Goed ingevuld'!$K$6="")+('Ber. Goed ingevuld'!$L$6="")</xm:f>
            <x14:dxf>
              <font>
                <b/>
                <i val="0"/>
                <color rgb="FFFFC000"/>
              </font>
            </x14:dxf>
          </x14:cfRule>
          <xm:sqref>P6 R6 W6 AA6</xm:sqref>
        </x14:conditionalFormatting>
        <x14:conditionalFormatting xmlns:xm="http://schemas.microsoft.com/office/excel/2006/main">
          <x14:cfRule type="expression" priority="101" id="{7ED11961-4460-47C8-B01E-55F8CFBE3844}">
            <xm:f>('Ber. Goed ingevuld'!$K$7="")+('Ber. Goed ingevuld'!$L$7="")</xm:f>
            <x14:dxf>
              <font>
                <b/>
                <i val="0"/>
                <color rgb="FFFFC000"/>
              </font>
            </x14:dxf>
          </x14:cfRule>
          <xm:sqref>P7 R7 W7 AA7</xm:sqref>
        </x14:conditionalFormatting>
        <x14:conditionalFormatting xmlns:xm="http://schemas.microsoft.com/office/excel/2006/main">
          <x14:cfRule type="expression" priority="99" id="{B5EB680D-6AD2-4C55-BC6A-EDA9DDB9B327}">
            <xm:f>('Ber. Goed ingevuld'!$K$8="")+('Ber. Goed ingevuld'!$L$8="")</xm:f>
            <x14:dxf>
              <font>
                <b/>
                <i val="0"/>
                <color rgb="FFFFC000"/>
              </font>
            </x14:dxf>
          </x14:cfRule>
          <xm:sqref>P8 R8 W8 AA8</xm:sqref>
        </x14:conditionalFormatting>
        <x14:conditionalFormatting xmlns:xm="http://schemas.microsoft.com/office/excel/2006/main">
          <x14:cfRule type="expression" priority="98" id="{184BB107-4CE0-4E01-8335-E5A8F5C3D7D3}">
            <xm:f>('Ber. Goed ingevuld'!$K$9="")+('Ber. Goed ingevuld'!$L$9="")</xm:f>
            <x14:dxf>
              <font>
                <b/>
                <i val="0"/>
                <color rgb="FFFFC000"/>
              </font>
            </x14:dxf>
          </x14:cfRule>
          <xm:sqref>P9 R9 W9 AA9</xm:sqref>
        </x14:conditionalFormatting>
        <x14:conditionalFormatting xmlns:xm="http://schemas.microsoft.com/office/excel/2006/main">
          <x14:cfRule type="expression" priority="97" id="{562876AC-22AB-452D-8D50-F15833DDF177}">
            <xm:f>('Ber. Goed ingevuld'!$K$10="")+('Ber. Goed ingevuld'!$L$10="")</xm:f>
            <x14:dxf>
              <font>
                <b/>
                <i val="0"/>
                <color rgb="FFFFC000"/>
              </font>
            </x14:dxf>
          </x14:cfRule>
          <xm:sqref>P10 R10 W10 AA10</xm:sqref>
        </x14:conditionalFormatting>
        <x14:conditionalFormatting xmlns:xm="http://schemas.microsoft.com/office/excel/2006/main">
          <x14:cfRule type="expression" priority="96" id="{B8DC2E95-FEDC-48EF-8715-98A4FE75A16E}">
            <xm:f>('Ber. Goed ingevuld'!$K$11="")+('Ber. Goed ingevuld'!$L$11="")</xm:f>
            <x14:dxf>
              <font>
                <b/>
                <i val="0"/>
                <color rgb="FFFFC000"/>
              </font>
            </x14:dxf>
          </x14:cfRule>
          <xm:sqref>P11 R11 W11 AA11</xm:sqref>
        </x14:conditionalFormatting>
        <x14:conditionalFormatting xmlns:xm="http://schemas.microsoft.com/office/excel/2006/main">
          <x14:cfRule type="expression" priority="95" id="{857C2177-E8D0-409D-B173-078C04E995A4}">
            <xm:f>('Ber. Goed ingevuld'!$K$15="")+('Ber. Goed ingevuld'!$L$15="")</xm:f>
            <x14:dxf>
              <font>
                <b/>
                <i val="0"/>
                <color rgb="FFFFC000"/>
              </font>
            </x14:dxf>
          </x14:cfRule>
          <xm:sqref>P15 R15 W15 AA15</xm:sqref>
        </x14:conditionalFormatting>
        <x14:conditionalFormatting xmlns:xm="http://schemas.microsoft.com/office/excel/2006/main">
          <x14:cfRule type="expression" priority="94" id="{62BD7AB2-C1EF-4099-819A-BE1997164C8B}">
            <xm:f>('Ber. Goed ingevuld'!$K$16="")+('Ber. Goed ingevuld'!$L$16="")</xm:f>
            <x14:dxf>
              <font>
                <b/>
                <i val="0"/>
                <color rgb="FFFFC000"/>
              </font>
            </x14:dxf>
          </x14:cfRule>
          <xm:sqref>P16 R16 W16 AA16</xm:sqref>
        </x14:conditionalFormatting>
        <x14:conditionalFormatting xmlns:xm="http://schemas.microsoft.com/office/excel/2006/main">
          <x14:cfRule type="expression" priority="93" id="{A7F9835B-0CC2-4C31-BF09-F028AA353144}">
            <xm:f>('Ber. Goed ingevuld'!$K$17="")+('Ber. Goed ingevuld'!$L$17="")</xm:f>
            <x14:dxf>
              <font>
                <b/>
                <i val="0"/>
                <color rgb="FFFFC000"/>
              </font>
            </x14:dxf>
          </x14:cfRule>
          <xm:sqref>P17 R17 W17 AA17</xm:sqref>
        </x14:conditionalFormatting>
        <x14:conditionalFormatting xmlns:xm="http://schemas.microsoft.com/office/excel/2006/main">
          <x14:cfRule type="expression" priority="92" id="{6850219B-3C7A-479C-9A1D-E9D7354390BA}">
            <xm:f>('Ber. Goed ingevuld'!$K$18="")+('Ber. Goed ingevuld'!$L$18="")</xm:f>
            <x14:dxf>
              <font>
                <b/>
                <i val="0"/>
                <color rgb="FFFFC000"/>
              </font>
            </x14:dxf>
          </x14:cfRule>
          <xm:sqref>P18 R18 W18 AA18</xm:sqref>
        </x14:conditionalFormatting>
        <x14:conditionalFormatting xmlns:xm="http://schemas.microsoft.com/office/excel/2006/main">
          <x14:cfRule type="expression" priority="91" id="{7ECFEA43-6711-40DD-9502-3C4E7FA1A3EC}">
            <xm:f>('Ber. Goed ingevuld'!$K$19="")+('Ber. Goed ingevuld'!$L$19="")</xm:f>
            <x14:dxf>
              <font>
                <b/>
                <i val="0"/>
                <color rgb="FFFFC000"/>
              </font>
            </x14:dxf>
          </x14:cfRule>
          <xm:sqref>P19 R19 W19 AA19</xm:sqref>
        </x14:conditionalFormatting>
        <x14:conditionalFormatting xmlns:xm="http://schemas.microsoft.com/office/excel/2006/main">
          <x14:cfRule type="expression" priority="90" id="{09BB393F-EED1-48D4-B32D-847FBDD422C5}">
            <xm:f>('Ber. Goed ingevuld'!$K$23="")+('Ber. Goed ingevuld'!$L$23="")</xm:f>
            <x14:dxf>
              <font>
                <b/>
                <i val="0"/>
                <color rgb="FFFFC000"/>
              </font>
            </x14:dxf>
          </x14:cfRule>
          <xm:sqref>P23 R23 W23 AA23</xm:sqref>
        </x14:conditionalFormatting>
        <x14:conditionalFormatting xmlns:xm="http://schemas.microsoft.com/office/excel/2006/main">
          <x14:cfRule type="expression" priority="88" id="{F61B831E-DD50-47D0-9816-E4DC08178F0B}">
            <xm:f>('Ber. Goed ingevuld'!$K$24="")+('Ber. Goed ingevuld'!$L$24="")</xm:f>
            <x14:dxf>
              <font>
                <b/>
                <i val="0"/>
                <color rgb="FFFFC000"/>
              </font>
            </x14:dxf>
          </x14:cfRule>
          <xm:sqref>P24 R24 W24 AA24</xm:sqref>
        </x14:conditionalFormatting>
        <x14:conditionalFormatting xmlns:xm="http://schemas.microsoft.com/office/excel/2006/main">
          <x14:cfRule type="expression" priority="87" id="{DA30711B-BFD0-4DA7-A082-C35FC4B0E26E}">
            <xm:f>('Ber. Goed ingevuld'!$K$25="")+('Ber. Goed ingevuld'!$L$25="")</xm:f>
            <x14:dxf>
              <font>
                <b/>
                <i val="0"/>
                <color rgb="FFFFC000"/>
              </font>
            </x14:dxf>
          </x14:cfRule>
          <xm:sqref>P25 R25 W25 AA25</xm:sqref>
        </x14:conditionalFormatting>
        <x14:conditionalFormatting xmlns:xm="http://schemas.microsoft.com/office/excel/2006/main">
          <x14:cfRule type="expression" priority="86" id="{482E16F7-B607-4E59-8AE6-17DBD207FA9C}">
            <xm:f>('Ber. Goed ingevuld'!$K$26="")+('Ber. Goed ingevuld'!$L$26="")</xm:f>
            <x14:dxf>
              <font>
                <b/>
                <i val="0"/>
                <color rgb="FFFFC000"/>
              </font>
            </x14:dxf>
          </x14:cfRule>
          <xm:sqref>P26 R26 W26 AA26</xm:sqref>
        </x14:conditionalFormatting>
        <x14:conditionalFormatting xmlns:xm="http://schemas.microsoft.com/office/excel/2006/main">
          <x14:cfRule type="expression" priority="89" id="{4EFBBAC5-106C-4D0A-9AEF-1BCB0F1E9C48}">
            <xm:f>('Ber. Goed ingevuld'!$K$27="")+('Ber. Goed ingevuld'!$L$27="")</xm:f>
            <x14:dxf>
              <font>
                <b/>
                <i val="0"/>
                <color rgb="FFFFC000"/>
              </font>
            </x14:dxf>
          </x14:cfRule>
          <xm:sqref>P27 R27 W27 AA27</xm:sqref>
        </x14:conditionalFormatting>
        <x14:conditionalFormatting xmlns:xm="http://schemas.microsoft.com/office/excel/2006/main">
          <x14:cfRule type="expression" priority="85" id="{8E2118B8-FC73-4B74-965E-5D24C27A68EA}">
            <xm:f>('Ber. Goed ingevuld'!$K$28="")+('Ber. Goed ingevuld'!$L$28="")</xm:f>
            <x14:dxf>
              <font>
                <b/>
                <i val="0"/>
                <color rgb="FFFFC000"/>
              </font>
            </x14:dxf>
          </x14:cfRule>
          <xm:sqref>P28 R28 W28 AA28</xm:sqref>
        </x14:conditionalFormatting>
        <x14:conditionalFormatting xmlns:xm="http://schemas.microsoft.com/office/excel/2006/main">
          <x14:cfRule type="expression" priority="84" id="{C7E29F5F-5858-4AAA-9649-7EA99C72E2A7}">
            <xm:f>('Ber. Goed ingevuld'!$K$29="")+('Ber. Goed ingevuld'!$L$29="")</xm:f>
            <x14:dxf>
              <font>
                <b/>
                <i val="0"/>
                <color rgb="FFFFC000"/>
              </font>
            </x14:dxf>
          </x14:cfRule>
          <xm:sqref>P29 R29 W29 AA29</xm:sqref>
        </x14:conditionalFormatting>
        <x14:conditionalFormatting xmlns:xm="http://schemas.microsoft.com/office/excel/2006/main">
          <x14:cfRule type="expression" priority="41" id="{75FF0BAF-3E0F-445C-809A-00A20A40688A}">
            <xm:f>('Ber. Goed ingevuld'!$Q$5="")+('Ber. Goed ingevuld'!$R$5="")</xm:f>
            <x14:dxf>
              <font>
                <b/>
                <i val="0"/>
                <color rgb="FFFFC000"/>
              </font>
            </x14:dxf>
          </x14:cfRule>
          <xm:sqref>AC5 AE5 AJ5 AN5</xm:sqref>
        </x14:conditionalFormatting>
        <x14:conditionalFormatting xmlns:xm="http://schemas.microsoft.com/office/excel/2006/main">
          <x14:cfRule type="expression" priority="40" id="{4426153C-300A-4B3C-AB5D-B4F2D37679E2}">
            <xm:f>('Ber. Goed ingevuld'!$Q$6="")+('Ber. Goed ingevuld'!$R$6="")</xm:f>
            <x14:dxf>
              <font>
                <b/>
                <i val="0"/>
                <color rgb="FFFFC000"/>
              </font>
            </x14:dxf>
          </x14:cfRule>
          <xm:sqref>AC6 AE6 AJ6 AN6</xm:sqref>
        </x14:conditionalFormatting>
        <x14:conditionalFormatting xmlns:xm="http://schemas.microsoft.com/office/excel/2006/main">
          <x14:cfRule type="expression" priority="39" id="{CE974D96-9F5F-4A60-AEDA-BA882BF81775}">
            <xm:f>('Ber. Goed ingevuld'!$Q$7="")+('Ber. Goed ingevuld'!$R$7="")</xm:f>
            <x14:dxf>
              <font>
                <b/>
                <i val="0"/>
                <color rgb="FFFFC000"/>
              </font>
            </x14:dxf>
          </x14:cfRule>
          <xm:sqref>AC7 AE7 AJ7 AN7</xm:sqref>
        </x14:conditionalFormatting>
        <x14:conditionalFormatting xmlns:xm="http://schemas.microsoft.com/office/excel/2006/main">
          <x14:cfRule type="expression" priority="38" id="{9D6289C5-8594-4384-AAA8-234AF088D594}">
            <xm:f>('Ber. Goed ingevuld'!$Q$8="")+('Ber. Goed ingevuld'!$R$8="")</xm:f>
            <x14:dxf>
              <font>
                <b/>
                <i val="0"/>
                <color rgb="FFFFC000"/>
              </font>
            </x14:dxf>
          </x14:cfRule>
          <xm:sqref>AC8 AE8 AJ8 AN8</xm:sqref>
        </x14:conditionalFormatting>
        <x14:conditionalFormatting xmlns:xm="http://schemas.microsoft.com/office/excel/2006/main">
          <x14:cfRule type="expression" priority="37" id="{7A83B960-F98C-4985-89C9-494D9CB28A39}">
            <xm:f>('Ber. Goed ingevuld'!$Q$9="")+('Ber. Goed ingevuld'!$R$9="")</xm:f>
            <x14:dxf>
              <font>
                <b/>
                <i val="0"/>
                <color rgb="FFFFC000"/>
              </font>
            </x14:dxf>
          </x14:cfRule>
          <xm:sqref>AC9 AE9 AJ9 AN9</xm:sqref>
        </x14:conditionalFormatting>
        <x14:conditionalFormatting xmlns:xm="http://schemas.microsoft.com/office/excel/2006/main">
          <x14:cfRule type="expression" priority="36" id="{681815C5-1D32-4EBB-BE82-644738A876BE}">
            <xm:f>('Ber. Goed ingevuld'!$Q$10="")+('Ber. Goed ingevuld'!$R$10="")</xm:f>
            <x14:dxf>
              <font>
                <b/>
                <i val="0"/>
                <color rgb="FFFFC000"/>
              </font>
            </x14:dxf>
          </x14:cfRule>
          <xm:sqref>AC10 AE10 AJ10 AN10</xm:sqref>
        </x14:conditionalFormatting>
        <x14:conditionalFormatting xmlns:xm="http://schemas.microsoft.com/office/excel/2006/main">
          <x14:cfRule type="expression" priority="35" id="{8ECE1BD4-59F1-492E-9183-B7B6A664E7E6}">
            <xm:f>('Ber. Goed ingevuld'!$Q$11="")+('Ber. Goed ingevuld'!$R$11="")</xm:f>
            <x14:dxf>
              <font>
                <b/>
                <i val="0"/>
                <color rgb="FFFFC000"/>
              </font>
            </x14:dxf>
          </x14:cfRule>
          <xm:sqref>AC11 AE11 AJ11 AN11</xm:sqref>
        </x14:conditionalFormatting>
        <x14:conditionalFormatting xmlns:xm="http://schemas.microsoft.com/office/excel/2006/main">
          <x14:cfRule type="expression" priority="34" id="{906AF2C5-596C-4581-8789-17F3F270492D}">
            <xm:f>('Ber. Goed ingevuld'!$Q$15="")+('Ber. Goed ingevuld'!$R$15="")</xm:f>
            <x14:dxf>
              <font>
                <b/>
                <i val="0"/>
                <color rgb="FFFFC000"/>
              </font>
            </x14:dxf>
          </x14:cfRule>
          <xm:sqref>AC15 AE15 AJ15 AN15</xm:sqref>
        </x14:conditionalFormatting>
        <x14:conditionalFormatting xmlns:xm="http://schemas.microsoft.com/office/excel/2006/main">
          <x14:cfRule type="expression" priority="33" id="{33793550-8AB5-48AC-910B-669759B7AD13}">
            <xm:f>('Ber. Goed ingevuld'!$Q$16="")+('Ber. Goed ingevuld'!$R$16="")</xm:f>
            <x14:dxf>
              <font>
                <b/>
                <i val="0"/>
                <color rgb="FFFFC000"/>
              </font>
            </x14:dxf>
          </x14:cfRule>
          <xm:sqref>AC16 AE16 AJ16 AN16</xm:sqref>
        </x14:conditionalFormatting>
        <x14:conditionalFormatting xmlns:xm="http://schemas.microsoft.com/office/excel/2006/main">
          <x14:cfRule type="expression" priority="32" id="{F243DE17-86F2-48F1-BF57-859F6611722B}">
            <xm:f>('Ber. Goed ingevuld'!$Q$17="")+('Ber. Goed ingevuld'!$R$17="")</xm:f>
            <x14:dxf>
              <font>
                <b/>
                <i val="0"/>
                <color rgb="FFFFC000"/>
              </font>
            </x14:dxf>
          </x14:cfRule>
          <xm:sqref>AC17 AE17 AJ17 AN17</xm:sqref>
        </x14:conditionalFormatting>
        <x14:conditionalFormatting xmlns:xm="http://schemas.microsoft.com/office/excel/2006/main">
          <x14:cfRule type="expression" priority="31" id="{A879B2FC-5D27-4542-A6FF-B76D8EAC9022}">
            <xm:f>('Ber. Goed ingevuld'!$Q$18="")+('Ber. Goed ingevuld'!$R$18="")</xm:f>
            <x14:dxf>
              <font>
                <b/>
                <i val="0"/>
                <color rgb="FFFFC000"/>
              </font>
            </x14:dxf>
          </x14:cfRule>
          <xm:sqref>AC18 AE18 AJ18 AN18</xm:sqref>
        </x14:conditionalFormatting>
        <x14:conditionalFormatting xmlns:xm="http://schemas.microsoft.com/office/excel/2006/main">
          <x14:cfRule type="expression" priority="30" id="{2023FABA-3FC5-40BD-9BC0-2D1F31FD39A0}">
            <xm:f>('Ber. Goed ingevuld'!$Q$19="")+('Ber. Goed ingevuld'!$R$19="")</xm:f>
            <x14:dxf>
              <font>
                <b/>
                <i val="0"/>
                <color rgb="FFFFC000"/>
              </font>
            </x14:dxf>
          </x14:cfRule>
          <xm:sqref>AC19 AE19 AJ19 AN19</xm:sqref>
        </x14:conditionalFormatting>
        <x14:conditionalFormatting xmlns:xm="http://schemas.microsoft.com/office/excel/2006/main">
          <x14:cfRule type="expression" priority="29" id="{18251F6F-AB43-44AF-B884-B52A37CD0ADF}">
            <xm:f>('Ber. Goed ingevuld'!$Q$23="")+('Ber. Goed ingevuld'!$R$23="")</xm:f>
            <x14:dxf>
              <font>
                <b/>
                <i val="0"/>
                <color rgb="FFFFC000"/>
              </font>
            </x14:dxf>
          </x14:cfRule>
          <xm:sqref>AC23 AE23 AJ23 AN23</xm:sqref>
        </x14:conditionalFormatting>
        <x14:conditionalFormatting xmlns:xm="http://schemas.microsoft.com/office/excel/2006/main">
          <x14:cfRule type="expression" priority="28" id="{3F644765-F11D-416A-A57E-AEB955D7C5FB}">
            <xm:f>('Ber. Goed ingevuld'!$Q$24="")+('Ber. Goed ingevuld'!$R$24="")</xm:f>
            <x14:dxf>
              <font>
                <b/>
                <i val="0"/>
                <color rgb="FFFFC000"/>
              </font>
            </x14:dxf>
          </x14:cfRule>
          <xm:sqref>AC24 AE24 AJ24 AN24</xm:sqref>
        </x14:conditionalFormatting>
        <x14:conditionalFormatting xmlns:xm="http://schemas.microsoft.com/office/excel/2006/main">
          <x14:cfRule type="expression" priority="27" id="{99637E41-EF61-40BE-BB68-2865E1B33807}">
            <xm:f>('Ber. Goed ingevuld'!$Q$25="")+('Ber. Goed ingevuld'!$R$25="")</xm:f>
            <x14:dxf>
              <font>
                <b/>
                <i val="0"/>
                <color rgb="FFFFC000"/>
              </font>
            </x14:dxf>
          </x14:cfRule>
          <xm:sqref>AC25 AE25 AJ25 AN25</xm:sqref>
        </x14:conditionalFormatting>
        <x14:conditionalFormatting xmlns:xm="http://schemas.microsoft.com/office/excel/2006/main">
          <x14:cfRule type="expression" priority="26" id="{F264A6F6-F8B4-4CF5-A8AD-763FFE7D1EDD}">
            <xm:f>('Ber. Goed ingevuld'!$Q$26="")+('Ber. Goed ingevuld'!$R$26="")</xm:f>
            <x14:dxf>
              <font>
                <b/>
                <i val="0"/>
                <color rgb="FFFFC000"/>
              </font>
            </x14:dxf>
          </x14:cfRule>
          <xm:sqref>AC26 AE26 AJ26 AN26</xm:sqref>
        </x14:conditionalFormatting>
        <x14:conditionalFormatting xmlns:xm="http://schemas.microsoft.com/office/excel/2006/main">
          <x14:cfRule type="expression" priority="25" id="{903AFE6C-7110-4677-8C31-3BC0356BB761}">
            <xm:f>('Ber. Goed ingevuld'!$Q$27="")+('Ber. Goed ingevuld'!$R$27="")</xm:f>
            <x14:dxf>
              <font>
                <b/>
                <i val="0"/>
                <color rgb="FFFFC000"/>
              </font>
            </x14:dxf>
          </x14:cfRule>
          <xm:sqref>AC27 AE27 AJ27 AN27</xm:sqref>
        </x14:conditionalFormatting>
        <x14:conditionalFormatting xmlns:xm="http://schemas.microsoft.com/office/excel/2006/main">
          <x14:cfRule type="expression" priority="24" id="{D30E4832-6B93-459C-B6E5-0FBC2D2CF606}">
            <xm:f>('Ber. Goed ingevuld'!$Q$28="")+('Ber. Goed ingevuld'!$R$28="")</xm:f>
            <x14:dxf>
              <font>
                <b/>
                <i val="0"/>
                <color rgb="FFFFC000"/>
              </font>
            </x14:dxf>
          </x14:cfRule>
          <xm:sqref>AC28 AE28 AJ28 AN28</xm:sqref>
        </x14:conditionalFormatting>
        <x14:conditionalFormatting xmlns:xm="http://schemas.microsoft.com/office/excel/2006/main">
          <x14:cfRule type="expression" priority="23" id="{B084302C-4C50-4601-B7AF-975B4BDC1B91}">
            <xm:f>('Ber. Goed ingevuld'!$Q$29="")+('Ber. Goed ingevuld'!$R$29="")</xm:f>
            <x14:dxf>
              <font>
                <b/>
                <i val="0"/>
                <color rgb="FFFFC000"/>
              </font>
            </x14:dxf>
          </x14:cfRule>
          <xm:sqref>AC29 AE29 AJ29 AN29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34A45-FAFB-422E-A041-3340C97D9A42}">
  <dimension ref="A1:AH49"/>
  <sheetViews>
    <sheetView workbookViewId="0">
      <selection activeCell="P14" sqref="P14"/>
    </sheetView>
  </sheetViews>
  <sheetFormatPr defaultRowHeight="15" x14ac:dyDescent="0.25"/>
  <cols>
    <col min="1" max="1" width="2.140625" customWidth="1"/>
    <col min="2" max="2" width="1.42578125" customWidth="1"/>
    <col min="3" max="3" width="9" customWidth="1"/>
    <col min="4" max="4" width="6.5703125" customWidth="1"/>
    <col min="5" max="5" width="9" customWidth="1"/>
    <col min="6" max="6" width="6.5703125" customWidth="1"/>
    <col min="7" max="7" width="9" customWidth="1"/>
    <col min="8" max="8" width="6.5703125" customWidth="1"/>
    <col min="9" max="9" width="9" customWidth="1"/>
    <col min="10" max="10" width="6.5703125" customWidth="1"/>
    <col min="11" max="11" width="1.42578125" customWidth="1"/>
  </cols>
  <sheetData>
    <row r="1" spans="1:34" ht="15.75" thickBot="1" x14ac:dyDescent="0.3">
      <c r="A1" s="65"/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</row>
    <row r="2" spans="1:34" ht="15.75" thickBot="1" x14ac:dyDescent="0.3">
      <c r="A2" s="65"/>
      <c r="B2" s="212" t="s">
        <v>48</v>
      </c>
      <c r="C2" s="213"/>
      <c r="D2" s="213"/>
      <c r="E2" s="48"/>
      <c r="F2" s="48"/>
      <c r="G2" s="48"/>
      <c r="H2" s="48"/>
      <c r="I2" s="48"/>
      <c r="J2" s="48"/>
      <c r="K2" s="5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</row>
    <row r="3" spans="1:34" ht="15.75" thickBot="1" x14ac:dyDescent="0.3">
      <c r="A3" s="65"/>
      <c r="B3" s="50"/>
      <c r="C3" s="281" t="s">
        <v>49</v>
      </c>
      <c r="D3" s="282"/>
      <c r="E3" s="282"/>
      <c r="F3" s="282"/>
      <c r="G3" s="282"/>
      <c r="H3" s="282"/>
      <c r="I3" s="282"/>
      <c r="J3" s="283"/>
      <c r="K3" s="49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</row>
    <row r="4" spans="1:34" ht="15.75" thickBot="1" x14ac:dyDescent="0.3">
      <c r="A4" s="65"/>
      <c r="B4" s="50"/>
      <c r="C4" s="284" t="s">
        <v>50</v>
      </c>
      <c r="D4" s="285"/>
      <c r="E4" s="286" t="s">
        <v>35</v>
      </c>
      <c r="F4" s="287"/>
      <c r="G4" s="285"/>
      <c r="H4" s="286" t="s">
        <v>36</v>
      </c>
      <c r="I4" s="285"/>
      <c r="J4" s="12" t="s">
        <v>37</v>
      </c>
      <c r="K4" s="49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</row>
    <row r="5" spans="1:34" x14ac:dyDescent="0.25">
      <c r="A5" s="65"/>
      <c r="B5" s="50"/>
      <c r="C5" s="288" t="str">
        <f>IFERROR(IF('Ber. Uitbesteed'!B4=0,"",'Ber. Uitbesteed'!B4),"")</f>
        <v/>
      </c>
      <c r="D5" s="289"/>
      <c r="E5" s="290" t="str">
        <f>IF('Ber. Uitbesteed'!C4=0,"",'Ber. Uitbesteed'!C4)</f>
        <v/>
      </c>
      <c r="F5" s="291"/>
      <c r="G5" s="289"/>
      <c r="H5" s="290" t="str">
        <f>IF('Ber. Uitbesteed'!D4=0,"",'Ber. Uitbesteed'!D4)</f>
        <v/>
      </c>
      <c r="I5" s="289"/>
      <c r="J5" s="16" t="str">
        <f>IF('Ber. Uitbesteed'!E4=0,"",'Ber. Uitbesteed'!E4)</f>
        <v/>
      </c>
      <c r="K5" s="49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</row>
    <row r="6" spans="1:34" x14ac:dyDescent="0.25">
      <c r="A6" s="65"/>
      <c r="B6" s="50"/>
      <c r="C6" s="292" t="str">
        <f>IFERROR(IF('Ber. Uitbesteed'!B5=0,"",'Ber. Uitbesteed'!B5),"")</f>
        <v/>
      </c>
      <c r="D6" s="293"/>
      <c r="E6" s="294" t="str">
        <f>IF('Ber. Uitbesteed'!C5=0,"",'Ber. Uitbesteed'!C5)</f>
        <v/>
      </c>
      <c r="F6" s="295"/>
      <c r="G6" s="293"/>
      <c r="H6" s="294" t="str">
        <f>IF('Ber. Uitbesteed'!D5=0,"",'Ber. Uitbesteed'!D5)</f>
        <v/>
      </c>
      <c r="I6" s="293"/>
      <c r="J6" s="14" t="str">
        <f>IF('Ber. Uitbesteed'!E5=0,"",'Ber. Uitbesteed'!E5)</f>
        <v/>
      </c>
      <c r="K6" s="49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</row>
    <row r="7" spans="1:34" x14ac:dyDescent="0.25">
      <c r="A7" s="65"/>
      <c r="B7" s="50"/>
      <c r="C7" s="292" t="str">
        <f>IFERROR(IF('Ber. Uitbesteed'!B6=0,"",'Ber. Uitbesteed'!B6),"")</f>
        <v/>
      </c>
      <c r="D7" s="293"/>
      <c r="E7" s="294" t="str">
        <f>IF('Ber. Uitbesteed'!C6=0,"",'Ber. Uitbesteed'!C6)</f>
        <v/>
      </c>
      <c r="F7" s="295"/>
      <c r="G7" s="293"/>
      <c r="H7" s="294" t="str">
        <f>IF('Ber. Uitbesteed'!D6=0,"",'Ber. Uitbesteed'!D6)</f>
        <v/>
      </c>
      <c r="I7" s="293"/>
      <c r="J7" s="14" t="str">
        <f>IF('Ber. Uitbesteed'!E6=0,"",'Ber. Uitbesteed'!E6)</f>
        <v/>
      </c>
      <c r="K7" s="49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</row>
    <row r="8" spans="1:34" x14ac:dyDescent="0.25">
      <c r="A8" s="65"/>
      <c r="B8" s="50"/>
      <c r="C8" s="292" t="str">
        <f>IFERROR(IF('Ber. Uitbesteed'!B7=0,"",'Ber. Uitbesteed'!B7),"")</f>
        <v/>
      </c>
      <c r="D8" s="293"/>
      <c r="E8" s="294" t="str">
        <f>IF('Ber. Uitbesteed'!C7=0,"",'Ber. Uitbesteed'!C7)</f>
        <v/>
      </c>
      <c r="F8" s="295"/>
      <c r="G8" s="293"/>
      <c r="H8" s="294" t="str">
        <f>IF('Ber. Uitbesteed'!D7=0,"",'Ber. Uitbesteed'!D7)</f>
        <v/>
      </c>
      <c r="I8" s="293"/>
      <c r="J8" s="14" t="str">
        <f>IF('Ber. Uitbesteed'!E7=0,"",'Ber. Uitbesteed'!E7)</f>
        <v/>
      </c>
      <c r="K8" s="49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</row>
    <row r="9" spans="1:34" x14ac:dyDescent="0.25">
      <c r="A9" s="65"/>
      <c r="B9" s="50"/>
      <c r="C9" s="292" t="str">
        <f>IFERROR(IF('Ber. Uitbesteed'!B8=0,"",'Ber. Uitbesteed'!B8),"")</f>
        <v/>
      </c>
      <c r="D9" s="293"/>
      <c r="E9" s="294" t="str">
        <f>IF('Ber. Uitbesteed'!C8=0,"",'Ber. Uitbesteed'!C8)</f>
        <v/>
      </c>
      <c r="F9" s="295"/>
      <c r="G9" s="293"/>
      <c r="H9" s="294" t="str">
        <f>IF('Ber. Uitbesteed'!D8=0,"",'Ber. Uitbesteed'!D8)</f>
        <v/>
      </c>
      <c r="I9" s="293"/>
      <c r="J9" s="14" t="str">
        <f>IF('Ber. Uitbesteed'!E8=0,"",'Ber. Uitbesteed'!E8)</f>
        <v/>
      </c>
      <c r="K9" s="49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</row>
    <row r="10" spans="1:34" x14ac:dyDescent="0.25">
      <c r="A10" s="65"/>
      <c r="B10" s="50"/>
      <c r="C10" s="292" t="str">
        <f>IFERROR(IF('Ber. Uitbesteed'!B9=0,"",'Ber. Uitbesteed'!B9),"")</f>
        <v/>
      </c>
      <c r="D10" s="293"/>
      <c r="E10" s="294" t="str">
        <f>IF('Ber. Uitbesteed'!C9=0,"",'Ber. Uitbesteed'!C9)</f>
        <v/>
      </c>
      <c r="F10" s="295"/>
      <c r="G10" s="293"/>
      <c r="H10" s="294" t="str">
        <f>IF('Ber. Uitbesteed'!D9=0,"",'Ber. Uitbesteed'!D9)</f>
        <v/>
      </c>
      <c r="I10" s="293"/>
      <c r="J10" s="15" t="str">
        <f>IF('Ber. Uitbesteed'!E9=0,"",'Ber. Uitbesteed'!E9)</f>
        <v/>
      </c>
      <c r="K10" s="49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</row>
    <row r="11" spans="1:34" x14ac:dyDescent="0.25">
      <c r="A11" s="65"/>
      <c r="B11" s="50"/>
      <c r="C11" s="296" t="str">
        <f>IFERROR(IF('Ber. Uitbesteed'!B10=0,"",'Ber. Uitbesteed'!B10),"")</f>
        <v/>
      </c>
      <c r="D11" s="297"/>
      <c r="E11" s="298" t="str">
        <f>IF('Ber. Uitbesteed'!C10=0,"",'Ber. Uitbesteed'!C10)</f>
        <v/>
      </c>
      <c r="F11" s="299"/>
      <c r="G11" s="297"/>
      <c r="H11" s="298" t="str">
        <f>IF('Ber. Uitbesteed'!D10=0,"",'Ber. Uitbesteed'!D10)</f>
        <v/>
      </c>
      <c r="I11" s="297"/>
      <c r="J11" s="54" t="str">
        <f>IF('Ber. Uitbesteed'!E10=0,"",'Ber. Uitbesteed'!E10)</f>
        <v/>
      </c>
      <c r="K11" s="49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</row>
    <row r="12" spans="1:34" x14ac:dyDescent="0.25">
      <c r="A12" s="65"/>
      <c r="B12" s="50"/>
      <c r="C12" s="301" t="str">
        <f>IFERROR(IF('Ber. Uitbesteed'!B11=0,"",'Ber. Uitbesteed'!B11),"")</f>
        <v/>
      </c>
      <c r="D12" s="300"/>
      <c r="E12" s="300" t="str">
        <f>IF('Ber. Uitbesteed'!C11=0,"",'Ber. Uitbesteed'!C11)</f>
        <v/>
      </c>
      <c r="F12" s="300"/>
      <c r="G12" s="300"/>
      <c r="H12" s="300" t="str">
        <f>IF('Ber. Uitbesteed'!D11=0,"",'Ber. Uitbesteed'!D11)</f>
        <v/>
      </c>
      <c r="I12" s="300"/>
      <c r="J12" s="22" t="str">
        <f>IF('Ber. Uitbesteed'!E11=0,"",'Ber. Uitbesteed'!E11)</f>
        <v/>
      </c>
      <c r="K12" s="49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</row>
    <row r="13" spans="1:34" x14ac:dyDescent="0.25">
      <c r="A13" s="65"/>
      <c r="B13" s="50"/>
      <c r="C13" s="301" t="str">
        <f>IFERROR(IF('Ber. Uitbesteed'!B12=0,"",'Ber. Uitbesteed'!B12),"")</f>
        <v/>
      </c>
      <c r="D13" s="300"/>
      <c r="E13" s="300" t="str">
        <f>IF('Ber. Uitbesteed'!C12=0,"",'Ber. Uitbesteed'!C12)</f>
        <v/>
      </c>
      <c r="F13" s="300"/>
      <c r="G13" s="300"/>
      <c r="H13" s="300" t="str">
        <f>IF('Ber. Uitbesteed'!D12=0,"",'Ber. Uitbesteed'!D12)</f>
        <v/>
      </c>
      <c r="I13" s="300"/>
      <c r="J13" s="22" t="str">
        <f>IF('Ber. Uitbesteed'!E12=0,"",'Ber. Uitbesteed'!E12)</f>
        <v/>
      </c>
      <c r="K13" s="49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</row>
    <row r="14" spans="1:34" x14ac:dyDescent="0.25">
      <c r="A14" s="65"/>
      <c r="B14" s="50"/>
      <c r="C14" s="301" t="str">
        <f>IFERROR(IF('Ber. Uitbesteed'!B13=0,"",'Ber. Uitbesteed'!B13),"")</f>
        <v/>
      </c>
      <c r="D14" s="300"/>
      <c r="E14" s="300" t="str">
        <f>IF('Ber. Uitbesteed'!C13=0,"",'Ber. Uitbesteed'!C13)</f>
        <v/>
      </c>
      <c r="F14" s="300"/>
      <c r="G14" s="300"/>
      <c r="H14" s="300" t="str">
        <f>IF('Ber. Uitbesteed'!D13=0,"",'Ber. Uitbesteed'!D13)</f>
        <v/>
      </c>
      <c r="I14" s="300"/>
      <c r="J14" s="22" t="str">
        <f>IF('Ber. Uitbesteed'!E13=0,"",'Ber. Uitbesteed'!E13)</f>
        <v/>
      </c>
      <c r="K14" s="49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</row>
    <row r="15" spans="1:34" x14ac:dyDescent="0.25">
      <c r="A15" s="65"/>
      <c r="B15" s="50"/>
      <c r="C15" s="301" t="str">
        <f>IFERROR(IF('Ber. Uitbesteed'!B14=0,"",'Ber. Uitbesteed'!B14),"")</f>
        <v/>
      </c>
      <c r="D15" s="300"/>
      <c r="E15" s="300" t="str">
        <f>IF('Ber. Uitbesteed'!C14=0,"",'Ber. Uitbesteed'!C14)</f>
        <v/>
      </c>
      <c r="F15" s="300"/>
      <c r="G15" s="300"/>
      <c r="H15" s="300" t="str">
        <f>IF('Ber. Uitbesteed'!D14=0,"",'Ber. Uitbesteed'!D14)</f>
        <v/>
      </c>
      <c r="I15" s="300"/>
      <c r="J15" s="22" t="str">
        <f>IF('Ber. Uitbesteed'!E14=0,"",'Ber. Uitbesteed'!E14)</f>
        <v/>
      </c>
      <c r="K15" s="49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</row>
    <row r="16" spans="1:34" x14ac:dyDescent="0.25">
      <c r="A16" s="65"/>
      <c r="B16" s="50"/>
      <c r="C16" s="301" t="str">
        <f>IFERROR(IF('Ber. Uitbesteed'!B15=0,"",'Ber. Uitbesteed'!B15),"")</f>
        <v/>
      </c>
      <c r="D16" s="300"/>
      <c r="E16" s="300" t="str">
        <f>IF('Ber. Uitbesteed'!C15=0,"",'Ber. Uitbesteed'!C15)</f>
        <v/>
      </c>
      <c r="F16" s="300"/>
      <c r="G16" s="300"/>
      <c r="H16" s="300" t="str">
        <f>IF('Ber. Uitbesteed'!D15=0,"",'Ber. Uitbesteed'!D15)</f>
        <v/>
      </c>
      <c r="I16" s="300"/>
      <c r="J16" s="22" t="str">
        <f>IF('Ber. Uitbesteed'!E15=0,"",'Ber. Uitbesteed'!E15)</f>
        <v/>
      </c>
      <c r="K16" s="49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</row>
    <row r="17" spans="1:34" x14ac:dyDescent="0.25">
      <c r="A17" s="65"/>
      <c r="B17" s="50"/>
      <c r="C17" s="301" t="str">
        <f>IFERROR(IF('Ber. Uitbesteed'!B16=0,"",'Ber. Uitbesteed'!B16),"")</f>
        <v/>
      </c>
      <c r="D17" s="300"/>
      <c r="E17" s="300" t="str">
        <f>IF('Ber. Uitbesteed'!C16=0,"",'Ber. Uitbesteed'!C16)</f>
        <v/>
      </c>
      <c r="F17" s="300"/>
      <c r="G17" s="300"/>
      <c r="H17" s="300" t="str">
        <f>IF('Ber. Uitbesteed'!D16=0,"",'Ber. Uitbesteed'!D16)</f>
        <v/>
      </c>
      <c r="I17" s="300"/>
      <c r="J17" s="22" t="str">
        <f>IF('Ber. Uitbesteed'!E16=0,"",'Ber. Uitbesteed'!E16)</f>
        <v/>
      </c>
      <c r="K17" s="49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</row>
    <row r="18" spans="1:34" x14ac:dyDescent="0.25">
      <c r="A18" s="65"/>
      <c r="B18" s="50"/>
      <c r="C18" s="301" t="str">
        <f>IFERROR(IF('Ber. Uitbesteed'!B17=0,"",'Ber. Uitbesteed'!B17),"")</f>
        <v/>
      </c>
      <c r="D18" s="300"/>
      <c r="E18" s="300" t="str">
        <f>IF('Ber. Uitbesteed'!C17=0,"",'Ber. Uitbesteed'!C17)</f>
        <v/>
      </c>
      <c r="F18" s="300"/>
      <c r="G18" s="300"/>
      <c r="H18" s="300" t="str">
        <f>IF('Ber. Uitbesteed'!D17=0,"",'Ber. Uitbesteed'!D17)</f>
        <v/>
      </c>
      <c r="I18" s="300"/>
      <c r="J18" s="22" t="str">
        <f>IF('Ber. Uitbesteed'!E17=0,"",'Ber. Uitbesteed'!E17)</f>
        <v/>
      </c>
      <c r="K18" s="49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</row>
    <row r="19" spans="1:34" x14ac:dyDescent="0.25">
      <c r="A19" s="65"/>
      <c r="B19" s="50"/>
      <c r="C19" s="301" t="str">
        <f>IFERROR(IF('Ber. Uitbesteed'!B18=0,"",'Ber. Uitbesteed'!B18),"")</f>
        <v/>
      </c>
      <c r="D19" s="300"/>
      <c r="E19" s="300" t="str">
        <f>IF('Ber. Uitbesteed'!C18=0,"",'Ber. Uitbesteed'!C18)</f>
        <v/>
      </c>
      <c r="F19" s="300"/>
      <c r="G19" s="300"/>
      <c r="H19" s="300" t="str">
        <f>IF('Ber. Uitbesteed'!D18=0,"",'Ber. Uitbesteed'!D18)</f>
        <v/>
      </c>
      <c r="I19" s="300"/>
      <c r="J19" s="22" t="str">
        <f>IF('Ber. Uitbesteed'!E18=0,"",'Ber. Uitbesteed'!E18)</f>
        <v/>
      </c>
      <c r="K19" s="49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</row>
    <row r="20" spans="1:34" x14ac:dyDescent="0.25">
      <c r="A20" s="65"/>
      <c r="B20" s="50"/>
      <c r="C20" s="301" t="str">
        <f>IFERROR(IF('Ber. Uitbesteed'!B19=0,"",'Ber. Uitbesteed'!B19),"")</f>
        <v/>
      </c>
      <c r="D20" s="300"/>
      <c r="E20" s="300" t="str">
        <f>IF('Ber. Uitbesteed'!C19=0,"",'Ber. Uitbesteed'!C19)</f>
        <v/>
      </c>
      <c r="F20" s="300"/>
      <c r="G20" s="300"/>
      <c r="H20" s="300" t="str">
        <f>IF('Ber. Uitbesteed'!D19=0,"",'Ber. Uitbesteed'!D19)</f>
        <v/>
      </c>
      <c r="I20" s="300"/>
      <c r="J20" s="22" t="str">
        <f>IF('Ber. Uitbesteed'!E19=0,"",'Ber. Uitbesteed'!E19)</f>
        <v/>
      </c>
      <c r="K20" s="49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</row>
    <row r="21" spans="1:34" x14ac:dyDescent="0.25">
      <c r="A21" s="65"/>
      <c r="B21" s="50"/>
      <c r="C21" s="301" t="str">
        <f>IFERROR(IF('Ber. Uitbesteed'!B20=0,"",'Ber. Uitbesteed'!B20),"")</f>
        <v/>
      </c>
      <c r="D21" s="300"/>
      <c r="E21" s="300" t="str">
        <f>IF('Ber. Uitbesteed'!C20=0,"",'Ber. Uitbesteed'!C20)</f>
        <v/>
      </c>
      <c r="F21" s="300"/>
      <c r="G21" s="300"/>
      <c r="H21" s="300" t="str">
        <f>IF('Ber. Uitbesteed'!D20=0,"",'Ber. Uitbesteed'!D20)</f>
        <v/>
      </c>
      <c r="I21" s="300"/>
      <c r="J21" s="22" t="str">
        <f>IF('Ber. Uitbesteed'!E20=0,"",'Ber. Uitbesteed'!E20)</f>
        <v/>
      </c>
      <c r="K21" s="49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</row>
    <row r="22" spans="1:34" x14ac:dyDescent="0.25">
      <c r="A22" s="65"/>
      <c r="B22" s="50"/>
      <c r="C22" s="301" t="str">
        <f>IFERROR(IF('Ber. Uitbesteed'!B21=0,"",'Ber. Uitbesteed'!B21),"")</f>
        <v/>
      </c>
      <c r="D22" s="300"/>
      <c r="E22" s="300" t="str">
        <f>IF('Ber. Uitbesteed'!C21=0,"",'Ber. Uitbesteed'!C21)</f>
        <v/>
      </c>
      <c r="F22" s="300"/>
      <c r="G22" s="300"/>
      <c r="H22" s="300" t="str">
        <f>IF('Ber. Uitbesteed'!D21=0,"",'Ber. Uitbesteed'!D21)</f>
        <v/>
      </c>
      <c r="I22" s="300"/>
      <c r="J22" s="22" t="str">
        <f>IF('Ber. Uitbesteed'!E21=0,"",'Ber. Uitbesteed'!E21)</f>
        <v/>
      </c>
      <c r="K22" s="49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</row>
    <row r="23" spans="1:34" x14ac:dyDescent="0.25">
      <c r="A23" s="65"/>
      <c r="B23" s="50"/>
      <c r="C23" s="301" t="str">
        <f>IFERROR(IF('Ber. Uitbesteed'!B22=0,"",'Ber. Uitbesteed'!B22),"")</f>
        <v/>
      </c>
      <c r="D23" s="300"/>
      <c r="E23" s="300" t="str">
        <f>IF('Ber. Uitbesteed'!C22=0,"",'Ber. Uitbesteed'!C22)</f>
        <v/>
      </c>
      <c r="F23" s="300"/>
      <c r="G23" s="300"/>
      <c r="H23" s="300" t="str">
        <f>IF('Ber. Uitbesteed'!D22=0,"",'Ber. Uitbesteed'!D22)</f>
        <v/>
      </c>
      <c r="I23" s="300"/>
      <c r="J23" s="22" t="str">
        <f>IF('Ber. Uitbesteed'!E22=0,"",'Ber. Uitbesteed'!E22)</f>
        <v/>
      </c>
      <c r="K23" s="49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</row>
    <row r="24" spans="1:34" x14ac:dyDescent="0.25">
      <c r="A24" s="65"/>
      <c r="B24" s="50"/>
      <c r="C24" s="301" t="str">
        <f>IFERROR(IF('Ber. Uitbesteed'!B23=0,"",'Ber. Uitbesteed'!B23),"")</f>
        <v/>
      </c>
      <c r="D24" s="300"/>
      <c r="E24" s="300" t="str">
        <f>IF('Ber. Uitbesteed'!C23=0,"",'Ber. Uitbesteed'!C23)</f>
        <v/>
      </c>
      <c r="F24" s="300"/>
      <c r="G24" s="300"/>
      <c r="H24" s="300" t="str">
        <f>IF('Ber. Uitbesteed'!D23=0,"",'Ber. Uitbesteed'!D23)</f>
        <v/>
      </c>
      <c r="I24" s="300"/>
      <c r="J24" s="22" t="str">
        <f>IF('Ber. Uitbesteed'!E23=0,"",'Ber. Uitbesteed'!E23)</f>
        <v/>
      </c>
      <c r="K24" s="49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</row>
    <row r="25" spans="1:34" x14ac:dyDescent="0.25">
      <c r="A25" s="65"/>
      <c r="B25" s="50"/>
      <c r="C25" s="301" t="str">
        <f>IFERROR(IF('Ber. Uitbesteed'!B24=0,"",'Ber. Uitbesteed'!B24),"")</f>
        <v/>
      </c>
      <c r="D25" s="300"/>
      <c r="E25" s="300" t="str">
        <f>IF('Ber. Uitbesteed'!C24=0,"",'Ber. Uitbesteed'!C24)</f>
        <v/>
      </c>
      <c r="F25" s="300"/>
      <c r="G25" s="300"/>
      <c r="H25" s="300" t="str">
        <f>IF('Ber. Uitbesteed'!D24=0,"",'Ber. Uitbesteed'!D24)</f>
        <v/>
      </c>
      <c r="I25" s="300"/>
      <c r="J25" s="22" t="str">
        <f>IF('Ber. Uitbesteed'!E24=0,"",'Ber. Uitbesteed'!E24)</f>
        <v/>
      </c>
      <c r="K25" s="49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</row>
    <row r="26" spans="1:34" x14ac:dyDescent="0.25">
      <c r="A26" s="65"/>
      <c r="B26" s="50"/>
      <c r="C26" s="301" t="str">
        <f>IFERROR(IF('Ber. Uitbesteed'!B25=0,"",'Ber. Uitbesteed'!B25),"")</f>
        <v/>
      </c>
      <c r="D26" s="300"/>
      <c r="E26" s="300" t="str">
        <f>IF('Ber. Uitbesteed'!C25=0,"",'Ber. Uitbesteed'!C25)</f>
        <v/>
      </c>
      <c r="F26" s="300"/>
      <c r="G26" s="300"/>
      <c r="H26" s="300" t="str">
        <f>IF('Ber. Uitbesteed'!D25=0,"",'Ber. Uitbesteed'!D25)</f>
        <v/>
      </c>
      <c r="I26" s="300"/>
      <c r="J26" s="22" t="str">
        <f>IF('Ber. Uitbesteed'!E25=0,"",'Ber. Uitbesteed'!E25)</f>
        <v/>
      </c>
      <c r="K26" s="49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</row>
    <row r="27" spans="1:34" x14ac:dyDescent="0.25">
      <c r="A27" s="65"/>
      <c r="B27" s="50"/>
      <c r="C27" s="301" t="str">
        <f>IFERROR(IF('Ber. Uitbesteed'!B26=0,"",'Ber. Uitbesteed'!B26),"")</f>
        <v/>
      </c>
      <c r="D27" s="300"/>
      <c r="E27" s="300" t="str">
        <f>IF('Ber. Uitbesteed'!C26=0,"",'Ber. Uitbesteed'!C26)</f>
        <v/>
      </c>
      <c r="F27" s="300"/>
      <c r="G27" s="300"/>
      <c r="H27" s="300" t="str">
        <f>IF('Ber. Uitbesteed'!D26=0,"",'Ber. Uitbesteed'!D26)</f>
        <v/>
      </c>
      <c r="I27" s="300"/>
      <c r="J27" s="22" t="str">
        <f>IF('Ber. Uitbesteed'!E26=0,"",'Ber. Uitbesteed'!E26)</f>
        <v/>
      </c>
      <c r="K27" s="49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</row>
    <row r="28" spans="1:34" x14ac:dyDescent="0.25">
      <c r="A28" s="65"/>
      <c r="B28" s="50"/>
      <c r="C28" s="301" t="str">
        <f>IFERROR(IF('Ber. Uitbesteed'!B27=0,"",'Ber. Uitbesteed'!B27),"")</f>
        <v/>
      </c>
      <c r="D28" s="300"/>
      <c r="E28" s="300" t="str">
        <f>IF('Ber. Uitbesteed'!C27=0,"",'Ber. Uitbesteed'!C27)</f>
        <v/>
      </c>
      <c r="F28" s="300"/>
      <c r="G28" s="300"/>
      <c r="H28" s="300" t="str">
        <f>IF('Ber. Uitbesteed'!D27=0,"",'Ber. Uitbesteed'!D27)</f>
        <v/>
      </c>
      <c r="I28" s="300"/>
      <c r="J28" s="22" t="str">
        <f>IF('Ber. Uitbesteed'!E27=0,"",'Ber. Uitbesteed'!E27)</f>
        <v/>
      </c>
      <c r="K28" s="49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</row>
    <row r="29" spans="1:34" x14ac:dyDescent="0.25">
      <c r="A29" s="65"/>
      <c r="B29" s="50"/>
      <c r="C29" s="301" t="str">
        <f>IFERROR(IF('Ber. Uitbesteed'!B28=0,"",'Ber. Uitbesteed'!B28),"")</f>
        <v/>
      </c>
      <c r="D29" s="300"/>
      <c r="E29" s="300" t="str">
        <f>IF('Ber. Uitbesteed'!C28=0,"",'Ber. Uitbesteed'!C28)</f>
        <v/>
      </c>
      <c r="F29" s="300"/>
      <c r="G29" s="300"/>
      <c r="H29" s="300" t="str">
        <f>IF('Ber. Uitbesteed'!D28=0,"",'Ber. Uitbesteed'!D28)</f>
        <v/>
      </c>
      <c r="I29" s="300"/>
      <c r="J29" s="22" t="str">
        <f>IF('Ber. Uitbesteed'!E28=0,"",'Ber. Uitbesteed'!E28)</f>
        <v/>
      </c>
      <c r="K29" s="49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</row>
    <row r="30" spans="1:34" ht="15.75" thickBot="1" x14ac:dyDescent="0.3">
      <c r="A30" s="65"/>
      <c r="B30" s="50"/>
      <c r="C30" s="230" t="str">
        <f>IFERROR(IF('Ber. Uitbesteed'!B29=0,"",'Ber. Uitbesteed'!B29),"")</f>
        <v/>
      </c>
      <c r="D30" s="228"/>
      <c r="E30" s="228" t="str">
        <f>IF('Ber. Uitbesteed'!C29=0,"",'Ber. Uitbesteed'!C29)</f>
        <v/>
      </c>
      <c r="F30" s="228"/>
      <c r="G30" s="228"/>
      <c r="H30" s="228" t="str">
        <f>IF('Ber. Uitbesteed'!D29=0,"",'Ber. Uitbesteed'!D29)</f>
        <v/>
      </c>
      <c r="I30" s="228"/>
      <c r="J30" s="3" t="str">
        <f>IF('Ber. Uitbesteed'!E29=0,"",'Ber. Uitbesteed'!E29)</f>
        <v/>
      </c>
      <c r="K30" s="49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</row>
    <row r="31" spans="1:34" ht="7.5" customHeight="1" thickBot="1" x14ac:dyDescent="0.3">
      <c r="A31" s="65"/>
      <c r="B31" s="56"/>
      <c r="C31" s="51"/>
      <c r="D31" s="51"/>
      <c r="E31" s="51"/>
      <c r="F31" s="51"/>
      <c r="G31" s="51"/>
      <c r="H31" s="51"/>
      <c r="I31" s="51"/>
      <c r="J31" s="51"/>
      <c r="K31" s="59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</row>
    <row r="32" spans="1:34" x14ac:dyDescent="0.25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</row>
    <row r="33" spans="1:34" x14ac:dyDescent="0.25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</row>
    <row r="34" spans="1:34" x14ac:dyDescent="0.25">
      <c r="A34" s="65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</row>
    <row r="35" spans="1:34" x14ac:dyDescent="0.25">
      <c r="A35" s="65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</row>
    <row r="36" spans="1:34" x14ac:dyDescent="0.25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</row>
    <row r="37" spans="1:34" x14ac:dyDescent="0.25">
      <c r="A37" s="65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</row>
    <row r="38" spans="1:34" x14ac:dyDescent="0.25">
      <c r="A38" s="65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</row>
    <row r="39" spans="1:34" x14ac:dyDescent="0.25">
      <c r="A39" s="65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</row>
    <row r="40" spans="1:34" x14ac:dyDescent="0.25">
      <c r="A40" s="65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</row>
    <row r="41" spans="1:34" x14ac:dyDescent="0.25">
      <c r="A41" s="65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</row>
    <row r="42" spans="1:34" x14ac:dyDescent="0.25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</row>
    <row r="43" spans="1:34" x14ac:dyDescent="0.25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</row>
    <row r="44" spans="1:34" x14ac:dyDescent="0.25">
      <c r="A44" s="65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</row>
    <row r="45" spans="1:34" x14ac:dyDescent="0.25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</row>
    <row r="46" spans="1:34" x14ac:dyDescent="0.25">
      <c r="A46" s="65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</row>
    <row r="47" spans="1:34" x14ac:dyDescent="0.25">
      <c r="A47" s="65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  <c r="AE47" s="65"/>
      <c r="AF47" s="65"/>
      <c r="AG47" s="65"/>
      <c r="AH47" s="65"/>
    </row>
    <row r="48" spans="1:34" x14ac:dyDescent="0.25">
      <c r="A48" s="65"/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</row>
    <row r="49" spans="1:34" x14ac:dyDescent="0.25">
      <c r="A49" s="65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</row>
  </sheetData>
  <mergeCells count="83">
    <mergeCell ref="H12:I12"/>
    <mergeCell ref="E12:G12"/>
    <mergeCell ref="C12:D12"/>
    <mergeCell ref="B2:D2"/>
    <mergeCell ref="C17:D17"/>
    <mergeCell ref="C16:D16"/>
    <mergeCell ref="C15:D15"/>
    <mergeCell ref="C14:D14"/>
    <mergeCell ref="H13:I13"/>
    <mergeCell ref="E13:G13"/>
    <mergeCell ref="C13:D13"/>
    <mergeCell ref="E17:G17"/>
    <mergeCell ref="E16:G16"/>
    <mergeCell ref="E15:G15"/>
    <mergeCell ref="E14:G14"/>
    <mergeCell ref="H17:I17"/>
    <mergeCell ref="C18:D18"/>
    <mergeCell ref="E23:G23"/>
    <mergeCell ref="E22:G22"/>
    <mergeCell ref="E21:G21"/>
    <mergeCell ref="E20:G20"/>
    <mergeCell ref="E19:G19"/>
    <mergeCell ref="E18:G18"/>
    <mergeCell ref="C23:D23"/>
    <mergeCell ref="C22:D22"/>
    <mergeCell ref="C21:D21"/>
    <mergeCell ref="C20:D20"/>
    <mergeCell ref="C19:D19"/>
    <mergeCell ref="E25:G25"/>
    <mergeCell ref="E24:G24"/>
    <mergeCell ref="C30:D30"/>
    <mergeCell ref="C29:D29"/>
    <mergeCell ref="C28:D28"/>
    <mergeCell ref="C27:D27"/>
    <mergeCell ref="C26:D26"/>
    <mergeCell ref="C25:D25"/>
    <mergeCell ref="C24:D24"/>
    <mergeCell ref="H18:I18"/>
    <mergeCell ref="H16:I16"/>
    <mergeCell ref="H15:I15"/>
    <mergeCell ref="H14:I14"/>
    <mergeCell ref="E30:G30"/>
    <mergeCell ref="E29:G29"/>
    <mergeCell ref="E28:G28"/>
    <mergeCell ref="E27:G27"/>
    <mergeCell ref="E26:G26"/>
    <mergeCell ref="H24:I24"/>
    <mergeCell ref="H23:I23"/>
    <mergeCell ref="H22:I22"/>
    <mergeCell ref="H21:I21"/>
    <mergeCell ref="H20:I20"/>
    <mergeCell ref="H19:I19"/>
    <mergeCell ref="H30:I30"/>
    <mergeCell ref="H29:I29"/>
    <mergeCell ref="H28:I28"/>
    <mergeCell ref="H27:I27"/>
    <mergeCell ref="H26:I26"/>
    <mergeCell ref="H25:I25"/>
    <mergeCell ref="C10:D10"/>
    <mergeCell ref="E10:G10"/>
    <mergeCell ref="H10:I10"/>
    <mergeCell ref="C11:D11"/>
    <mergeCell ref="E11:G11"/>
    <mergeCell ref="H11:I11"/>
    <mergeCell ref="C8:D8"/>
    <mergeCell ref="E8:G8"/>
    <mergeCell ref="H8:I8"/>
    <mergeCell ref="C9:D9"/>
    <mergeCell ref="E9:G9"/>
    <mergeCell ref="H9:I9"/>
    <mergeCell ref="C6:D6"/>
    <mergeCell ref="E6:G6"/>
    <mergeCell ref="H6:I6"/>
    <mergeCell ref="C7:D7"/>
    <mergeCell ref="E7:G7"/>
    <mergeCell ref="H7:I7"/>
    <mergeCell ref="C3:J3"/>
    <mergeCell ref="C4:D4"/>
    <mergeCell ref="E4:G4"/>
    <mergeCell ref="H4:I4"/>
    <mergeCell ref="C5:D5"/>
    <mergeCell ref="E5:G5"/>
    <mergeCell ref="H5:I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B3E9A-1D88-421D-967B-3F50CE0CF5B8}">
  <dimension ref="B2:I56"/>
  <sheetViews>
    <sheetView workbookViewId="0">
      <selection activeCell="D28" sqref="D28"/>
    </sheetView>
  </sheetViews>
  <sheetFormatPr defaultRowHeight="15" x14ac:dyDescent="0.25"/>
  <cols>
    <col min="3" max="3" width="13.140625" bestFit="1" customWidth="1"/>
    <col min="4" max="4" width="32" bestFit="1" customWidth="1"/>
    <col min="5" max="5" width="16.140625" bestFit="1" customWidth="1"/>
  </cols>
  <sheetData>
    <row r="2" spans="2:9" x14ac:dyDescent="0.25">
      <c r="B2" s="302" t="s">
        <v>51</v>
      </c>
      <c r="C2" s="302"/>
      <c r="D2" s="302"/>
    </row>
    <row r="3" spans="2:9" x14ac:dyDescent="0.25">
      <c r="B3" t="s">
        <v>37</v>
      </c>
      <c r="C3" t="s">
        <v>52</v>
      </c>
      <c r="D3" t="s">
        <v>16</v>
      </c>
      <c r="E3" t="s">
        <v>17</v>
      </c>
    </row>
    <row r="5" spans="2:9" x14ac:dyDescent="0.25">
      <c r="B5">
        <v>1</v>
      </c>
      <c r="C5" t="s">
        <v>20</v>
      </c>
      <c r="D5" t="s">
        <v>29</v>
      </c>
      <c r="E5" t="s">
        <v>53</v>
      </c>
    </row>
    <row r="6" spans="2:9" x14ac:dyDescent="0.25">
      <c r="B6">
        <v>2</v>
      </c>
      <c r="C6" t="s">
        <v>22</v>
      </c>
      <c r="D6" t="s">
        <v>39</v>
      </c>
      <c r="E6" t="s">
        <v>54</v>
      </c>
    </row>
    <row r="7" spans="2:9" x14ac:dyDescent="0.25">
      <c r="B7">
        <v>3</v>
      </c>
      <c r="C7" t="s">
        <v>72</v>
      </c>
      <c r="D7" t="s">
        <v>28</v>
      </c>
      <c r="E7" t="s">
        <v>55</v>
      </c>
    </row>
    <row r="8" spans="2:9" x14ac:dyDescent="0.25">
      <c r="B8">
        <v>4</v>
      </c>
      <c r="C8" t="s">
        <v>73</v>
      </c>
      <c r="D8" t="s">
        <v>26</v>
      </c>
      <c r="E8" t="s">
        <v>56</v>
      </c>
    </row>
    <row r="9" spans="2:9" x14ac:dyDescent="0.25">
      <c r="B9">
        <v>5</v>
      </c>
      <c r="C9" t="s">
        <v>74</v>
      </c>
      <c r="D9" t="s">
        <v>40</v>
      </c>
      <c r="E9" t="s">
        <v>24</v>
      </c>
    </row>
    <row r="10" spans="2:9" x14ac:dyDescent="0.25">
      <c r="B10">
        <v>6</v>
      </c>
      <c r="C10" t="s">
        <v>75</v>
      </c>
      <c r="D10" t="s">
        <v>27</v>
      </c>
      <c r="I10" t="s">
        <v>71</v>
      </c>
    </row>
    <row r="11" spans="2:9" x14ac:dyDescent="0.25">
      <c r="B11">
        <v>7</v>
      </c>
      <c r="C11" t="s">
        <v>21</v>
      </c>
      <c r="D11" t="s">
        <v>32</v>
      </c>
    </row>
    <row r="12" spans="2:9" x14ac:dyDescent="0.25">
      <c r="B12">
        <v>8</v>
      </c>
      <c r="D12" t="s">
        <v>41</v>
      </c>
    </row>
    <row r="13" spans="2:9" x14ac:dyDescent="0.25">
      <c r="B13">
        <v>9</v>
      </c>
      <c r="D13" t="s">
        <v>43</v>
      </c>
    </row>
    <row r="14" spans="2:9" x14ac:dyDescent="0.25">
      <c r="B14">
        <v>10</v>
      </c>
      <c r="D14" t="s">
        <v>19</v>
      </c>
    </row>
    <row r="15" spans="2:9" x14ac:dyDescent="0.25">
      <c r="B15">
        <v>11</v>
      </c>
      <c r="D15" t="s">
        <v>49</v>
      </c>
    </row>
    <row r="16" spans="2:9" x14ac:dyDescent="0.25">
      <c r="B16">
        <v>12</v>
      </c>
    </row>
    <row r="17" spans="2:2" x14ac:dyDescent="0.25">
      <c r="B17">
        <v>13</v>
      </c>
    </row>
    <row r="18" spans="2:2" x14ac:dyDescent="0.25">
      <c r="B18">
        <v>14</v>
      </c>
    </row>
    <row r="19" spans="2:2" x14ac:dyDescent="0.25">
      <c r="B19">
        <v>15</v>
      </c>
    </row>
    <row r="20" spans="2:2" x14ac:dyDescent="0.25">
      <c r="B20">
        <v>16</v>
      </c>
    </row>
    <row r="21" spans="2:2" x14ac:dyDescent="0.25">
      <c r="B21">
        <v>17</v>
      </c>
    </row>
    <row r="22" spans="2:2" x14ac:dyDescent="0.25">
      <c r="B22">
        <v>18</v>
      </c>
    </row>
    <row r="23" spans="2:2" x14ac:dyDescent="0.25">
      <c r="B23">
        <v>19</v>
      </c>
    </row>
    <row r="24" spans="2:2" x14ac:dyDescent="0.25">
      <c r="B24">
        <v>20</v>
      </c>
    </row>
    <row r="25" spans="2:2" x14ac:dyDescent="0.25">
      <c r="B25">
        <v>21</v>
      </c>
    </row>
    <row r="26" spans="2:2" x14ac:dyDescent="0.25">
      <c r="B26">
        <v>22</v>
      </c>
    </row>
    <row r="27" spans="2:2" x14ac:dyDescent="0.25">
      <c r="B27">
        <v>23</v>
      </c>
    </row>
    <row r="28" spans="2:2" x14ac:dyDescent="0.25">
      <c r="B28">
        <v>24</v>
      </c>
    </row>
    <row r="29" spans="2:2" x14ac:dyDescent="0.25">
      <c r="B29">
        <v>25</v>
      </c>
    </row>
    <row r="30" spans="2:2" x14ac:dyDescent="0.25">
      <c r="B30">
        <v>26</v>
      </c>
    </row>
    <row r="31" spans="2:2" x14ac:dyDescent="0.25">
      <c r="B31">
        <v>27</v>
      </c>
    </row>
    <row r="32" spans="2:2" x14ac:dyDescent="0.25">
      <c r="B32">
        <v>28</v>
      </c>
    </row>
    <row r="33" spans="2:2" x14ac:dyDescent="0.25">
      <c r="B33">
        <v>29</v>
      </c>
    </row>
    <row r="34" spans="2:2" x14ac:dyDescent="0.25">
      <c r="B34">
        <v>30</v>
      </c>
    </row>
    <row r="35" spans="2:2" x14ac:dyDescent="0.25">
      <c r="B35">
        <v>31</v>
      </c>
    </row>
    <row r="36" spans="2:2" x14ac:dyDescent="0.25">
      <c r="B36">
        <v>32</v>
      </c>
    </row>
    <row r="37" spans="2:2" x14ac:dyDescent="0.25">
      <c r="B37">
        <v>33</v>
      </c>
    </row>
    <row r="38" spans="2:2" x14ac:dyDescent="0.25">
      <c r="B38">
        <v>34</v>
      </c>
    </row>
    <row r="39" spans="2:2" x14ac:dyDescent="0.25">
      <c r="B39">
        <v>35</v>
      </c>
    </row>
    <row r="40" spans="2:2" x14ac:dyDescent="0.25">
      <c r="B40">
        <v>36</v>
      </c>
    </row>
    <row r="41" spans="2:2" x14ac:dyDescent="0.25">
      <c r="B41">
        <v>37</v>
      </c>
    </row>
    <row r="42" spans="2:2" x14ac:dyDescent="0.25">
      <c r="B42">
        <v>38</v>
      </c>
    </row>
    <row r="43" spans="2:2" x14ac:dyDescent="0.25">
      <c r="B43">
        <v>39</v>
      </c>
    </row>
    <row r="44" spans="2:2" x14ac:dyDescent="0.25">
      <c r="B44">
        <v>40</v>
      </c>
    </row>
    <row r="45" spans="2:2" x14ac:dyDescent="0.25">
      <c r="B45">
        <v>41</v>
      </c>
    </row>
    <row r="46" spans="2:2" x14ac:dyDescent="0.25">
      <c r="B46">
        <v>42</v>
      </c>
    </row>
    <row r="47" spans="2:2" x14ac:dyDescent="0.25">
      <c r="B47">
        <v>43</v>
      </c>
    </row>
    <row r="48" spans="2:2" x14ac:dyDescent="0.25">
      <c r="B48">
        <v>44</v>
      </c>
    </row>
    <row r="49" spans="2:2" x14ac:dyDescent="0.25">
      <c r="B49">
        <v>45</v>
      </c>
    </row>
    <row r="50" spans="2:2" x14ac:dyDescent="0.25">
      <c r="B50">
        <v>46</v>
      </c>
    </row>
    <row r="51" spans="2:2" x14ac:dyDescent="0.25">
      <c r="B51">
        <v>47</v>
      </c>
    </row>
    <row r="52" spans="2:2" x14ac:dyDescent="0.25">
      <c r="B52">
        <v>48</v>
      </c>
    </row>
    <row r="53" spans="2:2" x14ac:dyDescent="0.25">
      <c r="B53">
        <v>49</v>
      </c>
    </row>
    <row r="54" spans="2:2" x14ac:dyDescent="0.25">
      <c r="B54">
        <v>50</v>
      </c>
    </row>
    <row r="55" spans="2:2" x14ac:dyDescent="0.25">
      <c r="B55">
        <v>51</v>
      </c>
    </row>
    <row r="56" spans="2:2" x14ac:dyDescent="0.25">
      <c r="B56">
        <v>52</v>
      </c>
    </row>
  </sheetData>
  <mergeCells count="1">
    <mergeCell ref="B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174EC-4074-42F1-8695-C239A5C830E2}">
  <dimension ref="B2:N38"/>
  <sheetViews>
    <sheetView workbookViewId="0">
      <selection activeCell="B4" sqref="B4"/>
    </sheetView>
  </sheetViews>
  <sheetFormatPr defaultRowHeight="15" x14ac:dyDescent="0.25"/>
  <cols>
    <col min="1" max="1" width="4.28515625" customWidth="1"/>
    <col min="2" max="2" width="14.28515625" customWidth="1"/>
    <col min="3" max="3" width="19.7109375" bestFit="1" customWidth="1"/>
    <col min="4" max="4" width="13.85546875" bestFit="1" customWidth="1"/>
    <col min="5" max="5" width="6.7109375" bestFit="1" customWidth="1"/>
    <col min="6" max="6" width="11.7109375" bestFit="1" customWidth="1"/>
    <col min="7" max="7" width="14.5703125" bestFit="1" customWidth="1"/>
    <col min="8" max="8" width="9.140625" style="35" bestFit="1" customWidth="1"/>
    <col min="9" max="9" width="7.28515625" bestFit="1" customWidth="1"/>
    <col min="10" max="10" width="14.5703125" bestFit="1" customWidth="1"/>
    <col min="11" max="11" width="9.140625" style="35" bestFit="1" customWidth="1"/>
    <col min="12" max="12" width="7.28515625" bestFit="1" customWidth="1"/>
    <col min="13" max="13" width="21.140625" bestFit="1" customWidth="1"/>
    <col min="14" max="14" width="15.5703125" bestFit="1" customWidth="1"/>
    <col min="15" max="15" width="9.140625" customWidth="1"/>
  </cols>
  <sheetData>
    <row r="2" spans="2:14" ht="15.75" thickBot="1" x14ac:dyDescent="0.3">
      <c r="B2" t="s">
        <v>29</v>
      </c>
    </row>
    <row r="3" spans="2:14" ht="15.75" thickBot="1" x14ac:dyDescent="0.3">
      <c r="B3" s="28" t="s">
        <v>5</v>
      </c>
      <c r="C3" s="29" t="s">
        <v>6</v>
      </c>
      <c r="D3" s="29" t="s">
        <v>7</v>
      </c>
      <c r="E3" s="29" t="s">
        <v>8</v>
      </c>
      <c r="F3" s="29" t="s">
        <v>9</v>
      </c>
      <c r="G3" s="29" t="s">
        <v>10</v>
      </c>
      <c r="H3" s="36" t="s">
        <v>11</v>
      </c>
      <c r="I3" s="29" t="s">
        <v>12</v>
      </c>
      <c r="J3" s="29" t="s">
        <v>13</v>
      </c>
      <c r="K3" s="36" t="s">
        <v>14</v>
      </c>
      <c r="L3" s="29" t="s">
        <v>15</v>
      </c>
      <c r="M3" s="29" t="s">
        <v>16</v>
      </c>
      <c r="N3" s="30" t="s">
        <v>17</v>
      </c>
    </row>
    <row r="4" spans="2:14" x14ac:dyDescent="0.25">
      <c r="B4" s="18" t="e" cm="1">
        <f t="array" ref="B4">_xlfn._xlws.SORT(_xlfn._xlws.FILTER(Invulblad!B6:T1003,Invulblad!S6:S1003=B2,""),4,1)</f>
        <v>#VALUE!</v>
      </c>
      <c r="C4" s="19"/>
      <c r="D4" s="19"/>
      <c r="E4" s="19"/>
      <c r="F4" s="19"/>
      <c r="G4" s="19"/>
      <c r="H4" s="37"/>
      <c r="I4" s="19"/>
      <c r="J4" s="19"/>
      <c r="K4" s="37"/>
      <c r="L4" s="19"/>
      <c r="M4" s="19"/>
      <c r="N4" s="20"/>
    </row>
    <row r="5" spans="2:14" x14ac:dyDescent="0.25">
      <c r="B5" s="21"/>
      <c r="C5" s="17"/>
      <c r="D5" s="17"/>
      <c r="E5" s="17"/>
      <c r="F5" s="17"/>
      <c r="G5" s="17"/>
      <c r="H5" s="38"/>
      <c r="I5" s="17"/>
      <c r="J5" s="17"/>
      <c r="K5" s="38"/>
      <c r="L5" s="17"/>
      <c r="M5" s="17"/>
      <c r="N5" s="22"/>
    </row>
    <row r="6" spans="2:14" x14ac:dyDescent="0.25">
      <c r="B6" s="21"/>
      <c r="C6" s="17"/>
      <c r="D6" s="17"/>
      <c r="E6" s="17"/>
      <c r="F6" s="17"/>
      <c r="G6" s="17"/>
      <c r="H6" s="38"/>
      <c r="I6" s="17"/>
      <c r="J6" s="17"/>
      <c r="K6" s="38"/>
      <c r="L6" s="17"/>
      <c r="M6" s="17"/>
      <c r="N6" s="22"/>
    </row>
    <row r="7" spans="2:14" x14ac:dyDescent="0.25">
      <c r="B7" s="21"/>
      <c r="C7" s="17"/>
      <c r="D7" s="17"/>
      <c r="E7" s="17"/>
      <c r="F7" s="17"/>
      <c r="G7" s="17"/>
      <c r="H7" s="38"/>
      <c r="I7" s="17"/>
      <c r="J7" s="17"/>
      <c r="K7" s="38"/>
      <c r="L7" s="17"/>
      <c r="M7" s="17"/>
      <c r="N7" s="22"/>
    </row>
    <row r="8" spans="2:14" x14ac:dyDescent="0.25">
      <c r="B8" s="21"/>
      <c r="C8" s="17"/>
      <c r="D8" s="17"/>
      <c r="E8" s="17"/>
      <c r="F8" s="17"/>
      <c r="G8" s="17"/>
      <c r="H8" s="38"/>
      <c r="I8" s="17"/>
      <c r="J8" s="17"/>
      <c r="K8" s="38"/>
      <c r="L8" s="17"/>
      <c r="M8" s="17"/>
      <c r="N8" s="22"/>
    </row>
    <row r="9" spans="2:14" x14ac:dyDescent="0.25">
      <c r="B9" s="21"/>
      <c r="C9" s="17"/>
      <c r="D9" s="17"/>
      <c r="E9" s="17"/>
      <c r="F9" s="17"/>
      <c r="G9" s="17"/>
      <c r="H9" s="38"/>
      <c r="I9" s="17"/>
      <c r="J9" s="17"/>
      <c r="K9" s="38"/>
      <c r="L9" s="17"/>
      <c r="M9" s="17"/>
      <c r="N9" s="22"/>
    </row>
    <row r="10" spans="2:14" x14ac:dyDescent="0.25">
      <c r="B10" s="21"/>
      <c r="C10" s="17"/>
      <c r="D10" s="17"/>
      <c r="E10" s="17"/>
      <c r="F10" s="17"/>
      <c r="G10" s="17"/>
      <c r="H10" s="38"/>
      <c r="I10" s="17"/>
      <c r="J10" s="17"/>
      <c r="K10" s="38"/>
      <c r="L10" s="17"/>
      <c r="M10" s="17"/>
      <c r="N10" s="22"/>
    </row>
    <row r="11" spans="2:14" x14ac:dyDescent="0.25">
      <c r="B11" s="21"/>
      <c r="C11" s="17"/>
      <c r="D11" s="17"/>
      <c r="E11" s="17"/>
      <c r="F11" s="17"/>
      <c r="G11" s="17"/>
      <c r="H11" s="38"/>
      <c r="I11" s="17"/>
      <c r="J11" s="17"/>
      <c r="K11" s="38"/>
      <c r="L11" s="17"/>
      <c r="M11" s="17"/>
      <c r="N11" s="22"/>
    </row>
    <row r="12" spans="2:14" x14ac:dyDescent="0.25">
      <c r="B12" s="21"/>
      <c r="C12" s="17"/>
      <c r="D12" s="17"/>
      <c r="E12" s="17"/>
      <c r="F12" s="17"/>
      <c r="G12" s="17"/>
      <c r="H12" s="38"/>
      <c r="I12" s="17"/>
      <c r="J12" s="17"/>
      <c r="K12" s="38"/>
      <c r="L12" s="17"/>
      <c r="M12" s="17"/>
      <c r="N12" s="22"/>
    </row>
    <row r="13" spans="2:14" x14ac:dyDescent="0.25">
      <c r="B13" s="21"/>
      <c r="C13" s="17"/>
      <c r="D13" s="17"/>
      <c r="E13" s="17"/>
      <c r="F13" s="17"/>
      <c r="G13" s="17"/>
      <c r="H13" s="38"/>
      <c r="I13" s="17"/>
      <c r="J13" s="17"/>
      <c r="K13" s="38"/>
      <c r="L13" s="17"/>
      <c r="M13" s="17"/>
      <c r="N13" s="22"/>
    </row>
    <row r="14" spans="2:14" x14ac:dyDescent="0.25">
      <c r="B14" s="21"/>
      <c r="C14" s="17"/>
      <c r="D14" s="17"/>
      <c r="E14" s="17"/>
      <c r="F14" s="17"/>
      <c r="G14" s="17"/>
      <c r="H14" s="38"/>
      <c r="I14" s="17"/>
      <c r="J14" s="17"/>
      <c r="K14" s="38"/>
      <c r="L14" s="17"/>
      <c r="M14" s="17"/>
      <c r="N14" s="22"/>
    </row>
    <row r="15" spans="2:14" x14ac:dyDescent="0.25">
      <c r="B15" s="21"/>
      <c r="C15" s="17"/>
      <c r="D15" s="17"/>
      <c r="E15" s="17"/>
      <c r="F15" s="17"/>
      <c r="G15" s="17"/>
      <c r="H15" s="38"/>
      <c r="I15" s="17"/>
      <c r="J15" s="17"/>
      <c r="K15" s="38"/>
      <c r="L15" s="17"/>
      <c r="M15" s="17"/>
      <c r="N15" s="22"/>
    </row>
    <row r="16" spans="2:14" x14ac:dyDescent="0.25">
      <c r="B16" s="21"/>
      <c r="C16" s="17"/>
      <c r="D16" s="17"/>
      <c r="E16" s="17"/>
      <c r="F16" s="17"/>
      <c r="G16" s="17"/>
      <c r="H16" s="38"/>
      <c r="I16" s="17"/>
      <c r="J16" s="17"/>
      <c r="K16" s="38"/>
      <c r="L16" s="17"/>
      <c r="M16" s="17"/>
      <c r="N16" s="22"/>
    </row>
    <row r="17" spans="2:14" x14ac:dyDescent="0.25">
      <c r="B17" s="21"/>
      <c r="C17" s="17"/>
      <c r="D17" s="17"/>
      <c r="E17" s="17"/>
      <c r="F17" s="17"/>
      <c r="G17" s="17"/>
      <c r="H17" s="38"/>
      <c r="I17" s="17"/>
      <c r="J17" s="17"/>
      <c r="K17" s="38"/>
      <c r="L17" s="17"/>
      <c r="M17" s="17"/>
      <c r="N17" s="22"/>
    </row>
    <row r="18" spans="2:14" x14ac:dyDescent="0.25">
      <c r="B18" s="21"/>
      <c r="C18" s="17"/>
      <c r="D18" s="17"/>
      <c r="E18" s="17"/>
      <c r="F18" s="17"/>
      <c r="G18" s="17"/>
      <c r="H18" s="38"/>
      <c r="I18" s="17"/>
      <c r="J18" s="17"/>
      <c r="K18" s="38"/>
      <c r="L18" s="17"/>
      <c r="M18" s="17"/>
      <c r="N18" s="22"/>
    </row>
    <row r="19" spans="2:14" x14ac:dyDescent="0.25">
      <c r="B19" s="21"/>
      <c r="C19" s="17"/>
      <c r="D19" s="17"/>
      <c r="E19" s="17"/>
      <c r="F19" s="17"/>
      <c r="G19" s="17"/>
      <c r="H19" s="38"/>
      <c r="I19" s="17"/>
      <c r="J19" s="17"/>
      <c r="K19" s="38"/>
      <c r="L19" s="17"/>
      <c r="M19" s="17"/>
      <c r="N19" s="22"/>
    </row>
    <row r="20" spans="2:14" x14ac:dyDescent="0.25">
      <c r="B20" s="21"/>
      <c r="C20" s="17"/>
      <c r="D20" s="17"/>
      <c r="E20" s="17"/>
      <c r="F20" s="17"/>
      <c r="G20" s="17"/>
      <c r="H20" s="38"/>
      <c r="I20" s="17"/>
      <c r="J20" s="17"/>
      <c r="K20" s="38"/>
      <c r="L20" s="17"/>
      <c r="M20" s="17"/>
      <c r="N20" s="22"/>
    </row>
    <row r="21" spans="2:14" x14ac:dyDescent="0.25">
      <c r="B21" s="21"/>
      <c r="C21" s="17"/>
      <c r="D21" s="17"/>
      <c r="E21" s="17"/>
      <c r="F21" s="17"/>
      <c r="G21" s="17"/>
      <c r="H21" s="38"/>
      <c r="I21" s="17"/>
      <c r="J21" s="17"/>
      <c r="K21" s="38"/>
      <c r="L21" s="17"/>
      <c r="M21" s="17"/>
      <c r="N21" s="22"/>
    </row>
    <row r="22" spans="2:14" x14ac:dyDescent="0.25">
      <c r="B22" s="21"/>
      <c r="C22" s="17"/>
      <c r="D22" s="17"/>
      <c r="E22" s="17"/>
      <c r="F22" s="17"/>
      <c r="G22" s="17"/>
      <c r="H22" s="38"/>
      <c r="I22" s="17"/>
      <c r="J22" s="17"/>
      <c r="K22" s="38"/>
      <c r="L22" s="17"/>
      <c r="M22" s="17"/>
      <c r="N22" s="22"/>
    </row>
    <row r="23" spans="2:14" x14ac:dyDescent="0.25">
      <c r="B23" s="21"/>
      <c r="C23" s="17"/>
      <c r="D23" s="17"/>
      <c r="E23" s="17"/>
      <c r="F23" s="17"/>
      <c r="G23" s="17"/>
      <c r="H23" s="38"/>
      <c r="I23" s="17"/>
      <c r="J23" s="17"/>
      <c r="K23" s="38"/>
      <c r="L23" s="17"/>
      <c r="M23" s="17"/>
      <c r="N23" s="22"/>
    </row>
    <row r="24" spans="2:14" x14ac:dyDescent="0.25">
      <c r="B24" s="21"/>
      <c r="C24" s="17"/>
      <c r="D24" s="17"/>
      <c r="E24" s="17"/>
      <c r="F24" s="17"/>
      <c r="G24" s="17"/>
      <c r="H24" s="38"/>
      <c r="I24" s="17"/>
      <c r="J24" s="17"/>
      <c r="K24" s="38"/>
      <c r="L24" s="17"/>
      <c r="M24" s="17"/>
      <c r="N24" s="22"/>
    </row>
    <row r="25" spans="2:14" x14ac:dyDescent="0.25">
      <c r="B25" s="21"/>
      <c r="C25" s="17"/>
      <c r="D25" s="17"/>
      <c r="E25" s="17"/>
      <c r="F25" s="17"/>
      <c r="G25" s="17"/>
      <c r="H25" s="38"/>
      <c r="I25" s="17"/>
      <c r="J25" s="17"/>
      <c r="K25" s="38"/>
      <c r="L25" s="17"/>
      <c r="M25" s="17"/>
      <c r="N25" s="22"/>
    </row>
    <row r="26" spans="2:14" x14ac:dyDescent="0.25">
      <c r="B26" s="21"/>
      <c r="C26" s="17"/>
      <c r="D26" s="17"/>
      <c r="E26" s="17"/>
      <c r="F26" s="17"/>
      <c r="G26" s="17"/>
      <c r="H26" s="38"/>
      <c r="I26" s="17"/>
      <c r="J26" s="17"/>
      <c r="K26" s="38"/>
      <c r="L26" s="17"/>
      <c r="M26" s="17"/>
      <c r="N26" s="22"/>
    </row>
    <row r="27" spans="2:14" x14ac:dyDescent="0.25">
      <c r="B27" s="21"/>
      <c r="C27" s="17"/>
      <c r="D27" s="17"/>
      <c r="E27" s="17"/>
      <c r="F27" s="17"/>
      <c r="G27" s="17"/>
      <c r="H27" s="38"/>
      <c r="I27" s="17"/>
      <c r="J27" s="17"/>
      <c r="K27" s="38"/>
      <c r="L27" s="17"/>
      <c r="M27" s="17"/>
      <c r="N27" s="22"/>
    </row>
    <row r="28" spans="2:14" x14ac:dyDescent="0.25">
      <c r="B28" s="21"/>
      <c r="C28" s="17"/>
      <c r="D28" s="17"/>
      <c r="E28" s="17"/>
      <c r="F28" s="17"/>
      <c r="G28" s="17"/>
      <c r="H28" s="38"/>
      <c r="I28" s="17"/>
      <c r="J28" s="17"/>
      <c r="K28" s="38"/>
      <c r="L28" s="17"/>
      <c r="M28" s="17"/>
      <c r="N28" s="22"/>
    </row>
    <row r="29" spans="2:14" x14ac:dyDescent="0.25">
      <c r="B29" s="21"/>
      <c r="C29" s="17"/>
      <c r="D29" s="17"/>
      <c r="E29" s="17"/>
      <c r="F29" s="17"/>
      <c r="G29" s="17"/>
      <c r="H29" s="38"/>
      <c r="I29" s="17"/>
      <c r="J29" s="17"/>
      <c r="K29" s="38"/>
      <c r="L29" s="17"/>
      <c r="M29" s="17"/>
      <c r="N29" s="22"/>
    </row>
    <row r="30" spans="2:14" x14ac:dyDescent="0.25">
      <c r="B30" s="21"/>
      <c r="C30" s="17"/>
      <c r="D30" s="17"/>
      <c r="E30" s="17"/>
      <c r="F30" s="17"/>
      <c r="G30" s="17"/>
      <c r="H30" s="38"/>
      <c r="I30" s="17"/>
      <c r="J30" s="17"/>
      <c r="K30" s="38"/>
      <c r="L30" s="17"/>
      <c r="M30" s="17"/>
      <c r="N30" s="22"/>
    </row>
    <row r="31" spans="2:14" x14ac:dyDescent="0.25">
      <c r="B31" s="21"/>
      <c r="C31" s="17"/>
      <c r="D31" s="17"/>
      <c r="E31" s="17"/>
      <c r="F31" s="17"/>
      <c r="G31" s="17"/>
      <c r="H31" s="38"/>
      <c r="I31" s="17"/>
      <c r="J31" s="17"/>
      <c r="K31" s="38"/>
      <c r="L31" s="17"/>
      <c r="M31" s="17"/>
      <c r="N31" s="22"/>
    </row>
    <row r="32" spans="2:14" x14ac:dyDescent="0.25">
      <c r="B32" s="21"/>
      <c r="C32" s="17"/>
      <c r="D32" s="17"/>
      <c r="E32" s="17"/>
      <c r="F32" s="17"/>
      <c r="G32" s="17"/>
      <c r="H32" s="38"/>
      <c r="I32" s="17"/>
      <c r="J32" s="17"/>
      <c r="K32" s="38"/>
      <c r="L32" s="17"/>
      <c r="M32" s="17"/>
      <c r="N32" s="22"/>
    </row>
    <row r="33" spans="2:14" x14ac:dyDescent="0.25">
      <c r="B33" s="21"/>
      <c r="C33" s="17"/>
      <c r="D33" s="17"/>
      <c r="E33" s="17"/>
      <c r="F33" s="17"/>
      <c r="G33" s="17"/>
      <c r="H33" s="38"/>
      <c r="I33" s="17"/>
      <c r="J33" s="17"/>
      <c r="K33" s="38"/>
      <c r="L33" s="17"/>
      <c r="M33" s="17"/>
      <c r="N33" s="22"/>
    </row>
    <row r="34" spans="2:14" x14ac:dyDescent="0.25">
      <c r="B34" s="21"/>
      <c r="C34" s="17"/>
      <c r="D34" s="17"/>
      <c r="E34" s="17"/>
      <c r="F34" s="17"/>
      <c r="G34" s="17"/>
      <c r="H34" s="38"/>
      <c r="I34" s="17"/>
      <c r="J34" s="17"/>
      <c r="K34" s="38"/>
      <c r="L34" s="17"/>
      <c r="M34" s="17"/>
      <c r="N34" s="22"/>
    </row>
    <row r="35" spans="2:14" x14ac:dyDescent="0.25">
      <c r="B35" s="21"/>
      <c r="C35" s="17"/>
      <c r="D35" s="17"/>
      <c r="E35" s="17"/>
      <c r="F35" s="17"/>
      <c r="G35" s="17"/>
      <c r="H35" s="38"/>
      <c r="I35" s="17"/>
      <c r="J35" s="17"/>
      <c r="K35" s="38"/>
      <c r="L35" s="17"/>
      <c r="M35" s="17"/>
      <c r="N35" s="22"/>
    </row>
    <row r="36" spans="2:14" x14ac:dyDescent="0.25">
      <c r="B36" s="21"/>
      <c r="C36" s="17"/>
      <c r="D36" s="17"/>
      <c r="E36" s="17"/>
      <c r="F36" s="17"/>
      <c r="G36" s="17"/>
      <c r="H36" s="38"/>
      <c r="I36" s="17"/>
      <c r="J36" s="17"/>
      <c r="K36" s="38"/>
      <c r="L36" s="17"/>
      <c r="M36" s="17"/>
      <c r="N36" s="22"/>
    </row>
    <row r="37" spans="2:14" x14ac:dyDescent="0.25">
      <c r="B37" s="21"/>
      <c r="C37" s="17"/>
      <c r="D37" s="17"/>
      <c r="E37" s="17"/>
      <c r="F37" s="17"/>
      <c r="G37" s="17"/>
      <c r="H37" s="38"/>
      <c r="I37" s="17"/>
      <c r="J37" s="17"/>
      <c r="K37" s="38"/>
      <c r="L37" s="17"/>
      <c r="M37" s="17"/>
      <c r="N37" s="22"/>
    </row>
    <row r="38" spans="2:14" ht="15.75" thickBot="1" x14ac:dyDescent="0.3">
      <c r="B38" s="2"/>
      <c r="C38" s="23"/>
      <c r="D38" s="23"/>
      <c r="E38" s="23"/>
      <c r="F38" s="23"/>
      <c r="G38" s="23"/>
      <c r="H38" s="39"/>
      <c r="I38" s="23"/>
      <c r="J38" s="23"/>
      <c r="K38" s="39"/>
      <c r="L38" s="23"/>
      <c r="M38" s="23"/>
      <c r="N38" s="3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6C9FA-DD21-4CB7-8F19-5F7C975F1716}">
  <dimension ref="B2:N38"/>
  <sheetViews>
    <sheetView workbookViewId="0">
      <selection activeCell="D1" sqref="D1"/>
    </sheetView>
  </sheetViews>
  <sheetFormatPr defaultRowHeight="15" x14ac:dyDescent="0.25"/>
  <cols>
    <col min="1" max="1" width="4.28515625" customWidth="1"/>
    <col min="2" max="2" width="14.42578125" customWidth="1"/>
    <col min="3" max="3" width="20.42578125" bestFit="1" customWidth="1"/>
    <col min="4" max="4" width="12.7109375" bestFit="1" customWidth="1"/>
    <col min="5" max="5" width="6.85546875" bestFit="1" customWidth="1"/>
    <col min="6" max="6" width="11.7109375" bestFit="1" customWidth="1"/>
    <col min="7" max="7" width="14.7109375" bestFit="1" customWidth="1"/>
    <col min="8" max="8" width="9.140625" bestFit="1" customWidth="1"/>
    <col min="9" max="9" width="7.42578125" bestFit="1" customWidth="1"/>
    <col min="10" max="10" width="14.7109375" bestFit="1" customWidth="1"/>
    <col min="11" max="11" width="9.140625" bestFit="1" customWidth="1"/>
    <col min="12" max="12" width="7.42578125" bestFit="1" customWidth="1"/>
    <col min="13" max="13" width="24.85546875" bestFit="1" customWidth="1"/>
    <col min="14" max="14" width="15.5703125" bestFit="1" customWidth="1"/>
    <col min="15" max="15" width="9.140625" customWidth="1"/>
  </cols>
  <sheetData>
    <row r="2" spans="2:14" ht="15.75" thickBot="1" x14ac:dyDescent="0.3">
      <c r="B2" t="s">
        <v>39</v>
      </c>
      <c r="H2" s="35"/>
      <c r="K2" s="35"/>
    </row>
    <row r="3" spans="2:14" ht="15.75" thickBot="1" x14ac:dyDescent="0.3">
      <c r="B3" s="28" t="s">
        <v>5</v>
      </c>
      <c r="C3" s="29" t="s">
        <v>6</v>
      </c>
      <c r="D3" s="29" t="s">
        <v>7</v>
      </c>
      <c r="E3" s="29" t="s">
        <v>8</v>
      </c>
      <c r="F3" s="29" t="s">
        <v>9</v>
      </c>
      <c r="G3" s="29" t="s">
        <v>10</v>
      </c>
      <c r="H3" s="36" t="s">
        <v>11</v>
      </c>
      <c r="I3" s="29" t="s">
        <v>12</v>
      </c>
      <c r="J3" s="29" t="s">
        <v>13</v>
      </c>
      <c r="K3" s="36" t="s">
        <v>14</v>
      </c>
      <c r="L3" s="29" t="s">
        <v>15</v>
      </c>
      <c r="M3" s="29" t="s">
        <v>16</v>
      </c>
      <c r="N3" s="30" t="s">
        <v>17</v>
      </c>
    </row>
    <row r="4" spans="2:14" x14ac:dyDescent="0.25">
      <c r="B4" s="18" t="e" cm="1">
        <f t="array" ref="B4">_xlfn._xlws.SORT(_xlfn._xlws.FILTER(Invulblad!B6:T1003,Invulblad!S6:S1003=B2,""),4,1)</f>
        <v>#VALUE!</v>
      </c>
      <c r="C4" s="19"/>
      <c r="D4" s="19"/>
      <c r="E4" s="19"/>
      <c r="F4" s="19"/>
      <c r="G4" s="19"/>
      <c r="H4" s="37"/>
      <c r="I4" s="19"/>
      <c r="J4" s="19"/>
      <c r="K4" s="37"/>
      <c r="L4" s="19"/>
      <c r="M4" s="19"/>
      <c r="N4" s="20"/>
    </row>
    <row r="5" spans="2:14" x14ac:dyDescent="0.25">
      <c r="B5" s="21"/>
      <c r="C5" s="17"/>
      <c r="D5" s="17"/>
      <c r="E5" s="17"/>
      <c r="F5" s="17"/>
      <c r="G5" s="17"/>
      <c r="H5" s="38"/>
      <c r="I5" s="17"/>
      <c r="J5" s="17"/>
      <c r="K5" s="38"/>
      <c r="L5" s="17"/>
      <c r="M5" s="17"/>
      <c r="N5" s="22"/>
    </row>
    <row r="6" spans="2:14" x14ac:dyDescent="0.25">
      <c r="B6" s="21"/>
      <c r="C6" s="17"/>
      <c r="D6" s="17"/>
      <c r="E6" s="17"/>
      <c r="F6" s="17"/>
      <c r="G6" s="17"/>
      <c r="H6" s="38"/>
      <c r="I6" s="17"/>
      <c r="J6" s="17"/>
      <c r="K6" s="38"/>
      <c r="L6" s="17"/>
      <c r="M6" s="17"/>
      <c r="N6" s="22"/>
    </row>
    <row r="7" spans="2:14" x14ac:dyDescent="0.25">
      <c r="B7" s="21"/>
      <c r="C7" s="17"/>
      <c r="D7" s="17"/>
      <c r="E7" s="17"/>
      <c r="F7" s="17"/>
      <c r="G7" s="17"/>
      <c r="H7" s="38"/>
      <c r="I7" s="17"/>
      <c r="J7" s="17"/>
      <c r="K7" s="38"/>
      <c r="L7" s="17"/>
      <c r="M7" s="17"/>
      <c r="N7" s="22"/>
    </row>
    <row r="8" spans="2:14" x14ac:dyDescent="0.25">
      <c r="B8" s="21"/>
      <c r="C8" s="17"/>
      <c r="D8" s="17"/>
      <c r="E8" s="17"/>
      <c r="F8" s="17"/>
      <c r="G8" s="17"/>
      <c r="H8" s="38"/>
      <c r="I8" s="17"/>
      <c r="J8" s="17"/>
      <c r="K8" s="38"/>
      <c r="L8" s="17"/>
      <c r="M8" s="17"/>
      <c r="N8" s="22"/>
    </row>
    <row r="9" spans="2:14" x14ac:dyDescent="0.25">
      <c r="B9" s="21"/>
      <c r="C9" s="17"/>
      <c r="D9" s="17"/>
      <c r="E9" s="17"/>
      <c r="F9" s="17"/>
      <c r="G9" s="17"/>
      <c r="H9" s="38"/>
      <c r="I9" s="17"/>
      <c r="J9" s="17"/>
      <c r="K9" s="38"/>
      <c r="L9" s="17"/>
      <c r="M9" s="17"/>
      <c r="N9" s="22"/>
    </row>
    <row r="10" spans="2:14" x14ac:dyDescent="0.25">
      <c r="B10" s="21"/>
      <c r="C10" s="17"/>
      <c r="D10" s="17"/>
      <c r="E10" s="17"/>
      <c r="F10" s="17"/>
      <c r="G10" s="17"/>
      <c r="H10" s="38"/>
      <c r="I10" s="17"/>
      <c r="J10" s="17"/>
      <c r="K10" s="38"/>
      <c r="L10" s="17"/>
      <c r="M10" s="17"/>
      <c r="N10" s="22"/>
    </row>
    <row r="11" spans="2:14" x14ac:dyDescent="0.25">
      <c r="B11" s="21"/>
      <c r="C11" s="17"/>
      <c r="D11" s="17"/>
      <c r="E11" s="17"/>
      <c r="F11" s="17"/>
      <c r="G11" s="17"/>
      <c r="H11" s="38"/>
      <c r="I11" s="17"/>
      <c r="J11" s="17"/>
      <c r="K11" s="38"/>
      <c r="L11" s="17"/>
      <c r="M11" s="17"/>
      <c r="N11" s="22"/>
    </row>
    <row r="12" spans="2:14" x14ac:dyDescent="0.25">
      <c r="B12" s="21"/>
      <c r="C12" s="17"/>
      <c r="D12" s="17"/>
      <c r="E12" s="17"/>
      <c r="F12" s="17"/>
      <c r="G12" s="17"/>
      <c r="H12" s="38"/>
      <c r="I12" s="17"/>
      <c r="J12" s="17"/>
      <c r="K12" s="38"/>
      <c r="L12" s="17"/>
      <c r="M12" s="17"/>
      <c r="N12" s="22"/>
    </row>
    <row r="13" spans="2:14" x14ac:dyDescent="0.25">
      <c r="B13" s="21"/>
      <c r="C13" s="17"/>
      <c r="D13" s="17"/>
      <c r="E13" s="17"/>
      <c r="F13" s="17"/>
      <c r="G13" s="17"/>
      <c r="H13" s="38"/>
      <c r="I13" s="17"/>
      <c r="J13" s="17"/>
      <c r="K13" s="38"/>
      <c r="L13" s="17"/>
      <c r="M13" s="17"/>
      <c r="N13" s="22"/>
    </row>
    <row r="14" spans="2:14" x14ac:dyDescent="0.25">
      <c r="B14" s="21"/>
      <c r="C14" s="17"/>
      <c r="D14" s="17"/>
      <c r="E14" s="17"/>
      <c r="F14" s="17"/>
      <c r="G14" s="17"/>
      <c r="H14" s="38"/>
      <c r="I14" s="17"/>
      <c r="J14" s="17"/>
      <c r="K14" s="38"/>
      <c r="L14" s="17"/>
      <c r="M14" s="17"/>
      <c r="N14" s="22"/>
    </row>
    <row r="15" spans="2:14" x14ac:dyDescent="0.25">
      <c r="B15" s="21"/>
      <c r="C15" s="17"/>
      <c r="D15" s="17"/>
      <c r="E15" s="17"/>
      <c r="F15" s="17"/>
      <c r="G15" s="17"/>
      <c r="H15" s="38"/>
      <c r="I15" s="17"/>
      <c r="J15" s="17"/>
      <c r="K15" s="38"/>
      <c r="L15" s="17"/>
      <c r="M15" s="17"/>
      <c r="N15" s="22"/>
    </row>
    <row r="16" spans="2:14" x14ac:dyDescent="0.25">
      <c r="B16" s="21"/>
      <c r="C16" s="17"/>
      <c r="D16" s="17"/>
      <c r="E16" s="17"/>
      <c r="F16" s="17"/>
      <c r="G16" s="17"/>
      <c r="H16" s="38"/>
      <c r="I16" s="17"/>
      <c r="J16" s="17"/>
      <c r="K16" s="38"/>
      <c r="L16" s="17"/>
      <c r="M16" s="17"/>
      <c r="N16" s="22"/>
    </row>
    <row r="17" spans="2:14" x14ac:dyDescent="0.25">
      <c r="B17" s="21"/>
      <c r="C17" s="17"/>
      <c r="D17" s="17"/>
      <c r="E17" s="17"/>
      <c r="F17" s="17"/>
      <c r="G17" s="17"/>
      <c r="H17" s="38"/>
      <c r="I17" s="17"/>
      <c r="J17" s="17"/>
      <c r="K17" s="38"/>
      <c r="L17" s="17"/>
      <c r="M17" s="17"/>
      <c r="N17" s="22"/>
    </row>
    <row r="18" spans="2:14" x14ac:dyDescent="0.25">
      <c r="B18" s="21"/>
      <c r="C18" s="17"/>
      <c r="D18" s="17"/>
      <c r="E18" s="17"/>
      <c r="F18" s="17"/>
      <c r="G18" s="17"/>
      <c r="H18" s="38"/>
      <c r="I18" s="17"/>
      <c r="J18" s="17"/>
      <c r="K18" s="38"/>
      <c r="L18" s="17"/>
      <c r="M18" s="17"/>
      <c r="N18" s="22"/>
    </row>
    <row r="19" spans="2:14" x14ac:dyDescent="0.25">
      <c r="B19" s="21"/>
      <c r="C19" s="17"/>
      <c r="D19" s="17"/>
      <c r="E19" s="17"/>
      <c r="F19" s="17"/>
      <c r="G19" s="17"/>
      <c r="H19" s="38"/>
      <c r="I19" s="17"/>
      <c r="J19" s="17"/>
      <c r="K19" s="38"/>
      <c r="L19" s="17"/>
      <c r="M19" s="17"/>
      <c r="N19" s="22"/>
    </row>
    <row r="20" spans="2:14" x14ac:dyDescent="0.25">
      <c r="B20" s="21"/>
      <c r="C20" s="17"/>
      <c r="D20" s="17"/>
      <c r="E20" s="17"/>
      <c r="F20" s="17"/>
      <c r="G20" s="17"/>
      <c r="H20" s="38"/>
      <c r="I20" s="17"/>
      <c r="J20" s="17"/>
      <c r="K20" s="38"/>
      <c r="L20" s="17"/>
      <c r="M20" s="17"/>
      <c r="N20" s="22"/>
    </row>
    <row r="21" spans="2:14" x14ac:dyDescent="0.25">
      <c r="B21" s="21"/>
      <c r="C21" s="17"/>
      <c r="D21" s="17"/>
      <c r="E21" s="17"/>
      <c r="F21" s="17"/>
      <c r="G21" s="17"/>
      <c r="H21" s="38"/>
      <c r="I21" s="17"/>
      <c r="J21" s="17"/>
      <c r="K21" s="38"/>
      <c r="L21" s="17"/>
      <c r="M21" s="17"/>
      <c r="N21" s="22"/>
    </row>
    <row r="22" spans="2:14" x14ac:dyDescent="0.25">
      <c r="B22" s="21"/>
      <c r="C22" s="17"/>
      <c r="D22" s="17"/>
      <c r="E22" s="17"/>
      <c r="F22" s="17"/>
      <c r="G22" s="17"/>
      <c r="H22" s="38"/>
      <c r="I22" s="17"/>
      <c r="J22" s="17"/>
      <c r="K22" s="38"/>
      <c r="L22" s="17"/>
      <c r="M22" s="17"/>
      <c r="N22" s="22"/>
    </row>
    <row r="23" spans="2:14" x14ac:dyDescent="0.25">
      <c r="B23" s="21"/>
      <c r="C23" s="17"/>
      <c r="D23" s="17"/>
      <c r="E23" s="17"/>
      <c r="F23" s="17"/>
      <c r="G23" s="17"/>
      <c r="H23" s="38"/>
      <c r="I23" s="17"/>
      <c r="J23" s="17"/>
      <c r="K23" s="38"/>
      <c r="L23" s="17"/>
      <c r="M23" s="17"/>
      <c r="N23" s="22"/>
    </row>
    <row r="24" spans="2:14" x14ac:dyDescent="0.25">
      <c r="B24" s="21"/>
      <c r="C24" s="17"/>
      <c r="D24" s="17"/>
      <c r="E24" s="17"/>
      <c r="F24" s="17"/>
      <c r="G24" s="17"/>
      <c r="H24" s="38"/>
      <c r="I24" s="17"/>
      <c r="J24" s="17"/>
      <c r="K24" s="38"/>
      <c r="L24" s="17"/>
      <c r="M24" s="17"/>
      <c r="N24" s="22"/>
    </row>
    <row r="25" spans="2:14" x14ac:dyDescent="0.25">
      <c r="B25" s="21"/>
      <c r="C25" s="17"/>
      <c r="D25" s="17"/>
      <c r="E25" s="17"/>
      <c r="F25" s="17"/>
      <c r="G25" s="17"/>
      <c r="H25" s="38"/>
      <c r="I25" s="17"/>
      <c r="J25" s="17"/>
      <c r="K25" s="38"/>
      <c r="L25" s="17"/>
      <c r="M25" s="17"/>
      <c r="N25" s="22"/>
    </row>
    <row r="26" spans="2:14" x14ac:dyDescent="0.25">
      <c r="B26" s="21"/>
      <c r="C26" s="17"/>
      <c r="D26" s="17"/>
      <c r="E26" s="17"/>
      <c r="F26" s="17"/>
      <c r="G26" s="17"/>
      <c r="H26" s="38"/>
      <c r="I26" s="17"/>
      <c r="J26" s="17"/>
      <c r="K26" s="38"/>
      <c r="L26" s="17"/>
      <c r="M26" s="17"/>
      <c r="N26" s="22"/>
    </row>
    <row r="27" spans="2:14" x14ac:dyDescent="0.25">
      <c r="B27" s="21"/>
      <c r="C27" s="17"/>
      <c r="D27" s="17"/>
      <c r="E27" s="17"/>
      <c r="F27" s="17"/>
      <c r="G27" s="17"/>
      <c r="H27" s="38"/>
      <c r="I27" s="17"/>
      <c r="J27" s="17"/>
      <c r="K27" s="38"/>
      <c r="L27" s="17"/>
      <c r="M27" s="17"/>
      <c r="N27" s="22"/>
    </row>
    <row r="28" spans="2:14" x14ac:dyDescent="0.25">
      <c r="B28" s="21"/>
      <c r="C28" s="17"/>
      <c r="D28" s="17"/>
      <c r="E28" s="17"/>
      <c r="F28" s="17"/>
      <c r="G28" s="17"/>
      <c r="H28" s="38"/>
      <c r="I28" s="17"/>
      <c r="J28" s="17"/>
      <c r="K28" s="38"/>
      <c r="L28" s="17"/>
      <c r="M28" s="17"/>
      <c r="N28" s="22"/>
    </row>
    <row r="29" spans="2:14" x14ac:dyDescent="0.25">
      <c r="B29" s="21"/>
      <c r="C29" s="17"/>
      <c r="D29" s="17"/>
      <c r="E29" s="17"/>
      <c r="F29" s="17"/>
      <c r="G29" s="17"/>
      <c r="H29" s="38"/>
      <c r="I29" s="17"/>
      <c r="J29" s="17"/>
      <c r="K29" s="38"/>
      <c r="L29" s="17"/>
      <c r="M29" s="17"/>
      <c r="N29" s="22"/>
    </row>
    <row r="30" spans="2:14" x14ac:dyDescent="0.25">
      <c r="B30" s="21"/>
      <c r="C30" s="17"/>
      <c r="D30" s="17"/>
      <c r="E30" s="17"/>
      <c r="F30" s="17"/>
      <c r="G30" s="17"/>
      <c r="H30" s="38"/>
      <c r="I30" s="17"/>
      <c r="J30" s="17"/>
      <c r="K30" s="38"/>
      <c r="L30" s="17"/>
      <c r="M30" s="17"/>
      <c r="N30" s="22"/>
    </row>
    <row r="31" spans="2:14" x14ac:dyDescent="0.25">
      <c r="B31" s="21"/>
      <c r="C31" s="17"/>
      <c r="D31" s="17"/>
      <c r="E31" s="17"/>
      <c r="F31" s="17"/>
      <c r="G31" s="17"/>
      <c r="H31" s="38"/>
      <c r="I31" s="17"/>
      <c r="J31" s="17"/>
      <c r="K31" s="38"/>
      <c r="L31" s="17"/>
      <c r="M31" s="17"/>
      <c r="N31" s="22"/>
    </row>
    <row r="32" spans="2:14" x14ac:dyDescent="0.25">
      <c r="B32" s="21"/>
      <c r="C32" s="17"/>
      <c r="D32" s="17"/>
      <c r="E32" s="17"/>
      <c r="F32" s="17"/>
      <c r="G32" s="17"/>
      <c r="H32" s="38"/>
      <c r="I32" s="17"/>
      <c r="J32" s="17"/>
      <c r="K32" s="38"/>
      <c r="L32" s="17"/>
      <c r="M32" s="17"/>
      <c r="N32" s="22"/>
    </row>
    <row r="33" spans="2:14" x14ac:dyDescent="0.25">
      <c r="B33" s="21"/>
      <c r="C33" s="17"/>
      <c r="D33" s="17"/>
      <c r="E33" s="17"/>
      <c r="F33" s="17"/>
      <c r="G33" s="17"/>
      <c r="H33" s="38"/>
      <c r="I33" s="17"/>
      <c r="J33" s="17"/>
      <c r="K33" s="38"/>
      <c r="L33" s="17"/>
      <c r="M33" s="17"/>
      <c r="N33" s="22"/>
    </row>
    <row r="34" spans="2:14" x14ac:dyDescent="0.25">
      <c r="B34" s="21"/>
      <c r="C34" s="17"/>
      <c r="D34" s="17"/>
      <c r="E34" s="17"/>
      <c r="F34" s="17"/>
      <c r="G34" s="17"/>
      <c r="H34" s="38"/>
      <c r="I34" s="17"/>
      <c r="J34" s="17"/>
      <c r="K34" s="38"/>
      <c r="L34" s="17"/>
      <c r="M34" s="17"/>
      <c r="N34" s="22"/>
    </row>
    <row r="35" spans="2:14" x14ac:dyDescent="0.25">
      <c r="B35" s="21"/>
      <c r="C35" s="17"/>
      <c r="D35" s="17"/>
      <c r="E35" s="17"/>
      <c r="F35" s="17"/>
      <c r="G35" s="17"/>
      <c r="H35" s="38"/>
      <c r="I35" s="17"/>
      <c r="J35" s="17"/>
      <c r="K35" s="38"/>
      <c r="L35" s="17"/>
      <c r="M35" s="17"/>
      <c r="N35" s="22"/>
    </row>
    <row r="36" spans="2:14" x14ac:dyDescent="0.25">
      <c r="B36" s="21"/>
      <c r="C36" s="17"/>
      <c r="D36" s="17"/>
      <c r="E36" s="17"/>
      <c r="F36" s="17"/>
      <c r="G36" s="17"/>
      <c r="H36" s="38"/>
      <c r="I36" s="17"/>
      <c r="J36" s="17"/>
      <c r="K36" s="38"/>
      <c r="L36" s="17"/>
      <c r="M36" s="17"/>
      <c r="N36" s="22"/>
    </row>
    <row r="37" spans="2:14" x14ac:dyDescent="0.25">
      <c r="B37" s="21"/>
      <c r="C37" s="17"/>
      <c r="D37" s="17"/>
      <c r="E37" s="17"/>
      <c r="F37" s="17"/>
      <c r="G37" s="17"/>
      <c r="H37" s="38"/>
      <c r="I37" s="17"/>
      <c r="J37" s="17"/>
      <c r="K37" s="38"/>
      <c r="L37" s="17"/>
      <c r="M37" s="17"/>
      <c r="N37" s="22"/>
    </row>
    <row r="38" spans="2:14" ht="15.75" thickBot="1" x14ac:dyDescent="0.3">
      <c r="B38" s="2"/>
      <c r="C38" s="23"/>
      <c r="D38" s="23"/>
      <c r="E38" s="23"/>
      <c r="F38" s="23"/>
      <c r="G38" s="23"/>
      <c r="H38" s="39"/>
      <c r="I38" s="23"/>
      <c r="J38" s="23"/>
      <c r="K38" s="39"/>
      <c r="L38" s="23"/>
      <c r="M38" s="23"/>
      <c r="N38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F2A1C-AD7A-4516-8453-6492F120EB88}">
  <dimension ref="B2:N38"/>
  <sheetViews>
    <sheetView workbookViewId="0">
      <selection activeCell="G22" sqref="G22"/>
    </sheetView>
  </sheetViews>
  <sheetFormatPr defaultRowHeight="15" x14ac:dyDescent="0.25"/>
  <cols>
    <col min="1" max="1" width="4.28515625" customWidth="1"/>
    <col min="2" max="2" width="15.140625" customWidth="1"/>
    <col min="3" max="3" width="23" bestFit="1" customWidth="1"/>
    <col min="4" max="4" width="15.28515625" bestFit="1" customWidth="1"/>
    <col min="5" max="5" width="6.85546875" bestFit="1" customWidth="1"/>
    <col min="6" max="6" width="11.7109375" bestFit="1" customWidth="1"/>
    <col min="7" max="7" width="14.7109375" bestFit="1" customWidth="1"/>
    <col min="9" max="9" width="7.42578125" bestFit="1" customWidth="1"/>
    <col min="10" max="10" width="14.7109375" bestFit="1" customWidth="1"/>
    <col min="12" max="12" width="7.42578125" bestFit="1" customWidth="1"/>
    <col min="13" max="13" width="19.42578125" bestFit="1" customWidth="1"/>
    <col min="14" max="14" width="15.5703125" bestFit="1" customWidth="1"/>
    <col min="15" max="15" width="9.140625" customWidth="1"/>
  </cols>
  <sheetData>
    <row r="2" spans="2:14" ht="15.75" thickBot="1" x14ac:dyDescent="0.3">
      <c r="B2" t="s">
        <v>28</v>
      </c>
      <c r="H2" s="35"/>
      <c r="K2" s="35"/>
    </row>
    <row r="3" spans="2:14" ht="15.75" thickBot="1" x14ac:dyDescent="0.3">
      <c r="B3" s="28" t="s">
        <v>5</v>
      </c>
      <c r="C3" s="29" t="s">
        <v>6</v>
      </c>
      <c r="D3" s="29" t="s">
        <v>7</v>
      </c>
      <c r="E3" s="29" t="s">
        <v>8</v>
      </c>
      <c r="F3" s="29" t="s">
        <v>9</v>
      </c>
      <c r="G3" s="29" t="s">
        <v>10</v>
      </c>
      <c r="H3" s="36" t="s">
        <v>11</v>
      </c>
      <c r="I3" s="29" t="s">
        <v>12</v>
      </c>
      <c r="J3" s="29" t="s">
        <v>13</v>
      </c>
      <c r="K3" s="36" t="s">
        <v>14</v>
      </c>
      <c r="L3" s="29" t="s">
        <v>15</v>
      </c>
      <c r="M3" s="29" t="s">
        <v>16</v>
      </c>
      <c r="N3" s="30" t="s">
        <v>17</v>
      </c>
    </row>
    <row r="4" spans="2:14" x14ac:dyDescent="0.25">
      <c r="B4" s="18" t="e" cm="1">
        <f t="array" ref="B4">_xlfn._xlws.SORT(_xlfn._xlws.FILTER(Invulblad!B6:T1003,Invulblad!S6:S1003=B2,""),4,1)</f>
        <v>#VALUE!</v>
      </c>
      <c r="C4" s="19"/>
      <c r="D4" s="19"/>
      <c r="E4" s="19"/>
      <c r="F4" s="19"/>
      <c r="G4" s="19"/>
      <c r="H4" s="37"/>
      <c r="I4" s="19"/>
      <c r="J4" s="19"/>
      <c r="K4" s="37"/>
      <c r="L4" s="19"/>
      <c r="M4" s="19"/>
      <c r="N4" s="20"/>
    </row>
    <row r="5" spans="2:14" x14ac:dyDescent="0.25">
      <c r="B5" s="21"/>
      <c r="C5" s="17"/>
      <c r="D5" s="17"/>
      <c r="E5" s="17"/>
      <c r="F5" s="17"/>
      <c r="G5" s="17"/>
      <c r="H5" s="38"/>
      <c r="I5" s="17"/>
      <c r="J5" s="17"/>
      <c r="K5" s="38"/>
      <c r="L5" s="17"/>
      <c r="M5" s="17"/>
      <c r="N5" s="22"/>
    </row>
    <row r="6" spans="2:14" x14ac:dyDescent="0.25">
      <c r="B6" s="21"/>
      <c r="C6" s="17"/>
      <c r="D6" s="17"/>
      <c r="E6" s="17"/>
      <c r="F6" s="17"/>
      <c r="G6" s="17"/>
      <c r="H6" s="38"/>
      <c r="I6" s="17"/>
      <c r="J6" s="17"/>
      <c r="K6" s="38"/>
      <c r="L6" s="17"/>
      <c r="M6" s="17"/>
      <c r="N6" s="22"/>
    </row>
    <row r="7" spans="2:14" x14ac:dyDescent="0.25">
      <c r="B7" s="21"/>
      <c r="C7" s="17"/>
      <c r="D7" s="17"/>
      <c r="E7" s="17"/>
      <c r="F7" s="17"/>
      <c r="G7" s="17"/>
      <c r="H7" s="38"/>
      <c r="I7" s="17"/>
      <c r="J7" s="17"/>
      <c r="K7" s="38"/>
      <c r="L7" s="17"/>
      <c r="M7" s="17"/>
      <c r="N7" s="22"/>
    </row>
    <row r="8" spans="2:14" x14ac:dyDescent="0.25">
      <c r="B8" s="21"/>
      <c r="C8" s="17"/>
      <c r="D8" s="17"/>
      <c r="E8" s="17"/>
      <c r="F8" s="17"/>
      <c r="G8" s="17"/>
      <c r="H8" s="38"/>
      <c r="I8" s="17"/>
      <c r="J8" s="17"/>
      <c r="K8" s="38"/>
      <c r="L8" s="17"/>
      <c r="M8" s="17"/>
      <c r="N8" s="22"/>
    </row>
    <row r="9" spans="2:14" x14ac:dyDescent="0.25">
      <c r="B9" s="21"/>
      <c r="C9" s="17"/>
      <c r="D9" s="17"/>
      <c r="E9" s="17"/>
      <c r="F9" s="17"/>
      <c r="G9" s="17"/>
      <c r="H9" s="38"/>
      <c r="I9" s="17"/>
      <c r="J9" s="17"/>
      <c r="K9" s="38"/>
      <c r="L9" s="17"/>
      <c r="M9" s="17"/>
      <c r="N9" s="22"/>
    </row>
    <row r="10" spans="2:14" x14ac:dyDescent="0.25">
      <c r="B10" s="21"/>
      <c r="C10" s="17"/>
      <c r="D10" s="17"/>
      <c r="E10" s="17"/>
      <c r="F10" s="17"/>
      <c r="G10" s="17"/>
      <c r="H10" s="38"/>
      <c r="I10" s="17"/>
      <c r="J10" s="17"/>
      <c r="K10" s="38"/>
      <c r="L10" s="17"/>
      <c r="M10" s="17"/>
      <c r="N10" s="22"/>
    </row>
    <row r="11" spans="2:14" x14ac:dyDescent="0.25">
      <c r="B11" s="21"/>
      <c r="C11" s="17"/>
      <c r="D11" s="17"/>
      <c r="E11" s="17"/>
      <c r="F11" s="17"/>
      <c r="G11" s="17"/>
      <c r="H11" s="38"/>
      <c r="I11" s="17"/>
      <c r="J11" s="17"/>
      <c r="K11" s="38"/>
      <c r="L11" s="17"/>
      <c r="M11" s="17"/>
      <c r="N11" s="22"/>
    </row>
    <row r="12" spans="2:14" x14ac:dyDescent="0.25">
      <c r="B12" s="21"/>
      <c r="C12" s="17"/>
      <c r="D12" s="17"/>
      <c r="E12" s="17"/>
      <c r="F12" s="17"/>
      <c r="G12" s="17"/>
      <c r="H12" s="38"/>
      <c r="I12" s="17"/>
      <c r="J12" s="17"/>
      <c r="K12" s="38"/>
      <c r="L12" s="17"/>
      <c r="M12" s="17"/>
      <c r="N12" s="22"/>
    </row>
    <row r="13" spans="2:14" x14ac:dyDescent="0.25">
      <c r="B13" s="21"/>
      <c r="C13" s="17"/>
      <c r="D13" s="17"/>
      <c r="E13" s="17"/>
      <c r="F13" s="17"/>
      <c r="G13" s="17"/>
      <c r="H13" s="38"/>
      <c r="I13" s="17"/>
      <c r="J13" s="17"/>
      <c r="K13" s="38"/>
      <c r="L13" s="17"/>
      <c r="M13" s="17"/>
      <c r="N13" s="22"/>
    </row>
    <row r="14" spans="2:14" x14ac:dyDescent="0.25">
      <c r="B14" s="21"/>
      <c r="C14" s="17"/>
      <c r="D14" s="17"/>
      <c r="E14" s="17"/>
      <c r="F14" s="17"/>
      <c r="G14" s="17"/>
      <c r="H14" s="38"/>
      <c r="I14" s="17"/>
      <c r="J14" s="17"/>
      <c r="K14" s="38"/>
      <c r="L14" s="17"/>
      <c r="M14" s="17"/>
      <c r="N14" s="22"/>
    </row>
    <row r="15" spans="2:14" x14ac:dyDescent="0.25">
      <c r="B15" s="21"/>
      <c r="C15" s="17"/>
      <c r="D15" s="17"/>
      <c r="E15" s="17"/>
      <c r="F15" s="17"/>
      <c r="G15" s="17"/>
      <c r="H15" s="38"/>
      <c r="I15" s="17"/>
      <c r="J15" s="17"/>
      <c r="K15" s="38"/>
      <c r="L15" s="17"/>
      <c r="M15" s="17"/>
      <c r="N15" s="22"/>
    </row>
    <row r="16" spans="2:14" x14ac:dyDescent="0.25">
      <c r="B16" s="21"/>
      <c r="C16" s="17"/>
      <c r="D16" s="17"/>
      <c r="E16" s="17"/>
      <c r="F16" s="17"/>
      <c r="G16" s="17"/>
      <c r="H16" s="38"/>
      <c r="I16" s="17"/>
      <c r="J16" s="17"/>
      <c r="K16" s="38"/>
      <c r="L16" s="17"/>
      <c r="M16" s="17"/>
      <c r="N16" s="22"/>
    </row>
    <row r="17" spans="2:14" x14ac:dyDescent="0.25">
      <c r="B17" s="21"/>
      <c r="C17" s="17"/>
      <c r="D17" s="17"/>
      <c r="E17" s="17"/>
      <c r="F17" s="17"/>
      <c r="G17" s="17"/>
      <c r="H17" s="38"/>
      <c r="I17" s="17"/>
      <c r="J17" s="17"/>
      <c r="K17" s="38"/>
      <c r="L17" s="17"/>
      <c r="M17" s="17"/>
      <c r="N17" s="22"/>
    </row>
    <row r="18" spans="2:14" x14ac:dyDescent="0.25">
      <c r="B18" s="21"/>
      <c r="C18" s="17"/>
      <c r="D18" s="17"/>
      <c r="E18" s="17"/>
      <c r="F18" s="17"/>
      <c r="G18" s="17"/>
      <c r="H18" s="38"/>
      <c r="I18" s="17"/>
      <c r="J18" s="17"/>
      <c r="K18" s="38"/>
      <c r="L18" s="17"/>
      <c r="M18" s="17"/>
      <c r="N18" s="22"/>
    </row>
    <row r="19" spans="2:14" x14ac:dyDescent="0.25">
      <c r="B19" s="21"/>
      <c r="C19" s="17"/>
      <c r="D19" s="17"/>
      <c r="E19" s="17"/>
      <c r="F19" s="17"/>
      <c r="G19" s="17"/>
      <c r="H19" s="38"/>
      <c r="I19" s="17"/>
      <c r="J19" s="17"/>
      <c r="K19" s="38"/>
      <c r="L19" s="17"/>
      <c r="M19" s="17"/>
      <c r="N19" s="22"/>
    </row>
    <row r="20" spans="2:14" x14ac:dyDescent="0.25">
      <c r="B20" s="21"/>
      <c r="C20" s="17"/>
      <c r="D20" s="17"/>
      <c r="E20" s="17"/>
      <c r="F20" s="17"/>
      <c r="G20" s="17"/>
      <c r="H20" s="38"/>
      <c r="I20" s="17"/>
      <c r="J20" s="17"/>
      <c r="K20" s="38"/>
      <c r="L20" s="17"/>
      <c r="M20" s="17"/>
      <c r="N20" s="22"/>
    </row>
    <row r="21" spans="2:14" x14ac:dyDescent="0.25">
      <c r="B21" s="21"/>
      <c r="C21" s="17"/>
      <c r="D21" s="17"/>
      <c r="E21" s="17"/>
      <c r="F21" s="17"/>
      <c r="G21" s="17"/>
      <c r="H21" s="38"/>
      <c r="I21" s="17"/>
      <c r="J21" s="17"/>
      <c r="K21" s="38"/>
      <c r="L21" s="17"/>
      <c r="M21" s="17"/>
      <c r="N21" s="22"/>
    </row>
    <row r="22" spans="2:14" x14ac:dyDescent="0.25">
      <c r="B22" s="21"/>
      <c r="C22" s="17"/>
      <c r="D22" s="17"/>
      <c r="E22" s="17"/>
      <c r="F22" s="17"/>
      <c r="G22" s="17"/>
      <c r="H22" s="38"/>
      <c r="I22" s="17"/>
      <c r="J22" s="17"/>
      <c r="K22" s="38"/>
      <c r="L22" s="17"/>
      <c r="M22" s="17"/>
      <c r="N22" s="22"/>
    </row>
    <row r="23" spans="2:14" x14ac:dyDescent="0.25">
      <c r="B23" s="21"/>
      <c r="C23" s="17"/>
      <c r="D23" s="17"/>
      <c r="E23" s="17"/>
      <c r="F23" s="17"/>
      <c r="G23" s="17"/>
      <c r="H23" s="38"/>
      <c r="I23" s="17"/>
      <c r="J23" s="17"/>
      <c r="K23" s="38"/>
      <c r="L23" s="17"/>
      <c r="M23" s="17"/>
      <c r="N23" s="22"/>
    </row>
    <row r="24" spans="2:14" x14ac:dyDescent="0.25">
      <c r="B24" s="21"/>
      <c r="C24" s="17"/>
      <c r="D24" s="17"/>
      <c r="E24" s="17"/>
      <c r="F24" s="17"/>
      <c r="G24" s="17"/>
      <c r="H24" s="38"/>
      <c r="I24" s="17"/>
      <c r="J24" s="17"/>
      <c r="K24" s="38"/>
      <c r="L24" s="17"/>
      <c r="M24" s="17"/>
      <c r="N24" s="22"/>
    </row>
    <row r="25" spans="2:14" x14ac:dyDescent="0.25">
      <c r="B25" s="21"/>
      <c r="C25" s="17"/>
      <c r="D25" s="17"/>
      <c r="E25" s="17"/>
      <c r="F25" s="17"/>
      <c r="G25" s="17"/>
      <c r="H25" s="38"/>
      <c r="I25" s="17"/>
      <c r="J25" s="17"/>
      <c r="K25" s="38"/>
      <c r="L25" s="17"/>
      <c r="M25" s="17"/>
      <c r="N25" s="22"/>
    </row>
    <row r="26" spans="2:14" x14ac:dyDescent="0.25">
      <c r="B26" s="21"/>
      <c r="C26" s="17"/>
      <c r="D26" s="17"/>
      <c r="E26" s="17"/>
      <c r="F26" s="17"/>
      <c r="G26" s="17"/>
      <c r="H26" s="38"/>
      <c r="I26" s="17"/>
      <c r="J26" s="17"/>
      <c r="K26" s="38"/>
      <c r="L26" s="17"/>
      <c r="M26" s="17"/>
      <c r="N26" s="22"/>
    </row>
    <row r="27" spans="2:14" x14ac:dyDescent="0.25">
      <c r="B27" s="21"/>
      <c r="C27" s="17"/>
      <c r="D27" s="17"/>
      <c r="E27" s="17"/>
      <c r="F27" s="17"/>
      <c r="G27" s="17"/>
      <c r="H27" s="38"/>
      <c r="I27" s="17"/>
      <c r="J27" s="17"/>
      <c r="K27" s="38"/>
      <c r="L27" s="17"/>
      <c r="M27" s="17"/>
      <c r="N27" s="22"/>
    </row>
    <row r="28" spans="2:14" x14ac:dyDescent="0.25">
      <c r="B28" s="21"/>
      <c r="C28" s="17"/>
      <c r="D28" s="17"/>
      <c r="E28" s="17"/>
      <c r="F28" s="17"/>
      <c r="G28" s="17"/>
      <c r="H28" s="38"/>
      <c r="I28" s="17"/>
      <c r="J28" s="17"/>
      <c r="K28" s="38"/>
      <c r="L28" s="17"/>
      <c r="M28" s="17"/>
      <c r="N28" s="22"/>
    </row>
    <row r="29" spans="2:14" x14ac:dyDescent="0.25">
      <c r="B29" s="21"/>
      <c r="C29" s="17"/>
      <c r="D29" s="17"/>
      <c r="E29" s="17"/>
      <c r="F29" s="17"/>
      <c r="G29" s="17"/>
      <c r="H29" s="38"/>
      <c r="I29" s="17"/>
      <c r="J29" s="17"/>
      <c r="K29" s="38"/>
      <c r="L29" s="17"/>
      <c r="M29" s="17"/>
      <c r="N29" s="22"/>
    </row>
    <row r="30" spans="2:14" x14ac:dyDescent="0.25">
      <c r="B30" s="21"/>
      <c r="C30" s="17"/>
      <c r="D30" s="17"/>
      <c r="E30" s="17"/>
      <c r="F30" s="17"/>
      <c r="G30" s="17"/>
      <c r="H30" s="38"/>
      <c r="I30" s="17"/>
      <c r="J30" s="17"/>
      <c r="K30" s="38"/>
      <c r="L30" s="17"/>
      <c r="M30" s="17"/>
      <c r="N30" s="22"/>
    </row>
    <row r="31" spans="2:14" x14ac:dyDescent="0.25">
      <c r="B31" s="21"/>
      <c r="C31" s="17"/>
      <c r="D31" s="17"/>
      <c r="E31" s="17"/>
      <c r="F31" s="17"/>
      <c r="G31" s="17"/>
      <c r="H31" s="38"/>
      <c r="I31" s="17"/>
      <c r="J31" s="17"/>
      <c r="K31" s="38"/>
      <c r="L31" s="17"/>
      <c r="M31" s="17"/>
      <c r="N31" s="22"/>
    </row>
    <row r="32" spans="2:14" x14ac:dyDescent="0.25">
      <c r="B32" s="21"/>
      <c r="C32" s="17"/>
      <c r="D32" s="17"/>
      <c r="E32" s="17"/>
      <c r="F32" s="17"/>
      <c r="G32" s="17"/>
      <c r="H32" s="38"/>
      <c r="I32" s="17"/>
      <c r="J32" s="17"/>
      <c r="K32" s="38"/>
      <c r="L32" s="17"/>
      <c r="M32" s="17"/>
      <c r="N32" s="22"/>
    </row>
    <row r="33" spans="2:14" x14ac:dyDescent="0.25">
      <c r="B33" s="21"/>
      <c r="C33" s="17"/>
      <c r="D33" s="17"/>
      <c r="E33" s="17"/>
      <c r="F33" s="17"/>
      <c r="G33" s="17"/>
      <c r="H33" s="38"/>
      <c r="I33" s="17"/>
      <c r="J33" s="17"/>
      <c r="K33" s="38"/>
      <c r="L33" s="17"/>
      <c r="M33" s="17"/>
      <c r="N33" s="22"/>
    </row>
    <row r="34" spans="2:14" x14ac:dyDescent="0.25">
      <c r="B34" s="21"/>
      <c r="C34" s="17"/>
      <c r="D34" s="17"/>
      <c r="E34" s="17"/>
      <c r="F34" s="17"/>
      <c r="G34" s="17"/>
      <c r="H34" s="38"/>
      <c r="I34" s="17"/>
      <c r="J34" s="17"/>
      <c r="K34" s="38"/>
      <c r="L34" s="17"/>
      <c r="M34" s="17"/>
      <c r="N34" s="22"/>
    </row>
    <row r="35" spans="2:14" x14ac:dyDescent="0.25">
      <c r="B35" s="21"/>
      <c r="C35" s="17"/>
      <c r="D35" s="17"/>
      <c r="E35" s="17"/>
      <c r="F35" s="17"/>
      <c r="G35" s="17"/>
      <c r="H35" s="38"/>
      <c r="I35" s="17"/>
      <c r="J35" s="17"/>
      <c r="K35" s="38"/>
      <c r="L35" s="17"/>
      <c r="M35" s="17"/>
      <c r="N35" s="22"/>
    </row>
    <row r="36" spans="2:14" x14ac:dyDescent="0.25">
      <c r="B36" s="21"/>
      <c r="C36" s="17"/>
      <c r="D36" s="17"/>
      <c r="E36" s="17"/>
      <c r="F36" s="17"/>
      <c r="G36" s="17"/>
      <c r="H36" s="38"/>
      <c r="I36" s="17"/>
      <c r="J36" s="17"/>
      <c r="K36" s="38"/>
      <c r="L36" s="17"/>
      <c r="M36" s="17"/>
      <c r="N36" s="22"/>
    </row>
    <row r="37" spans="2:14" x14ac:dyDescent="0.25">
      <c r="B37" s="21"/>
      <c r="C37" s="17"/>
      <c r="D37" s="17"/>
      <c r="E37" s="17"/>
      <c r="F37" s="17"/>
      <c r="G37" s="17"/>
      <c r="H37" s="38"/>
      <c r="I37" s="17"/>
      <c r="J37" s="17"/>
      <c r="K37" s="38"/>
      <c r="L37" s="17"/>
      <c r="M37" s="17"/>
      <c r="N37" s="22"/>
    </row>
    <row r="38" spans="2:14" ht="15.75" thickBot="1" x14ac:dyDescent="0.3">
      <c r="B38" s="2"/>
      <c r="C38" s="23"/>
      <c r="D38" s="23"/>
      <c r="E38" s="23"/>
      <c r="F38" s="23"/>
      <c r="G38" s="23"/>
      <c r="H38" s="39"/>
      <c r="I38" s="23"/>
      <c r="J38" s="23"/>
      <c r="K38" s="39"/>
      <c r="L38" s="23"/>
      <c r="M38" s="23"/>
      <c r="N38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C7968-66FF-4FC4-94A8-47FF9C055245}">
  <dimension ref="B2:N38"/>
  <sheetViews>
    <sheetView workbookViewId="0">
      <selection activeCell="C13" sqref="C13"/>
    </sheetView>
  </sheetViews>
  <sheetFormatPr defaultRowHeight="15" x14ac:dyDescent="0.25"/>
  <cols>
    <col min="1" max="1" width="4.28515625" customWidth="1"/>
    <col min="2" max="2" width="14.28515625" customWidth="1"/>
    <col min="3" max="3" width="24.85546875" bestFit="1" customWidth="1"/>
    <col min="4" max="4" width="16.140625" bestFit="1" customWidth="1"/>
    <col min="5" max="5" width="6.85546875" bestFit="1" customWidth="1"/>
    <col min="6" max="6" width="11.7109375" bestFit="1" customWidth="1"/>
    <col min="7" max="7" width="14.7109375" bestFit="1" customWidth="1"/>
    <col min="8" max="8" width="9.140625" bestFit="1" customWidth="1"/>
    <col min="9" max="9" width="7.42578125" bestFit="1" customWidth="1"/>
    <col min="10" max="10" width="14.7109375" bestFit="1" customWidth="1"/>
    <col min="11" max="11" width="9.140625" bestFit="1" customWidth="1"/>
    <col min="12" max="12" width="7.42578125" bestFit="1" customWidth="1"/>
    <col min="13" max="13" width="19" bestFit="1" customWidth="1"/>
    <col min="14" max="14" width="15.5703125" bestFit="1" customWidth="1"/>
    <col min="15" max="15" width="9.140625" customWidth="1"/>
  </cols>
  <sheetData>
    <row r="2" spans="2:14" ht="15.75" thickBot="1" x14ac:dyDescent="0.3">
      <c r="B2" t="s">
        <v>26</v>
      </c>
      <c r="H2" s="35"/>
      <c r="K2" s="35"/>
    </row>
    <row r="3" spans="2:14" ht="15.75" thickBot="1" x14ac:dyDescent="0.3">
      <c r="B3" s="28" t="s">
        <v>5</v>
      </c>
      <c r="C3" s="29" t="s">
        <v>6</v>
      </c>
      <c r="D3" s="29" t="s">
        <v>7</v>
      </c>
      <c r="E3" s="29" t="s">
        <v>8</v>
      </c>
      <c r="F3" s="29" t="s">
        <v>9</v>
      </c>
      <c r="G3" s="29" t="s">
        <v>10</v>
      </c>
      <c r="H3" s="36" t="s">
        <v>11</v>
      </c>
      <c r="I3" s="29" t="s">
        <v>12</v>
      </c>
      <c r="J3" s="29" t="s">
        <v>13</v>
      </c>
      <c r="K3" s="36" t="s">
        <v>14</v>
      </c>
      <c r="L3" s="29" t="s">
        <v>15</v>
      </c>
      <c r="M3" s="29" t="s">
        <v>16</v>
      </c>
      <c r="N3" s="30" t="s">
        <v>17</v>
      </c>
    </row>
    <row r="4" spans="2:14" x14ac:dyDescent="0.25">
      <c r="B4" s="18" t="e" cm="1">
        <f t="array" ref="B4">_xlfn._xlws.SORT(_xlfn._xlws.FILTER(Invulblad!B6:T1003,Invulblad!S6:S1003=B2,""),4,1)</f>
        <v>#VALUE!</v>
      </c>
      <c r="C4" s="19"/>
      <c r="D4" s="19"/>
      <c r="E4" s="19"/>
      <c r="F4" s="19"/>
      <c r="G4" s="19"/>
      <c r="H4" s="37"/>
      <c r="I4" s="19"/>
      <c r="J4" s="19"/>
      <c r="K4" s="37"/>
      <c r="L4" s="19"/>
      <c r="M4" s="19"/>
      <c r="N4" s="20"/>
    </row>
    <row r="5" spans="2:14" x14ac:dyDescent="0.25">
      <c r="B5" s="21"/>
      <c r="C5" s="17"/>
      <c r="D5" s="17"/>
      <c r="E5" s="17"/>
      <c r="F5" s="17"/>
      <c r="G5" s="17"/>
      <c r="H5" s="38"/>
      <c r="I5" s="17"/>
      <c r="J5" s="17"/>
      <c r="K5" s="38"/>
      <c r="L5" s="17"/>
      <c r="M5" s="17"/>
      <c r="N5" s="22"/>
    </row>
    <row r="6" spans="2:14" x14ac:dyDescent="0.25">
      <c r="B6" s="21"/>
      <c r="C6" s="17"/>
      <c r="D6" s="17"/>
      <c r="E6" s="17"/>
      <c r="F6" s="17"/>
      <c r="G6" s="17"/>
      <c r="H6" s="38"/>
      <c r="I6" s="17"/>
      <c r="J6" s="17"/>
      <c r="K6" s="38"/>
      <c r="L6" s="17"/>
      <c r="M6" s="17"/>
      <c r="N6" s="22"/>
    </row>
    <row r="7" spans="2:14" x14ac:dyDescent="0.25">
      <c r="B7" s="21"/>
      <c r="C7" s="17"/>
      <c r="D7" s="17"/>
      <c r="E7" s="17"/>
      <c r="F7" s="17"/>
      <c r="G7" s="17"/>
      <c r="H7" s="38"/>
      <c r="I7" s="17"/>
      <c r="J7" s="17"/>
      <c r="K7" s="38"/>
      <c r="L7" s="17"/>
      <c r="M7" s="17"/>
      <c r="N7" s="22"/>
    </row>
    <row r="8" spans="2:14" x14ac:dyDescent="0.25">
      <c r="B8" s="21"/>
      <c r="C8" s="17"/>
      <c r="D8" s="17"/>
      <c r="E8" s="17"/>
      <c r="F8" s="17"/>
      <c r="G8" s="17"/>
      <c r="H8" s="38"/>
      <c r="I8" s="17"/>
      <c r="J8" s="17"/>
      <c r="K8" s="38"/>
      <c r="L8" s="17"/>
      <c r="M8" s="17"/>
      <c r="N8" s="22"/>
    </row>
    <row r="9" spans="2:14" x14ac:dyDescent="0.25">
      <c r="B9" s="21"/>
      <c r="C9" s="17"/>
      <c r="D9" s="17"/>
      <c r="E9" s="17"/>
      <c r="F9" s="17"/>
      <c r="G9" s="17"/>
      <c r="H9" s="38"/>
      <c r="I9" s="17"/>
      <c r="J9" s="17"/>
      <c r="K9" s="38"/>
      <c r="L9" s="17"/>
      <c r="M9" s="17"/>
      <c r="N9" s="22"/>
    </row>
    <row r="10" spans="2:14" x14ac:dyDescent="0.25">
      <c r="B10" s="21"/>
      <c r="C10" s="17"/>
      <c r="D10" s="17"/>
      <c r="E10" s="17"/>
      <c r="F10" s="17"/>
      <c r="G10" s="17"/>
      <c r="H10" s="38"/>
      <c r="I10" s="17"/>
      <c r="J10" s="17"/>
      <c r="K10" s="38"/>
      <c r="L10" s="17"/>
      <c r="M10" s="17"/>
      <c r="N10" s="22"/>
    </row>
    <row r="11" spans="2:14" x14ac:dyDescent="0.25">
      <c r="B11" s="21"/>
      <c r="C11" s="17"/>
      <c r="D11" s="17"/>
      <c r="E11" s="17"/>
      <c r="F11" s="17"/>
      <c r="G11" s="17"/>
      <c r="H11" s="38"/>
      <c r="I11" s="17"/>
      <c r="J11" s="17"/>
      <c r="K11" s="38"/>
      <c r="L11" s="17"/>
      <c r="M11" s="17"/>
      <c r="N11" s="22"/>
    </row>
    <row r="12" spans="2:14" x14ac:dyDescent="0.25">
      <c r="B12" s="21"/>
      <c r="C12" s="17"/>
      <c r="D12" s="17"/>
      <c r="E12" s="17"/>
      <c r="F12" s="17"/>
      <c r="G12" s="17"/>
      <c r="H12" s="38"/>
      <c r="I12" s="17"/>
      <c r="J12" s="17"/>
      <c r="K12" s="38"/>
      <c r="L12" s="17"/>
      <c r="M12" s="17"/>
      <c r="N12" s="22"/>
    </row>
    <row r="13" spans="2:14" x14ac:dyDescent="0.25">
      <c r="B13" s="21"/>
      <c r="C13" s="17"/>
      <c r="D13" s="17"/>
      <c r="E13" s="17"/>
      <c r="F13" s="17"/>
      <c r="G13" s="17"/>
      <c r="H13" s="38"/>
      <c r="I13" s="17"/>
      <c r="J13" s="17"/>
      <c r="K13" s="38"/>
      <c r="L13" s="17"/>
      <c r="M13" s="17"/>
      <c r="N13" s="22"/>
    </row>
    <row r="14" spans="2:14" x14ac:dyDescent="0.25">
      <c r="B14" s="21"/>
      <c r="C14" s="17"/>
      <c r="D14" s="17"/>
      <c r="E14" s="17"/>
      <c r="F14" s="17"/>
      <c r="G14" s="17"/>
      <c r="H14" s="38"/>
      <c r="I14" s="17"/>
      <c r="J14" s="17"/>
      <c r="K14" s="38"/>
      <c r="L14" s="17"/>
      <c r="M14" s="17"/>
      <c r="N14" s="22"/>
    </row>
    <row r="15" spans="2:14" x14ac:dyDescent="0.25">
      <c r="B15" s="21"/>
      <c r="C15" s="17"/>
      <c r="D15" s="17"/>
      <c r="E15" s="17"/>
      <c r="F15" s="17"/>
      <c r="G15" s="17"/>
      <c r="H15" s="38"/>
      <c r="I15" s="17"/>
      <c r="J15" s="17"/>
      <c r="K15" s="38"/>
      <c r="L15" s="17"/>
      <c r="M15" s="17"/>
      <c r="N15" s="22"/>
    </row>
    <row r="16" spans="2:14" x14ac:dyDescent="0.25">
      <c r="B16" s="21"/>
      <c r="C16" s="17"/>
      <c r="D16" s="17"/>
      <c r="E16" s="17"/>
      <c r="F16" s="17"/>
      <c r="G16" s="17"/>
      <c r="H16" s="38"/>
      <c r="I16" s="17"/>
      <c r="J16" s="17"/>
      <c r="K16" s="38"/>
      <c r="L16" s="17"/>
      <c r="M16" s="17"/>
      <c r="N16" s="22"/>
    </row>
    <row r="17" spans="2:14" x14ac:dyDescent="0.25">
      <c r="B17" s="21"/>
      <c r="C17" s="17"/>
      <c r="D17" s="17"/>
      <c r="E17" s="17"/>
      <c r="F17" s="17"/>
      <c r="G17" s="17"/>
      <c r="H17" s="38"/>
      <c r="I17" s="17"/>
      <c r="J17" s="17"/>
      <c r="K17" s="38"/>
      <c r="L17" s="17"/>
      <c r="M17" s="17"/>
      <c r="N17" s="22"/>
    </row>
    <row r="18" spans="2:14" x14ac:dyDescent="0.25">
      <c r="B18" s="21"/>
      <c r="C18" s="17"/>
      <c r="D18" s="17"/>
      <c r="E18" s="17"/>
      <c r="F18" s="17"/>
      <c r="G18" s="17"/>
      <c r="H18" s="38"/>
      <c r="I18" s="17"/>
      <c r="J18" s="17"/>
      <c r="K18" s="38"/>
      <c r="L18" s="17"/>
      <c r="M18" s="17"/>
      <c r="N18" s="22"/>
    </row>
    <row r="19" spans="2:14" x14ac:dyDescent="0.25">
      <c r="B19" s="21"/>
      <c r="C19" s="17"/>
      <c r="D19" s="17"/>
      <c r="E19" s="17"/>
      <c r="F19" s="17"/>
      <c r="G19" s="17"/>
      <c r="H19" s="38"/>
      <c r="I19" s="17"/>
      <c r="J19" s="17"/>
      <c r="K19" s="38"/>
      <c r="L19" s="17"/>
      <c r="M19" s="17"/>
      <c r="N19" s="22"/>
    </row>
    <row r="20" spans="2:14" x14ac:dyDescent="0.25">
      <c r="B20" s="21"/>
      <c r="C20" s="17"/>
      <c r="D20" s="17"/>
      <c r="E20" s="17"/>
      <c r="F20" s="17"/>
      <c r="G20" s="17"/>
      <c r="H20" s="38"/>
      <c r="I20" s="17"/>
      <c r="J20" s="17"/>
      <c r="K20" s="38"/>
      <c r="L20" s="17"/>
      <c r="M20" s="17"/>
      <c r="N20" s="22"/>
    </row>
    <row r="21" spans="2:14" x14ac:dyDescent="0.25">
      <c r="B21" s="21"/>
      <c r="C21" s="17"/>
      <c r="D21" s="17"/>
      <c r="E21" s="17"/>
      <c r="F21" s="17"/>
      <c r="G21" s="17"/>
      <c r="H21" s="38"/>
      <c r="I21" s="17"/>
      <c r="J21" s="17"/>
      <c r="K21" s="38"/>
      <c r="L21" s="17"/>
      <c r="M21" s="17"/>
      <c r="N21" s="22"/>
    </row>
    <row r="22" spans="2:14" x14ac:dyDescent="0.25">
      <c r="B22" s="21"/>
      <c r="C22" s="17"/>
      <c r="D22" s="17"/>
      <c r="E22" s="17"/>
      <c r="F22" s="17"/>
      <c r="G22" s="17"/>
      <c r="H22" s="38"/>
      <c r="I22" s="17"/>
      <c r="J22" s="17"/>
      <c r="K22" s="38"/>
      <c r="L22" s="17"/>
      <c r="M22" s="17"/>
      <c r="N22" s="22"/>
    </row>
    <row r="23" spans="2:14" x14ac:dyDescent="0.25">
      <c r="B23" s="21"/>
      <c r="C23" s="17"/>
      <c r="D23" s="17"/>
      <c r="E23" s="17"/>
      <c r="F23" s="17"/>
      <c r="G23" s="17"/>
      <c r="H23" s="38"/>
      <c r="I23" s="17"/>
      <c r="J23" s="17"/>
      <c r="K23" s="38"/>
      <c r="L23" s="17"/>
      <c r="M23" s="17"/>
      <c r="N23" s="22"/>
    </row>
    <row r="24" spans="2:14" x14ac:dyDescent="0.25">
      <c r="B24" s="21"/>
      <c r="C24" s="17"/>
      <c r="D24" s="17"/>
      <c r="E24" s="17"/>
      <c r="F24" s="17"/>
      <c r="G24" s="17"/>
      <c r="H24" s="38"/>
      <c r="I24" s="17"/>
      <c r="J24" s="17"/>
      <c r="K24" s="38"/>
      <c r="L24" s="17"/>
      <c r="M24" s="17"/>
      <c r="N24" s="22"/>
    </row>
    <row r="25" spans="2:14" x14ac:dyDescent="0.25">
      <c r="B25" s="21"/>
      <c r="C25" s="17"/>
      <c r="D25" s="17"/>
      <c r="E25" s="17"/>
      <c r="F25" s="17"/>
      <c r="G25" s="17"/>
      <c r="H25" s="38"/>
      <c r="I25" s="17"/>
      <c r="J25" s="17"/>
      <c r="K25" s="38"/>
      <c r="L25" s="17"/>
      <c r="M25" s="17"/>
      <c r="N25" s="22"/>
    </row>
    <row r="26" spans="2:14" x14ac:dyDescent="0.25">
      <c r="B26" s="21"/>
      <c r="C26" s="17"/>
      <c r="D26" s="17"/>
      <c r="E26" s="17"/>
      <c r="F26" s="17"/>
      <c r="G26" s="17"/>
      <c r="H26" s="38"/>
      <c r="I26" s="17"/>
      <c r="J26" s="17"/>
      <c r="K26" s="38"/>
      <c r="L26" s="17"/>
      <c r="M26" s="17"/>
      <c r="N26" s="22"/>
    </row>
    <row r="27" spans="2:14" x14ac:dyDescent="0.25">
      <c r="B27" s="21"/>
      <c r="C27" s="17"/>
      <c r="D27" s="17"/>
      <c r="E27" s="17"/>
      <c r="F27" s="17"/>
      <c r="G27" s="17"/>
      <c r="H27" s="38"/>
      <c r="I27" s="17"/>
      <c r="J27" s="17"/>
      <c r="K27" s="38"/>
      <c r="L27" s="17"/>
      <c r="M27" s="17"/>
      <c r="N27" s="22"/>
    </row>
    <row r="28" spans="2:14" x14ac:dyDescent="0.25">
      <c r="B28" s="21"/>
      <c r="C28" s="17"/>
      <c r="D28" s="17"/>
      <c r="E28" s="17"/>
      <c r="F28" s="17"/>
      <c r="G28" s="17"/>
      <c r="H28" s="38"/>
      <c r="I28" s="17"/>
      <c r="J28" s="17"/>
      <c r="K28" s="38"/>
      <c r="L28" s="17"/>
      <c r="M28" s="17"/>
      <c r="N28" s="22"/>
    </row>
    <row r="29" spans="2:14" x14ac:dyDescent="0.25">
      <c r="B29" s="21"/>
      <c r="C29" s="17"/>
      <c r="D29" s="17"/>
      <c r="E29" s="17"/>
      <c r="F29" s="17"/>
      <c r="G29" s="17"/>
      <c r="H29" s="38"/>
      <c r="I29" s="17"/>
      <c r="J29" s="17"/>
      <c r="K29" s="38"/>
      <c r="L29" s="17"/>
      <c r="M29" s="17"/>
      <c r="N29" s="22"/>
    </row>
    <row r="30" spans="2:14" x14ac:dyDescent="0.25">
      <c r="B30" s="21"/>
      <c r="C30" s="17"/>
      <c r="D30" s="17"/>
      <c r="E30" s="17"/>
      <c r="F30" s="17"/>
      <c r="G30" s="17"/>
      <c r="H30" s="38"/>
      <c r="I30" s="17"/>
      <c r="J30" s="17"/>
      <c r="K30" s="38"/>
      <c r="L30" s="17"/>
      <c r="M30" s="17"/>
      <c r="N30" s="22"/>
    </row>
    <row r="31" spans="2:14" x14ac:dyDescent="0.25">
      <c r="B31" s="21"/>
      <c r="C31" s="17"/>
      <c r="D31" s="17"/>
      <c r="E31" s="17"/>
      <c r="F31" s="17"/>
      <c r="G31" s="17"/>
      <c r="H31" s="38"/>
      <c r="I31" s="17"/>
      <c r="J31" s="17"/>
      <c r="K31" s="38"/>
      <c r="L31" s="17"/>
      <c r="M31" s="17"/>
      <c r="N31" s="22"/>
    </row>
    <row r="32" spans="2:14" x14ac:dyDescent="0.25">
      <c r="B32" s="21"/>
      <c r="C32" s="17"/>
      <c r="D32" s="17"/>
      <c r="E32" s="17"/>
      <c r="F32" s="17"/>
      <c r="G32" s="17"/>
      <c r="H32" s="38"/>
      <c r="I32" s="17"/>
      <c r="J32" s="17"/>
      <c r="K32" s="38"/>
      <c r="L32" s="17"/>
      <c r="M32" s="17"/>
      <c r="N32" s="22"/>
    </row>
    <row r="33" spans="2:14" x14ac:dyDescent="0.25">
      <c r="B33" s="21"/>
      <c r="C33" s="17"/>
      <c r="D33" s="17"/>
      <c r="E33" s="17"/>
      <c r="F33" s="17"/>
      <c r="G33" s="17"/>
      <c r="H33" s="38"/>
      <c r="I33" s="17"/>
      <c r="J33" s="17"/>
      <c r="K33" s="38"/>
      <c r="L33" s="17"/>
      <c r="M33" s="17"/>
      <c r="N33" s="22"/>
    </row>
    <row r="34" spans="2:14" x14ac:dyDescent="0.25">
      <c r="B34" s="21"/>
      <c r="C34" s="17"/>
      <c r="D34" s="17"/>
      <c r="E34" s="17"/>
      <c r="F34" s="17"/>
      <c r="G34" s="17"/>
      <c r="H34" s="38"/>
      <c r="I34" s="17"/>
      <c r="J34" s="17"/>
      <c r="K34" s="38"/>
      <c r="L34" s="17"/>
      <c r="M34" s="17"/>
      <c r="N34" s="22"/>
    </row>
    <row r="35" spans="2:14" x14ac:dyDescent="0.25">
      <c r="B35" s="21"/>
      <c r="C35" s="17"/>
      <c r="D35" s="17"/>
      <c r="E35" s="17"/>
      <c r="F35" s="17"/>
      <c r="G35" s="17"/>
      <c r="H35" s="38"/>
      <c r="I35" s="17"/>
      <c r="J35" s="17"/>
      <c r="K35" s="38"/>
      <c r="L35" s="17"/>
      <c r="M35" s="17"/>
      <c r="N35" s="22"/>
    </row>
    <row r="36" spans="2:14" x14ac:dyDescent="0.25">
      <c r="B36" s="21"/>
      <c r="C36" s="17"/>
      <c r="D36" s="17"/>
      <c r="E36" s="17"/>
      <c r="F36" s="17"/>
      <c r="G36" s="17"/>
      <c r="H36" s="38"/>
      <c r="I36" s="17"/>
      <c r="J36" s="17"/>
      <c r="K36" s="38"/>
      <c r="L36" s="17"/>
      <c r="M36" s="17"/>
      <c r="N36" s="22"/>
    </row>
    <row r="37" spans="2:14" x14ac:dyDescent="0.25">
      <c r="B37" s="21"/>
      <c r="C37" s="17"/>
      <c r="D37" s="17"/>
      <c r="E37" s="17"/>
      <c r="F37" s="17"/>
      <c r="G37" s="17"/>
      <c r="H37" s="38"/>
      <c r="I37" s="17"/>
      <c r="J37" s="17"/>
      <c r="K37" s="38"/>
      <c r="L37" s="17"/>
      <c r="M37" s="17"/>
      <c r="N37" s="22"/>
    </row>
    <row r="38" spans="2:14" ht="15.75" thickBot="1" x14ac:dyDescent="0.3">
      <c r="B38" s="2"/>
      <c r="C38" s="23"/>
      <c r="D38" s="23"/>
      <c r="E38" s="23"/>
      <c r="F38" s="23"/>
      <c r="G38" s="23"/>
      <c r="H38" s="39"/>
      <c r="I38" s="23"/>
      <c r="J38" s="23"/>
      <c r="K38" s="39"/>
      <c r="L38" s="23"/>
      <c r="M38" s="23"/>
      <c r="N38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C5FF2-C2FD-48C0-B3C5-4DB99B01A1BE}">
  <dimension ref="B2:N38"/>
  <sheetViews>
    <sheetView workbookViewId="0"/>
  </sheetViews>
  <sheetFormatPr defaultRowHeight="15" x14ac:dyDescent="0.25"/>
  <cols>
    <col min="1" max="1" width="4.28515625" customWidth="1"/>
    <col min="2" max="2" width="13.85546875" customWidth="1"/>
    <col min="3" max="3" width="13.28515625" bestFit="1" customWidth="1"/>
    <col min="4" max="4" width="6.140625" bestFit="1" customWidth="1"/>
    <col min="5" max="5" width="6.85546875" bestFit="1" customWidth="1"/>
    <col min="6" max="6" width="11.7109375" bestFit="1" customWidth="1"/>
    <col min="7" max="7" width="14.7109375" bestFit="1" customWidth="1"/>
    <col min="9" max="9" width="7.42578125" bestFit="1" customWidth="1"/>
    <col min="10" max="10" width="14.7109375" bestFit="1" customWidth="1"/>
    <col min="12" max="12" width="7.42578125" bestFit="1" customWidth="1"/>
    <col min="13" max="13" width="30.28515625" bestFit="1" customWidth="1"/>
    <col min="14" max="14" width="15.5703125" bestFit="1" customWidth="1"/>
    <col min="15" max="15" width="9.140625" customWidth="1"/>
  </cols>
  <sheetData>
    <row r="2" spans="2:14" ht="15.75" thickBot="1" x14ac:dyDescent="0.3">
      <c r="B2" t="s">
        <v>40</v>
      </c>
      <c r="H2" s="35"/>
      <c r="K2" s="35"/>
    </row>
    <row r="3" spans="2:14" ht="15.75" thickBot="1" x14ac:dyDescent="0.3">
      <c r="B3" s="28" t="s">
        <v>5</v>
      </c>
      <c r="C3" s="29" t="s">
        <v>6</v>
      </c>
      <c r="D3" s="29" t="s">
        <v>7</v>
      </c>
      <c r="E3" s="29" t="s">
        <v>8</v>
      </c>
      <c r="F3" s="29" t="s">
        <v>9</v>
      </c>
      <c r="G3" s="29" t="s">
        <v>10</v>
      </c>
      <c r="H3" s="36" t="s">
        <v>11</v>
      </c>
      <c r="I3" s="29" t="s">
        <v>12</v>
      </c>
      <c r="J3" s="29" t="s">
        <v>13</v>
      </c>
      <c r="K3" s="36" t="s">
        <v>14</v>
      </c>
      <c r="L3" s="29" t="s">
        <v>15</v>
      </c>
      <c r="M3" s="29" t="s">
        <v>16</v>
      </c>
      <c r="N3" s="30" t="s">
        <v>17</v>
      </c>
    </row>
    <row r="4" spans="2:14" x14ac:dyDescent="0.25">
      <c r="B4" s="18" t="e" cm="1">
        <f t="array" ref="B4">_xlfn._xlws.SORT(_xlfn._xlws.FILTER(Invulblad!B6:T1003,Invulblad!S6:S1003=B2,""),4,1)</f>
        <v>#VALUE!</v>
      </c>
      <c r="C4" s="19"/>
      <c r="D4" s="19"/>
      <c r="E4" s="19"/>
      <c r="F4" s="19"/>
      <c r="G4" s="19"/>
      <c r="H4" s="37"/>
      <c r="I4" s="19"/>
      <c r="J4" s="19"/>
      <c r="K4" s="37"/>
      <c r="L4" s="19"/>
      <c r="M4" s="19"/>
      <c r="N4" s="20"/>
    </row>
    <row r="5" spans="2:14" x14ac:dyDescent="0.25">
      <c r="B5" s="21"/>
      <c r="C5" s="17"/>
      <c r="D5" s="17"/>
      <c r="E5" s="17"/>
      <c r="F5" s="17"/>
      <c r="G5" s="17"/>
      <c r="H5" s="38"/>
      <c r="I5" s="17"/>
      <c r="J5" s="17"/>
      <c r="K5" s="38"/>
      <c r="L5" s="17"/>
      <c r="M5" s="17"/>
      <c r="N5" s="22"/>
    </row>
    <row r="6" spans="2:14" x14ac:dyDescent="0.25">
      <c r="B6" s="21"/>
      <c r="C6" s="17"/>
      <c r="D6" s="17"/>
      <c r="E6" s="17"/>
      <c r="F6" s="17"/>
      <c r="G6" s="17"/>
      <c r="H6" s="38"/>
      <c r="I6" s="17"/>
      <c r="J6" s="17"/>
      <c r="K6" s="38"/>
      <c r="L6" s="17"/>
      <c r="M6" s="17"/>
      <c r="N6" s="22"/>
    </row>
    <row r="7" spans="2:14" x14ac:dyDescent="0.25">
      <c r="B7" s="21"/>
      <c r="C7" s="17"/>
      <c r="D7" s="17"/>
      <c r="E7" s="17"/>
      <c r="F7" s="17"/>
      <c r="G7" s="17"/>
      <c r="H7" s="38"/>
      <c r="I7" s="17"/>
      <c r="J7" s="17"/>
      <c r="K7" s="38"/>
      <c r="L7" s="17"/>
      <c r="M7" s="17"/>
      <c r="N7" s="22"/>
    </row>
    <row r="8" spans="2:14" x14ac:dyDescent="0.25">
      <c r="B8" s="21"/>
      <c r="C8" s="17"/>
      <c r="D8" s="17"/>
      <c r="E8" s="17"/>
      <c r="F8" s="17"/>
      <c r="G8" s="17"/>
      <c r="H8" s="38"/>
      <c r="I8" s="17"/>
      <c r="J8" s="17"/>
      <c r="K8" s="38"/>
      <c r="L8" s="17"/>
      <c r="M8" s="17"/>
      <c r="N8" s="22"/>
    </row>
    <row r="9" spans="2:14" x14ac:dyDescent="0.25">
      <c r="B9" s="21"/>
      <c r="C9" s="17"/>
      <c r="D9" s="17"/>
      <c r="E9" s="17"/>
      <c r="F9" s="17"/>
      <c r="G9" s="17"/>
      <c r="H9" s="38"/>
      <c r="I9" s="17"/>
      <c r="J9" s="17"/>
      <c r="K9" s="38"/>
      <c r="L9" s="17"/>
      <c r="M9" s="17"/>
      <c r="N9" s="22"/>
    </row>
    <row r="10" spans="2:14" x14ac:dyDescent="0.25">
      <c r="B10" s="21"/>
      <c r="C10" s="17"/>
      <c r="D10" s="17"/>
      <c r="E10" s="17"/>
      <c r="F10" s="17"/>
      <c r="G10" s="17"/>
      <c r="H10" s="38"/>
      <c r="I10" s="17"/>
      <c r="J10" s="17"/>
      <c r="K10" s="38"/>
      <c r="L10" s="17"/>
      <c r="M10" s="17"/>
      <c r="N10" s="22"/>
    </row>
    <row r="11" spans="2:14" x14ac:dyDescent="0.25">
      <c r="B11" s="21"/>
      <c r="C11" s="17"/>
      <c r="D11" s="17"/>
      <c r="E11" s="17"/>
      <c r="F11" s="17"/>
      <c r="G11" s="17"/>
      <c r="H11" s="38"/>
      <c r="I11" s="17"/>
      <c r="J11" s="17"/>
      <c r="K11" s="38"/>
      <c r="L11" s="17"/>
      <c r="M11" s="17"/>
      <c r="N11" s="22"/>
    </row>
    <row r="12" spans="2:14" x14ac:dyDescent="0.25">
      <c r="B12" s="21"/>
      <c r="C12" s="17"/>
      <c r="D12" s="17"/>
      <c r="E12" s="17"/>
      <c r="F12" s="17"/>
      <c r="G12" s="17"/>
      <c r="H12" s="38"/>
      <c r="I12" s="17"/>
      <c r="J12" s="17"/>
      <c r="K12" s="38"/>
      <c r="L12" s="17"/>
      <c r="M12" s="17"/>
      <c r="N12" s="22"/>
    </row>
    <row r="13" spans="2:14" x14ac:dyDescent="0.25">
      <c r="B13" s="21"/>
      <c r="C13" s="17"/>
      <c r="D13" s="17"/>
      <c r="E13" s="17"/>
      <c r="F13" s="17"/>
      <c r="G13" s="17"/>
      <c r="H13" s="38"/>
      <c r="I13" s="17"/>
      <c r="J13" s="17"/>
      <c r="K13" s="38"/>
      <c r="L13" s="17"/>
      <c r="M13" s="17"/>
      <c r="N13" s="22"/>
    </row>
    <row r="14" spans="2:14" x14ac:dyDescent="0.25">
      <c r="B14" s="21"/>
      <c r="C14" s="17"/>
      <c r="D14" s="17"/>
      <c r="E14" s="17"/>
      <c r="F14" s="17"/>
      <c r="G14" s="17"/>
      <c r="H14" s="38"/>
      <c r="I14" s="17"/>
      <c r="J14" s="17"/>
      <c r="K14" s="38"/>
      <c r="L14" s="17"/>
      <c r="M14" s="17"/>
      <c r="N14" s="22"/>
    </row>
    <row r="15" spans="2:14" x14ac:dyDescent="0.25">
      <c r="B15" s="21"/>
      <c r="C15" s="17"/>
      <c r="D15" s="17"/>
      <c r="E15" s="17"/>
      <c r="F15" s="17"/>
      <c r="G15" s="17"/>
      <c r="H15" s="38"/>
      <c r="I15" s="17"/>
      <c r="J15" s="17"/>
      <c r="K15" s="38"/>
      <c r="L15" s="17"/>
      <c r="M15" s="17"/>
      <c r="N15" s="22"/>
    </row>
    <row r="16" spans="2:14" x14ac:dyDescent="0.25">
      <c r="B16" s="21"/>
      <c r="C16" s="17"/>
      <c r="D16" s="17"/>
      <c r="E16" s="17"/>
      <c r="F16" s="17"/>
      <c r="G16" s="17"/>
      <c r="H16" s="38"/>
      <c r="I16" s="17"/>
      <c r="J16" s="17"/>
      <c r="K16" s="38"/>
      <c r="L16" s="17"/>
      <c r="M16" s="17"/>
      <c r="N16" s="22"/>
    </row>
    <row r="17" spans="2:14" x14ac:dyDescent="0.25">
      <c r="B17" s="21"/>
      <c r="C17" s="17"/>
      <c r="D17" s="17"/>
      <c r="E17" s="17"/>
      <c r="F17" s="17"/>
      <c r="G17" s="17"/>
      <c r="H17" s="38"/>
      <c r="I17" s="17"/>
      <c r="J17" s="17"/>
      <c r="K17" s="38"/>
      <c r="L17" s="17"/>
      <c r="M17" s="17"/>
      <c r="N17" s="22"/>
    </row>
    <row r="18" spans="2:14" x14ac:dyDescent="0.25">
      <c r="B18" s="21"/>
      <c r="C18" s="17"/>
      <c r="D18" s="17"/>
      <c r="E18" s="17"/>
      <c r="F18" s="17"/>
      <c r="G18" s="17"/>
      <c r="H18" s="38"/>
      <c r="I18" s="17"/>
      <c r="J18" s="17"/>
      <c r="K18" s="38"/>
      <c r="L18" s="17"/>
      <c r="M18" s="17"/>
      <c r="N18" s="22"/>
    </row>
    <row r="19" spans="2:14" x14ac:dyDescent="0.25">
      <c r="B19" s="21"/>
      <c r="C19" s="17"/>
      <c r="D19" s="17"/>
      <c r="E19" s="17"/>
      <c r="F19" s="17"/>
      <c r="G19" s="17"/>
      <c r="H19" s="38"/>
      <c r="I19" s="17"/>
      <c r="J19" s="17"/>
      <c r="K19" s="38"/>
      <c r="L19" s="17"/>
      <c r="M19" s="17"/>
      <c r="N19" s="22"/>
    </row>
    <row r="20" spans="2:14" x14ac:dyDescent="0.25">
      <c r="B20" s="21"/>
      <c r="C20" s="17"/>
      <c r="D20" s="17"/>
      <c r="E20" s="17"/>
      <c r="F20" s="17"/>
      <c r="G20" s="17"/>
      <c r="H20" s="38"/>
      <c r="I20" s="17"/>
      <c r="J20" s="17"/>
      <c r="K20" s="38"/>
      <c r="L20" s="17"/>
      <c r="M20" s="17"/>
      <c r="N20" s="22"/>
    </row>
    <row r="21" spans="2:14" x14ac:dyDescent="0.25">
      <c r="B21" s="21"/>
      <c r="C21" s="17"/>
      <c r="D21" s="17"/>
      <c r="E21" s="17"/>
      <c r="F21" s="17"/>
      <c r="G21" s="17"/>
      <c r="H21" s="38"/>
      <c r="I21" s="17"/>
      <c r="J21" s="17"/>
      <c r="K21" s="38"/>
      <c r="L21" s="17"/>
      <c r="M21" s="17"/>
      <c r="N21" s="22"/>
    </row>
    <row r="22" spans="2:14" x14ac:dyDescent="0.25">
      <c r="B22" s="21"/>
      <c r="C22" s="17"/>
      <c r="D22" s="17"/>
      <c r="E22" s="17"/>
      <c r="F22" s="17"/>
      <c r="G22" s="17"/>
      <c r="H22" s="38"/>
      <c r="I22" s="17"/>
      <c r="J22" s="17"/>
      <c r="K22" s="38"/>
      <c r="L22" s="17"/>
      <c r="M22" s="17"/>
      <c r="N22" s="22"/>
    </row>
    <row r="23" spans="2:14" x14ac:dyDescent="0.25">
      <c r="B23" s="21"/>
      <c r="C23" s="17"/>
      <c r="D23" s="17"/>
      <c r="E23" s="17"/>
      <c r="F23" s="17"/>
      <c r="G23" s="17"/>
      <c r="H23" s="38"/>
      <c r="I23" s="17"/>
      <c r="J23" s="17"/>
      <c r="K23" s="38"/>
      <c r="L23" s="17"/>
      <c r="M23" s="17"/>
      <c r="N23" s="22"/>
    </row>
    <row r="24" spans="2:14" x14ac:dyDescent="0.25">
      <c r="B24" s="21"/>
      <c r="C24" s="17"/>
      <c r="D24" s="17"/>
      <c r="E24" s="17"/>
      <c r="F24" s="17"/>
      <c r="G24" s="17"/>
      <c r="H24" s="38"/>
      <c r="I24" s="17"/>
      <c r="J24" s="17"/>
      <c r="K24" s="38"/>
      <c r="L24" s="17"/>
      <c r="M24" s="17"/>
      <c r="N24" s="22"/>
    </row>
    <row r="25" spans="2:14" x14ac:dyDescent="0.25">
      <c r="B25" s="21"/>
      <c r="C25" s="17"/>
      <c r="D25" s="17"/>
      <c r="E25" s="17"/>
      <c r="F25" s="17"/>
      <c r="G25" s="17"/>
      <c r="H25" s="38"/>
      <c r="I25" s="17"/>
      <c r="J25" s="17"/>
      <c r="K25" s="38"/>
      <c r="L25" s="17"/>
      <c r="M25" s="17"/>
      <c r="N25" s="22"/>
    </row>
    <row r="26" spans="2:14" x14ac:dyDescent="0.25">
      <c r="B26" s="21"/>
      <c r="C26" s="17"/>
      <c r="D26" s="17"/>
      <c r="E26" s="17"/>
      <c r="F26" s="17"/>
      <c r="G26" s="17"/>
      <c r="H26" s="38"/>
      <c r="I26" s="17"/>
      <c r="J26" s="17"/>
      <c r="K26" s="38"/>
      <c r="L26" s="17"/>
      <c r="M26" s="17"/>
      <c r="N26" s="22"/>
    </row>
    <row r="27" spans="2:14" x14ac:dyDescent="0.25">
      <c r="B27" s="21"/>
      <c r="C27" s="17"/>
      <c r="D27" s="17"/>
      <c r="E27" s="17"/>
      <c r="F27" s="17"/>
      <c r="G27" s="17"/>
      <c r="H27" s="38"/>
      <c r="I27" s="17"/>
      <c r="J27" s="17"/>
      <c r="K27" s="38"/>
      <c r="L27" s="17"/>
      <c r="M27" s="17"/>
      <c r="N27" s="22"/>
    </row>
    <row r="28" spans="2:14" x14ac:dyDescent="0.25">
      <c r="B28" s="21"/>
      <c r="C28" s="17"/>
      <c r="D28" s="17"/>
      <c r="E28" s="17"/>
      <c r="F28" s="17"/>
      <c r="G28" s="17"/>
      <c r="H28" s="38"/>
      <c r="I28" s="17"/>
      <c r="J28" s="17"/>
      <c r="K28" s="38"/>
      <c r="L28" s="17"/>
      <c r="M28" s="17"/>
      <c r="N28" s="22"/>
    </row>
    <row r="29" spans="2:14" x14ac:dyDescent="0.25">
      <c r="B29" s="21"/>
      <c r="C29" s="17"/>
      <c r="D29" s="17"/>
      <c r="E29" s="17"/>
      <c r="F29" s="17"/>
      <c r="G29" s="17"/>
      <c r="H29" s="38"/>
      <c r="I29" s="17"/>
      <c r="J29" s="17"/>
      <c r="K29" s="38"/>
      <c r="L29" s="17"/>
      <c r="M29" s="17"/>
      <c r="N29" s="22"/>
    </row>
    <row r="30" spans="2:14" x14ac:dyDescent="0.25">
      <c r="B30" s="21"/>
      <c r="C30" s="17"/>
      <c r="D30" s="17"/>
      <c r="E30" s="17"/>
      <c r="F30" s="17"/>
      <c r="G30" s="17"/>
      <c r="H30" s="38"/>
      <c r="I30" s="17"/>
      <c r="J30" s="17"/>
      <c r="K30" s="38"/>
      <c r="L30" s="17"/>
      <c r="M30" s="17"/>
      <c r="N30" s="22"/>
    </row>
    <row r="31" spans="2:14" x14ac:dyDescent="0.25">
      <c r="B31" s="21"/>
      <c r="C31" s="17"/>
      <c r="D31" s="17"/>
      <c r="E31" s="17"/>
      <c r="F31" s="17"/>
      <c r="G31" s="17"/>
      <c r="H31" s="38"/>
      <c r="I31" s="17"/>
      <c r="J31" s="17"/>
      <c r="K31" s="38"/>
      <c r="L31" s="17"/>
      <c r="M31" s="17"/>
      <c r="N31" s="22"/>
    </row>
    <row r="32" spans="2:14" x14ac:dyDescent="0.25">
      <c r="B32" s="21"/>
      <c r="C32" s="17"/>
      <c r="D32" s="17"/>
      <c r="E32" s="17"/>
      <c r="F32" s="17"/>
      <c r="G32" s="17"/>
      <c r="H32" s="38"/>
      <c r="I32" s="17"/>
      <c r="J32" s="17"/>
      <c r="K32" s="38"/>
      <c r="L32" s="17"/>
      <c r="M32" s="17"/>
      <c r="N32" s="22"/>
    </row>
    <row r="33" spans="2:14" x14ac:dyDescent="0.25">
      <c r="B33" s="21"/>
      <c r="C33" s="17"/>
      <c r="D33" s="17"/>
      <c r="E33" s="17"/>
      <c r="F33" s="17"/>
      <c r="G33" s="17"/>
      <c r="H33" s="38"/>
      <c r="I33" s="17"/>
      <c r="J33" s="17"/>
      <c r="K33" s="38"/>
      <c r="L33" s="17"/>
      <c r="M33" s="17"/>
      <c r="N33" s="22"/>
    </row>
    <row r="34" spans="2:14" x14ac:dyDescent="0.25">
      <c r="B34" s="21"/>
      <c r="C34" s="17"/>
      <c r="D34" s="17"/>
      <c r="E34" s="17"/>
      <c r="F34" s="17"/>
      <c r="G34" s="17"/>
      <c r="H34" s="38"/>
      <c r="I34" s="17"/>
      <c r="J34" s="17"/>
      <c r="K34" s="38"/>
      <c r="L34" s="17"/>
      <c r="M34" s="17"/>
      <c r="N34" s="22"/>
    </row>
    <row r="35" spans="2:14" x14ac:dyDescent="0.25">
      <c r="B35" s="21"/>
      <c r="C35" s="17"/>
      <c r="D35" s="17"/>
      <c r="E35" s="17"/>
      <c r="F35" s="17"/>
      <c r="G35" s="17"/>
      <c r="H35" s="38"/>
      <c r="I35" s="17"/>
      <c r="J35" s="17"/>
      <c r="K35" s="38"/>
      <c r="L35" s="17"/>
      <c r="M35" s="17"/>
      <c r="N35" s="22"/>
    </row>
    <row r="36" spans="2:14" x14ac:dyDescent="0.25">
      <c r="B36" s="21"/>
      <c r="C36" s="17"/>
      <c r="D36" s="17"/>
      <c r="E36" s="17"/>
      <c r="F36" s="17"/>
      <c r="G36" s="17"/>
      <c r="H36" s="38"/>
      <c r="I36" s="17"/>
      <c r="J36" s="17"/>
      <c r="K36" s="38"/>
      <c r="L36" s="17"/>
      <c r="M36" s="17"/>
      <c r="N36" s="22"/>
    </row>
    <row r="37" spans="2:14" x14ac:dyDescent="0.25">
      <c r="B37" s="21"/>
      <c r="C37" s="17"/>
      <c r="D37" s="17"/>
      <c r="E37" s="17"/>
      <c r="F37" s="17"/>
      <c r="G37" s="17"/>
      <c r="H37" s="38"/>
      <c r="I37" s="17"/>
      <c r="J37" s="17"/>
      <c r="K37" s="38"/>
      <c r="L37" s="17"/>
      <c r="M37" s="17"/>
      <c r="N37" s="22"/>
    </row>
    <row r="38" spans="2:14" ht="15.75" thickBot="1" x14ac:dyDescent="0.3">
      <c r="B38" s="2"/>
      <c r="C38" s="23"/>
      <c r="D38" s="23"/>
      <c r="E38" s="23"/>
      <c r="F38" s="23"/>
      <c r="G38" s="23"/>
      <c r="H38" s="39"/>
      <c r="I38" s="23"/>
      <c r="J38" s="23"/>
      <c r="K38" s="39"/>
      <c r="L38" s="23"/>
      <c r="M38" s="23"/>
      <c r="N38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02AD7-7FB2-4CCA-84E7-3AB7D463F96B}">
  <dimension ref="B2:N38"/>
  <sheetViews>
    <sheetView workbookViewId="0">
      <selection activeCell="M30" sqref="M30"/>
    </sheetView>
  </sheetViews>
  <sheetFormatPr defaultRowHeight="15" x14ac:dyDescent="0.25"/>
  <cols>
    <col min="1" max="1" width="4.28515625" customWidth="1"/>
    <col min="2" max="2" width="14.5703125" customWidth="1"/>
    <col min="3" max="3" width="26.28515625" bestFit="1" customWidth="1"/>
    <col min="4" max="4" width="12.7109375" bestFit="1" customWidth="1"/>
    <col min="5" max="5" width="6.85546875" bestFit="1" customWidth="1"/>
    <col min="6" max="6" width="11.7109375" bestFit="1" customWidth="1"/>
    <col min="7" max="7" width="14.7109375" bestFit="1" customWidth="1"/>
    <col min="9" max="9" width="7.42578125" bestFit="1" customWidth="1"/>
    <col min="10" max="10" width="14.7109375" bestFit="1" customWidth="1"/>
    <col min="12" max="12" width="7.42578125" bestFit="1" customWidth="1"/>
    <col min="13" max="13" width="27.28515625" bestFit="1" customWidth="1"/>
    <col min="14" max="14" width="15.5703125" bestFit="1" customWidth="1"/>
    <col min="15" max="15" width="9.140625" customWidth="1"/>
  </cols>
  <sheetData>
    <row r="2" spans="2:14" ht="15.75" thickBot="1" x14ac:dyDescent="0.3">
      <c r="B2" t="s">
        <v>27</v>
      </c>
      <c r="H2" s="35"/>
      <c r="K2" s="35"/>
    </row>
    <row r="3" spans="2:14" ht="15.75" thickBot="1" x14ac:dyDescent="0.3">
      <c r="B3" s="28" t="s">
        <v>5</v>
      </c>
      <c r="C3" s="29" t="s">
        <v>6</v>
      </c>
      <c r="D3" s="29" t="s">
        <v>7</v>
      </c>
      <c r="E3" s="29" t="s">
        <v>8</v>
      </c>
      <c r="F3" s="29" t="s">
        <v>9</v>
      </c>
      <c r="G3" s="29" t="s">
        <v>10</v>
      </c>
      <c r="H3" s="36" t="s">
        <v>11</v>
      </c>
      <c r="I3" s="29" t="s">
        <v>12</v>
      </c>
      <c r="J3" s="29" t="s">
        <v>13</v>
      </c>
      <c r="K3" s="36" t="s">
        <v>14</v>
      </c>
      <c r="L3" s="29" t="s">
        <v>15</v>
      </c>
      <c r="M3" s="29" t="s">
        <v>16</v>
      </c>
      <c r="N3" s="30" t="s">
        <v>17</v>
      </c>
    </row>
    <row r="4" spans="2:14" x14ac:dyDescent="0.25">
      <c r="B4" s="18" t="e" cm="1">
        <f t="array" ref="B4">_xlfn._xlws.SORT(_xlfn._xlws.FILTER(Invulblad!B6:T1003,Invulblad!S6:S1003=B2,""),4,1)</f>
        <v>#VALUE!</v>
      </c>
      <c r="C4" s="19"/>
      <c r="D4" s="19"/>
      <c r="E4" s="19"/>
      <c r="F4" s="19"/>
      <c r="G4" s="19"/>
      <c r="H4" s="37"/>
      <c r="I4" s="19"/>
      <c r="J4" s="19"/>
      <c r="K4" s="37"/>
      <c r="L4" s="19"/>
      <c r="M4" s="19"/>
      <c r="N4" s="20"/>
    </row>
    <row r="5" spans="2:14" x14ac:dyDescent="0.25">
      <c r="B5" s="21"/>
      <c r="C5" s="17"/>
      <c r="D5" s="17"/>
      <c r="E5" s="17"/>
      <c r="F5" s="17"/>
      <c r="G5" s="17"/>
      <c r="H5" s="38"/>
      <c r="I5" s="17"/>
      <c r="J5" s="17"/>
      <c r="K5" s="38"/>
      <c r="L5" s="17"/>
      <c r="M5" s="17"/>
      <c r="N5" s="22"/>
    </row>
    <row r="6" spans="2:14" x14ac:dyDescent="0.25">
      <c r="B6" s="21"/>
      <c r="C6" s="17"/>
      <c r="D6" s="17"/>
      <c r="E6" s="17"/>
      <c r="F6" s="17"/>
      <c r="G6" s="17"/>
      <c r="H6" s="38"/>
      <c r="I6" s="17"/>
      <c r="J6" s="17"/>
      <c r="K6" s="38"/>
      <c r="L6" s="17"/>
      <c r="M6" s="17"/>
      <c r="N6" s="22"/>
    </row>
    <row r="7" spans="2:14" x14ac:dyDescent="0.25">
      <c r="B7" s="21"/>
      <c r="C7" s="17"/>
      <c r="D7" s="17"/>
      <c r="E7" s="17"/>
      <c r="F7" s="17"/>
      <c r="G7" s="17"/>
      <c r="H7" s="38"/>
      <c r="I7" s="17"/>
      <c r="J7" s="17"/>
      <c r="K7" s="38"/>
      <c r="L7" s="17"/>
      <c r="M7" s="17"/>
      <c r="N7" s="22"/>
    </row>
    <row r="8" spans="2:14" x14ac:dyDescent="0.25">
      <c r="B8" s="21"/>
      <c r="C8" s="17"/>
      <c r="D8" s="17"/>
      <c r="E8" s="17"/>
      <c r="F8" s="17"/>
      <c r="G8" s="17"/>
      <c r="H8" s="38"/>
      <c r="I8" s="17"/>
      <c r="J8" s="17"/>
      <c r="K8" s="38"/>
      <c r="L8" s="17"/>
      <c r="M8" s="17"/>
      <c r="N8" s="22"/>
    </row>
    <row r="9" spans="2:14" x14ac:dyDescent="0.25">
      <c r="B9" s="21"/>
      <c r="C9" s="17"/>
      <c r="D9" s="17"/>
      <c r="E9" s="17"/>
      <c r="F9" s="17"/>
      <c r="G9" s="17"/>
      <c r="H9" s="38"/>
      <c r="I9" s="17"/>
      <c r="J9" s="17"/>
      <c r="K9" s="38"/>
      <c r="L9" s="17"/>
      <c r="M9" s="17"/>
      <c r="N9" s="22"/>
    </row>
    <row r="10" spans="2:14" x14ac:dyDescent="0.25">
      <c r="B10" s="21"/>
      <c r="C10" s="17"/>
      <c r="D10" s="17"/>
      <c r="E10" s="17"/>
      <c r="F10" s="17"/>
      <c r="G10" s="17"/>
      <c r="H10" s="38"/>
      <c r="I10" s="17"/>
      <c r="J10" s="17"/>
      <c r="K10" s="38"/>
      <c r="L10" s="17"/>
      <c r="M10" s="17"/>
      <c r="N10" s="22"/>
    </row>
    <row r="11" spans="2:14" x14ac:dyDescent="0.25">
      <c r="B11" s="21"/>
      <c r="C11" s="17"/>
      <c r="D11" s="17"/>
      <c r="E11" s="17"/>
      <c r="F11" s="17"/>
      <c r="G11" s="17"/>
      <c r="H11" s="38"/>
      <c r="I11" s="17"/>
      <c r="J11" s="17"/>
      <c r="K11" s="38"/>
      <c r="L11" s="17"/>
      <c r="M11" s="17"/>
      <c r="N11" s="22"/>
    </row>
    <row r="12" spans="2:14" x14ac:dyDescent="0.25">
      <c r="B12" s="21"/>
      <c r="C12" s="17"/>
      <c r="D12" s="17"/>
      <c r="E12" s="17"/>
      <c r="F12" s="17"/>
      <c r="G12" s="17"/>
      <c r="H12" s="38"/>
      <c r="I12" s="17"/>
      <c r="J12" s="17"/>
      <c r="K12" s="38"/>
      <c r="L12" s="17"/>
      <c r="M12" s="17"/>
      <c r="N12" s="22"/>
    </row>
    <row r="13" spans="2:14" x14ac:dyDescent="0.25">
      <c r="B13" s="21"/>
      <c r="C13" s="17"/>
      <c r="D13" s="17"/>
      <c r="E13" s="17"/>
      <c r="F13" s="17"/>
      <c r="G13" s="17"/>
      <c r="H13" s="38"/>
      <c r="I13" s="17"/>
      <c r="J13" s="17"/>
      <c r="K13" s="38"/>
      <c r="L13" s="17"/>
      <c r="M13" s="17"/>
      <c r="N13" s="22"/>
    </row>
    <row r="14" spans="2:14" x14ac:dyDescent="0.25">
      <c r="B14" s="21"/>
      <c r="C14" s="17"/>
      <c r="D14" s="17"/>
      <c r="E14" s="17"/>
      <c r="F14" s="17"/>
      <c r="G14" s="17"/>
      <c r="H14" s="38"/>
      <c r="I14" s="17"/>
      <c r="J14" s="17"/>
      <c r="K14" s="38"/>
      <c r="L14" s="17"/>
      <c r="M14" s="17"/>
      <c r="N14" s="22"/>
    </row>
    <row r="15" spans="2:14" x14ac:dyDescent="0.25">
      <c r="B15" s="21"/>
      <c r="C15" s="17"/>
      <c r="D15" s="17"/>
      <c r="E15" s="17"/>
      <c r="F15" s="17"/>
      <c r="G15" s="17"/>
      <c r="H15" s="38"/>
      <c r="I15" s="17"/>
      <c r="J15" s="17"/>
      <c r="K15" s="38"/>
      <c r="L15" s="17"/>
      <c r="M15" s="17"/>
      <c r="N15" s="22"/>
    </row>
    <row r="16" spans="2:14" x14ac:dyDescent="0.25">
      <c r="B16" s="21"/>
      <c r="C16" s="17"/>
      <c r="D16" s="17"/>
      <c r="E16" s="17"/>
      <c r="F16" s="17"/>
      <c r="G16" s="17"/>
      <c r="H16" s="38"/>
      <c r="I16" s="17"/>
      <c r="J16" s="17"/>
      <c r="K16" s="38"/>
      <c r="L16" s="17"/>
      <c r="M16" s="17"/>
      <c r="N16" s="22"/>
    </row>
    <row r="17" spans="2:14" x14ac:dyDescent="0.25">
      <c r="B17" s="21"/>
      <c r="C17" s="17"/>
      <c r="D17" s="17"/>
      <c r="E17" s="17"/>
      <c r="F17" s="17"/>
      <c r="G17" s="17"/>
      <c r="H17" s="38"/>
      <c r="I17" s="17"/>
      <c r="J17" s="17"/>
      <c r="K17" s="38"/>
      <c r="L17" s="17"/>
      <c r="M17" s="17"/>
      <c r="N17" s="22"/>
    </row>
    <row r="18" spans="2:14" x14ac:dyDescent="0.25">
      <c r="B18" s="21"/>
      <c r="C18" s="17"/>
      <c r="D18" s="17"/>
      <c r="E18" s="17"/>
      <c r="F18" s="17"/>
      <c r="G18" s="17"/>
      <c r="H18" s="38"/>
      <c r="I18" s="17"/>
      <c r="J18" s="17"/>
      <c r="K18" s="38"/>
      <c r="L18" s="17"/>
      <c r="M18" s="17"/>
      <c r="N18" s="22"/>
    </row>
    <row r="19" spans="2:14" x14ac:dyDescent="0.25">
      <c r="B19" s="21"/>
      <c r="C19" s="17"/>
      <c r="D19" s="17"/>
      <c r="E19" s="17"/>
      <c r="F19" s="17"/>
      <c r="G19" s="17"/>
      <c r="H19" s="38"/>
      <c r="I19" s="17"/>
      <c r="J19" s="17"/>
      <c r="K19" s="38"/>
      <c r="L19" s="17"/>
      <c r="M19" s="17"/>
      <c r="N19" s="22"/>
    </row>
    <row r="20" spans="2:14" x14ac:dyDescent="0.25">
      <c r="B20" s="21"/>
      <c r="C20" s="17"/>
      <c r="D20" s="17"/>
      <c r="E20" s="17"/>
      <c r="F20" s="17"/>
      <c r="G20" s="17"/>
      <c r="H20" s="38"/>
      <c r="I20" s="17"/>
      <c r="J20" s="17"/>
      <c r="K20" s="38"/>
      <c r="L20" s="17"/>
      <c r="M20" s="17"/>
      <c r="N20" s="22"/>
    </row>
    <row r="21" spans="2:14" x14ac:dyDescent="0.25">
      <c r="B21" s="21"/>
      <c r="C21" s="17"/>
      <c r="D21" s="17"/>
      <c r="E21" s="17"/>
      <c r="F21" s="17"/>
      <c r="G21" s="17"/>
      <c r="H21" s="38"/>
      <c r="I21" s="17"/>
      <c r="J21" s="17"/>
      <c r="K21" s="38"/>
      <c r="L21" s="17"/>
      <c r="M21" s="17"/>
      <c r="N21" s="22"/>
    </row>
    <row r="22" spans="2:14" x14ac:dyDescent="0.25">
      <c r="B22" s="21"/>
      <c r="C22" s="17"/>
      <c r="D22" s="17"/>
      <c r="E22" s="17"/>
      <c r="F22" s="17"/>
      <c r="G22" s="17"/>
      <c r="H22" s="38"/>
      <c r="I22" s="17"/>
      <c r="J22" s="17"/>
      <c r="K22" s="38"/>
      <c r="L22" s="17"/>
      <c r="M22" s="17"/>
      <c r="N22" s="22"/>
    </row>
    <row r="23" spans="2:14" x14ac:dyDescent="0.25">
      <c r="B23" s="21"/>
      <c r="C23" s="17"/>
      <c r="D23" s="17"/>
      <c r="E23" s="17"/>
      <c r="F23" s="17"/>
      <c r="G23" s="17"/>
      <c r="H23" s="38"/>
      <c r="I23" s="17"/>
      <c r="J23" s="17"/>
      <c r="K23" s="38"/>
      <c r="L23" s="17"/>
      <c r="M23" s="17"/>
      <c r="N23" s="22"/>
    </row>
    <row r="24" spans="2:14" x14ac:dyDescent="0.25">
      <c r="B24" s="21"/>
      <c r="C24" s="17"/>
      <c r="D24" s="17"/>
      <c r="E24" s="17"/>
      <c r="F24" s="17"/>
      <c r="G24" s="17"/>
      <c r="H24" s="38"/>
      <c r="I24" s="17"/>
      <c r="J24" s="17"/>
      <c r="K24" s="38"/>
      <c r="L24" s="17"/>
      <c r="M24" s="17"/>
      <c r="N24" s="22"/>
    </row>
    <row r="25" spans="2:14" x14ac:dyDescent="0.25">
      <c r="B25" s="21"/>
      <c r="C25" s="17"/>
      <c r="D25" s="17"/>
      <c r="E25" s="17"/>
      <c r="F25" s="17"/>
      <c r="G25" s="17"/>
      <c r="H25" s="38"/>
      <c r="I25" s="17"/>
      <c r="J25" s="17"/>
      <c r="K25" s="38"/>
      <c r="L25" s="17"/>
      <c r="M25" s="17"/>
      <c r="N25" s="22"/>
    </row>
    <row r="26" spans="2:14" x14ac:dyDescent="0.25">
      <c r="B26" s="21"/>
      <c r="C26" s="17"/>
      <c r="D26" s="17"/>
      <c r="E26" s="17"/>
      <c r="F26" s="17"/>
      <c r="G26" s="17"/>
      <c r="H26" s="38"/>
      <c r="I26" s="17"/>
      <c r="J26" s="17"/>
      <c r="K26" s="38"/>
      <c r="L26" s="17"/>
      <c r="M26" s="17"/>
      <c r="N26" s="22"/>
    </row>
    <row r="27" spans="2:14" x14ac:dyDescent="0.25">
      <c r="B27" s="21"/>
      <c r="C27" s="17"/>
      <c r="D27" s="17"/>
      <c r="E27" s="17"/>
      <c r="F27" s="17"/>
      <c r="G27" s="17"/>
      <c r="H27" s="38"/>
      <c r="I27" s="17"/>
      <c r="J27" s="17"/>
      <c r="K27" s="38"/>
      <c r="L27" s="17"/>
      <c r="M27" s="17"/>
      <c r="N27" s="22"/>
    </row>
    <row r="28" spans="2:14" x14ac:dyDescent="0.25">
      <c r="B28" s="21"/>
      <c r="C28" s="17"/>
      <c r="D28" s="17"/>
      <c r="E28" s="17"/>
      <c r="F28" s="17"/>
      <c r="G28" s="17"/>
      <c r="H28" s="38"/>
      <c r="I28" s="17"/>
      <c r="J28" s="17"/>
      <c r="K28" s="38"/>
      <c r="L28" s="17"/>
      <c r="M28" s="17"/>
      <c r="N28" s="22"/>
    </row>
    <row r="29" spans="2:14" x14ac:dyDescent="0.25">
      <c r="B29" s="21"/>
      <c r="C29" s="17"/>
      <c r="D29" s="17"/>
      <c r="E29" s="17"/>
      <c r="F29" s="17"/>
      <c r="G29" s="17"/>
      <c r="H29" s="38"/>
      <c r="I29" s="17"/>
      <c r="J29" s="17"/>
      <c r="K29" s="38"/>
      <c r="L29" s="17"/>
      <c r="M29" s="17"/>
      <c r="N29" s="22"/>
    </row>
    <row r="30" spans="2:14" x14ac:dyDescent="0.25">
      <c r="B30" s="21"/>
      <c r="C30" s="17"/>
      <c r="D30" s="17"/>
      <c r="E30" s="17"/>
      <c r="F30" s="17"/>
      <c r="G30" s="17"/>
      <c r="H30" s="38"/>
      <c r="I30" s="17"/>
      <c r="J30" s="17"/>
      <c r="K30" s="38"/>
      <c r="L30" s="17"/>
      <c r="M30" s="17"/>
      <c r="N30" s="22"/>
    </row>
    <row r="31" spans="2:14" x14ac:dyDescent="0.25">
      <c r="B31" s="21"/>
      <c r="C31" s="17"/>
      <c r="D31" s="17"/>
      <c r="E31" s="17"/>
      <c r="F31" s="17"/>
      <c r="G31" s="17"/>
      <c r="H31" s="38"/>
      <c r="I31" s="17"/>
      <c r="J31" s="17"/>
      <c r="K31" s="38"/>
      <c r="L31" s="17"/>
      <c r="M31" s="17"/>
      <c r="N31" s="22"/>
    </row>
    <row r="32" spans="2:14" x14ac:dyDescent="0.25">
      <c r="B32" s="21"/>
      <c r="C32" s="17"/>
      <c r="D32" s="17"/>
      <c r="E32" s="17"/>
      <c r="F32" s="17"/>
      <c r="G32" s="17"/>
      <c r="H32" s="38"/>
      <c r="I32" s="17"/>
      <c r="J32" s="17"/>
      <c r="K32" s="38"/>
      <c r="L32" s="17"/>
      <c r="M32" s="17"/>
      <c r="N32" s="22"/>
    </row>
    <row r="33" spans="2:14" x14ac:dyDescent="0.25">
      <c r="B33" s="21"/>
      <c r="C33" s="17"/>
      <c r="D33" s="17"/>
      <c r="E33" s="17"/>
      <c r="F33" s="17"/>
      <c r="G33" s="17"/>
      <c r="H33" s="38"/>
      <c r="I33" s="17"/>
      <c r="J33" s="17"/>
      <c r="K33" s="38"/>
      <c r="L33" s="17"/>
      <c r="M33" s="17"/>
      <c r="N33" s="22"/>
    </row>
    <row r="34" spans="2:14" x14ac:dyDescent="0.25">
      <c r="B34" s="21"/>
      <c r="C34" s="17"/>
      <c r="D34" s="17"/>
      <c r="E34" s="17"/>
      <c r="F34" s="17"/>
      <c r="G34" s="17"/>
      <c r="H34" s="38"/>
      <c r="I34" s="17"/>
      <c r="J34" s="17"/>
      <c r="K34" s="38"/>
      <c r="L34" s="17"/>
      <c r="M34" s="17"/>
      <c r="N34" s="22"/>
    </row>
    <row r="35" spans="2:14" x14ac:dyDescent="0.25">
      <c r="B35" s="21"/>
      <c r="C35" s="17"/>
      <c r="D35" s="17"/>
      <c r="E35" s="17"/>
      <c r="F35" s="17"/>
      <c r="G35" s="17"/>
      <c r="H35" s="38"/>
      <c r="I35" s="17"/>
      <c r="J35" s="17"/>
      <c r="K35" s="38"/>
      <c r="L35" s="17"/>
      <c r="M35" s="17"/>
      <c r="N35" s="22"/>
    </row>
    <row r="36" spans="2:14" x14ac:dyDescent="0.25">
      <c r="B36" s="21"/>
      <c r="C36" s="17"/>
      <c r="D36" s="17"/>
      <c r="E36" s="17"/>
      <c r="F36" s="17"/>
      <c r="G36" s="17"/>
      <c r="H36" s="38"/>
      <c r="I36" s="17"/>
      <c r="J36" s="17"/>
      <c r="K36" s="38"/>
      <c r="L36" s="17"/>
      <c r="M36" s="17"/>
      <c r="N36" s="22"/>
    </row>
    <row r="37" spans="2:14" x14ac:dyDescent="0.25">
      <c r="B37" s="21"/>
      <c r="C37" s="17"/>
      <c r="D37" s="17"/>
      <c r="E37" s="17"/>
      <c r="F37" s="17"/>
      <c r="G37" s="17"/>
      <c r="H37" s="38"/>
      <c r="I37" s="17"/>
      <c r="J37" s="17"/>
      <c r="K37" s="38"/>
      <c r="L37" s="17"/>
      <c r="M37" s="17"/>
      <c r="N37" s="22"/>
    </row>
    <row r="38" spans="2:14" ht="15.75" thickBot="1" x14ac:dyDescent="0.3">
      <c r="B38" s="2"/>
      <c r="C38" s="23"/>
      <c r="D38" s="23"/>
      <c r="E38" s="23"/>
      <c r="F38" s="23"/>
      <c r="G38" s="23"/>
      <c r="H38" s="39"/>
      <c r="I38" s="23"/>
      <c r="J38" s="23"/>
      <c r="K38" s="39"/>
      <c r="L38" s="23"/>
      <c r="M38" s="23"/>
      <c r="N38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A16B4-7D51-4BAA-95EA-AC970D5ABD25}">
  <dimension ref="B2:N38"/>
  <sheetViews>
    <sheetView workbookViewId="0">
      <selection activeCell="J27" sqref="J27"/>
    </sheetView>
  </sheetViews>
  <sheetFormatPr defaultRowHeight="15" x14ac:dyDescent="0.25"/>
  <cols>
    <col min="1" max="1" width="4.28515625" customWidth="1"/>
    <col min="2" max="2" width="14.42578125" bestFit="1" customWidth="1"/>
    <col min="3" max="3" width="28.85546875" bestFit="1" customWidth="1"/>
    <col min="4" max="4" width="10.5703125" bestFit="1" customWidth="1"/>
    <col min="5" max="5" width="6.85546875" bestFit="1" customWidth="1"/>
    <col min="6" max="6" width="11.7109375" bestFit="1" customWidth="1"/>
    <col min="7" max="7" width="14.7109375" bestFit="1" customWidth="1"/>
    <col min="9" max="9" width="7.42578125" bestFit="1" customWidth="1"/>
    <col min="10" max="10" width="14.7109375" bestFit="1" customWidth="1"/>
    <col min="12" max="12" width="7.42578125" bestFit="1" customWidth="1"/>
    <col min="13" max="13" width="29.28515625" bestFit="1" customWidth="1"/>
    <col min="14" max="14" width="15.5703125" bestFit="1" customWidth="1"/>
    <col min="15" max="15" width="9.140625" customWidth="1"/>
  </cols>
  <sheetData>
    <row r="2" spans="2:14" ht="15.75" thickBot="1" x14ac:dyDescent="0.3">
      <c r="B2" t="s">
        <v>32</v>
      </c>
      <c r="H2" s="35"/>
      <c r="K2" s="35"/>
    </row>
    <row r="3" spans="2:14" ht="15.75" thickBot="1" x14ac:dyDescent="0.3">
      <c r="B3" s="28" t="s">
        <v>5</v>
      </c>
      <c r="C3" s="29" t="s">
        <v>6</v>
      </c>
      <c r="D3" s="29" t="s">
        <v>7</v>
      </c>
      <c r="E3" s="29" t="s">
        <v>8</v>
      </c>
      <c r="F3" s="29" t="s">
        <v>9</v>
      </c>
      <c r="G3" s="29" t="s">
        <v>10</v>
      </c>
      <c r="H3" s="36" t="s">
        <v>11</v>
      </c>
      <c r="I3" s="29" t="s">
        <v>12</v>
      </c>
      <c r="J3" s="29" t="s">
        <v>13</v>
      </c>
      <c r="K3" s="36" t="s">
        <v>14</v>
      </c>
      <c r="L3" s="29" t="s">
        <v>15</v>
      </c>
      <c r="M3" s="29" t="s">
        <v>16</v>
      </c>
      <c r="N3" s="30" t="s">
        <v>17</v>
      </c>
    </row>
    <row r="4" spans="2:14" x14ac:dyDescent="0.25">
      <c r="B4" s="18" t="e" cm="1">
        <f t="array" ref="B4">_xlfn._xlws.SORT(_xlfn._xlws.FILTER(Invulblad!B6:T1003,Invulblad!S6:S1003=B2,""),4,1)</f>
        <v>#VALUE!</v>
      </c>
      <c r="C4" s="19"/>
      <c r="D4" s="19"/>
      <c r="E4" s="19"/>
      <c r="F4" s="19"/>
      <c r="G4" s="19"/>
      <c r="H4" s="37"/>
      <c r="I4" s="19"/>
      <c r="J4" s="19"/>
      <c r="K4" s="37"/>
      <c r="L4" s="19"/>
      <c r="M4" s="19"/>
      <c r="N4" s="20"/>
    </row>
    <row r="5" spans="2:14" x14ac:dyDescent="0.25">
      <c r="B5" s="21"/>
      <c r="C5" s="17"/>
      <c r="D5" s="17"/>
      <c r="E5" s="17"/>
      <c r="F5" s="17"/>
      <c r="G5" s="17"/>
      <c r="H5" s="38"/>
      <c r="I5" s="17"/>
      <c r="J5" s="17"/>
      <c r="K5" s="38"/>
      <c r="L5" s="17"/>
      <c r="M5" s="17"/>
      <c r="N5" s="22"/>
    </row>
    <row r="6" spans="2:14" x14ac:dyDescent="0.25">
      <c r="B6" s="21"/>
      <c r="C6" s="17"/>
      <c r="D6" s="17"/>
      <c r="E6" s="17"/>
      <c r="F6" s="17"/>
      <c r="G6" s="17"/>
      <c r="H6" s="38"/>
      <c r="I6" s="17"/>
      <c r="J6" s="17"/>
      <c r="K6" s="38"/>
      <c r="L6" s="17"/>
      <c r="M6" s="17"/>
      <c r="N6" s="22"/>
    </row>
    <row r="7" spans="2:14" x14ac:dyDescent="0.25">
      <c r="B7" s="21"/>
      <c r="C7" s="17"/>
      <c r="D7" s="17"/>
      <c r="E7" s="17"/>
      <c r="F7" s="17"/>
      <c r="G7" s="17"/>
      <c r="H7" s="38"/>
      <c r="I7" s="17"/>
      <c r="J7" s="17"/>
      <c r="K7" s="38"/>
      <c r="L7" s="17"/>
      <c r="M7" s="17"/>
      <c r="N7" s="22"/>
    </row>
    <row r="8" spans="2:14" x14ac:dyDescent="0.25">
      <c r="B8" s="21"/>
      <c r="C8" s="17"/>
      <c r="D8" s="17"/>
      <c r="E8" s="17"/>
      <c r="F8" s="17"/>
      <c r="G8" s="17"/>
      <c r="H8" s="38"/>
      <c r="I8" s="17"/>
      <c r="J8" s="17"/>
      <c r="K8" s="38"/>
      <c r="L8" s="17"/>
      <c r="M8" s="17"/>
      <c r="N8" s="22"/>
    </row>
    <row r="9" spans="2:14" x14ac:dyDescent="0.25">
      <c r="B9" s="21"/>
      <c r="C9" s="17"/>
      <c r="D9" s="17"/>
      <c r="E9" s="17"/>
      <c r="F9" s="17"/>
      <c r="G9" s="17"/>
      <c r="H9" s="38"/>
      <c r="I9" s="17"/>
      <c r="J9" s="17"/>
      <c r="K9" s="38"/>
      <c r="L9" s="17"/>
      <c r="M9" s="17"/>
      <c r="N9" s="22"/>
    </row>
    <row r="10" spans="2:14" x14ac:dyDescent="0.25">
      <c r="B10" s="21"/>
      <c r="C10" s="17"/>
      <c r="D10" s="17"/>
      <c r="E10" s="17"/>
      <c r="F10" s="17"/>
      <c r="G10" s="17"/>
      <c r="H10" s="38"/>
      <c r="I10" s="17"/>
      <c r="J10" s="17"/>
      <c r="K10" s="38"/>
      <c r="L10" s="17"/>
      <c r="M10" s="17"/>
      <c r="N10" s="22"/>
    </row>
    <row r="11" spans="2:14" x14ac:dyDescent="0.25">
      <c r="B11" s="21"/>
      <c r="C11" s="17"/>
      <c r="D11" s="17"/>
      <c r="E11" s="17"/>
      <c r="F11" s="17"/>
      <c r="G11" s="17"/>
      <c r="H11" s="38"/>
      <c r="I11" s="17"/>
      <c r="J11" s="17"/>
      <c r="K11" s="38"/>
      <c r="L11" s="17"/>
      <c r="M11" s="17"/>
      <c r="N11" s="22"/>
    </row>
    <row r="12" spans="2:14" x14ac:dyDescent="0.25">
      <c r="B12" s="21"/>
      <c r="C12" s="17"/>
      <c r="D12" s="17"/>
      <c r="E12" s="17"/>
      <c r="F12" s="17"/>
      <c r="G12" s="17"/>
      <c r="H12" s="38"/>
      <c r="I12" s="17"/>
      <c r="J12" s="17"/>
      <c r="K12" s="38"/>
      <c r="L12" s="17"/>
      <c r="M12" s="17"/>
      <c r="N12" s="22"/>
    </row>
    <row r="13" spans="2:14" x14ac:dyDescent="0.25">
      <c r="B13" s="21"/>
      <c r="C13" s="17"/>
      <c r="D13" s="17"/>
      <c r="E13" s="17"/>
      <c r="F13" s="17"/>
      <c r="G13" s="17"/>
      <c r="H13" s="38"/>
      <c r="I13" s="17"/>
      <c r="J13" s="17"/>
      <c r="K13" s="38"/>
      <c r="L13" s="17"/>
      <c r="M13" s="17"/>
      <c r="N13" s="22"/>
    </row>
    <row r="14" spans="2:14" x14ac:dyDescent="0.25">
      <c r="B14" s="21"/>
      <c r="C14" s="17"/>
      <c r="D14" s="17"/>
      <c r="E14" s="17"/>
      <c r="F14" s="17"/>
      <c r="G14" s="17"/>
      <c r="H14" s="38"/>
      <c r="I14" s="17"/>
      <c r="J14" s="17"/>
      <c r="K14" s="38"/>
      <c r="L14" s="17"/>
      <c r="M14" s="17"/>
      <c r="N14" s="22"/>
    </row>
    <row r="15" spans="2:14" x14ac:dyDescent="0.25">
      <c r="B15" s="21"/>
      <c r="C15" s="17"/>
      <c r="D15" s="17"/>
      <c r="E15" s="17"/>
      <c r="F15" s="17"/>
      <c r="G15" s="17"/>
      <c r="H15" s="38"/>
      <c r="I15" s="17"/>
      <c r="J15" s="17"/>
      <c r="K15" s="38"/>
      <c r="L15" s="17"/>
      <c r="M15" s="17"/>
      <c r="N15" s="22"/>
    </row>
    <row r="16" spans="2:14" x14ac:dyDescent="0.25">
      <c r="B16" s="21"/>
      <c r="C16" s="17"/>
      <c r="D16" s="17"/>
      <c r="E16" s="17"/>
      <c r="F16" s="17"/>
      <c r="G16" s="17"/>
      <c r="H16" s="38"/>
      <c r="I16" s="17"/>
      <c r="J16" s="17"/>
      <c r="K16" s="38"/>
      <c r="L16" s="17"/>
      <c r="M16" s="17"/>
      <c r="N16" s="22"/>
    </row>
    <row r="17" spans="2:14" x14ac:dyDescent="0.25">
      <c r="B17" s="21"/>
      <c r="C17" s="17"/>
      <c r="D17" s="17"/>
      <c r="E17" s="17"/>
      <c r="F17" s="17"/>
      <c r="G17" s="17"/>
      <c r="H17" s="38"/>
      <c r="I17" s="17"/>
      <c r="J17" s="17"/>
      <c r="K17" s="38"/>
      <c r="L17" s="17"/>
      <c r="M17" s="17"/>
      <c r="N17" s="22"/>
    </row>
    <row r="18" spans="2:14" x14ac:dyDescent="0.25">
      <c r="B18" s="21"/>
      <c r="C18" s="17"/>
      <c r="D18" s="17"/>
      <c r="E18" s="17"/>
      <c r="F18" s="17"/>
      <c r="G18" s="17"/>
      <c r="H18" s="38"/>
      <c r="I18" s="17"/>
      <c r="J18" s="17"/>
      <c r="K18" s="38"/>
      <c r="L18" s="17"/>
      <c r="M18" s="17"/>
      <c r="N18" s="22"/>
    </row>
    <row r="19" spans="2:14" x14ac:dyDescent="0.25">
      <c r="B19" s="21"/>
      <c r="C19" s="17"/>
      <c r="D19" s="17"/>
      <c r="E19" s="17"/>
      <c r="F19" s="17"/>
      <c r="G19" s="17"/>
      <c r="H19" s="38"/>
      <c r="I19" s="17"/>
      <c r="J19" s="17"/>
      <c r="K19" s="38"/>
      <c r="L19" s="17"/>
      <c r="M19" s="17"/>
      <c r="N19" s="22"/>
    </row>
    <row r="20" spans="2:14" x14ac:dyDescent="0.25">
      <c r="B20" s="21"/>
      <c r="C20" s="17"/>
      <c r="D20" s="17"/>
      <c r="E20" s="17"/>
      <c r="F20" s="17"/>
      <c r="G20" s="17"/>
      <c r="H20" s="38"/>
      <c r="I20" s="17"/>
      <c r="J20" s="17"/>
      <c r="K20" s="38"/>
      <c r="L20" s="17"/>
      <c r="M20" s="17"/>
      <c r="N20" s="22"/>
    </row>
    <row r="21" spans="2:14" x14ac:dyDescent="0.25">
      <c r="B21" s="21"/>
      <c r="C21" s="17"/>
      <c r="D21" s="17"/>
      <c r="E21" s="17"/>
      <c r="F21" s="17"/>
      <c r="G21" s="17"/>
      <c r="H21" s="38"/>
      <c r="I21" s="17"/>
      <c r="J21" s="17"/>
      <c r="K21" s="38"/>
      <c r="L21" s="17"/>
      <c r="M21" s="17"/>
      <c r="N21" s="22"/>
    </row>
    <row r="22" spans="2:14" x14ac:dyDescent="0.25">
      <c r="B22" s="21"/>
      <c r="C22" s="17"/>
      <c r="D22" s="17"/>
      <c r="E22" s="17"/>
      <c r="F22" s="17"/>
      <c r="G22" s="17"/>
      <c r="H22" s="38"/>
      <c r="I22" s="17"/>
      <c r="J22" s="17"/>
      <c r="K22" s="38"/>
      <c r="L22" s="17"/>
      <c r="M22" s="17"/>
      <c r="N22" s="22"/>
    </row>
    <row r="23" spans="2:14" x14ac:dyDescent="0.25">
      <c r="B23" s="21"/>
      <c r="C23" s="17"/>
      <c r="D23" s="17"/>
      <c r="E23" s="17"/>
      <c r="F23" s="17"/>
      <c r="G23" s="17"/>
      <c r="H23" s="38"/>
      <c r="I23" s="17"/>
      <c r="J23" s="17"/>
      <c r="K23" s="38"/>
      <c r="L23" s="17"/>
      <c r="M23" s="17"/>
      <c r="N23" s="22"/>
    </row>
    <row r="24" spans="2:14" x14ac:dyDescent="0.25">
      <c r="B24" s="21"/>
      <c r="C24" s="17"/>
      <c r="D24" s="17"/>
      <c r="E24" s="17"/>
      <c r="F24" s="17"/>
      <c r="G24" s="17"/>
      <c r="H24" s="38"/>
      <c r="I24" s="17"/>
      <c r="J24" s="17"/>
      <c r="K24" s="38"/>
      <c r="L24" s="17"/>
      <c r="M24" s="17"/>
      <c r="N24" s="22"/>
    </row>
    <row r="25" spans="2:14" x14ac:dyDescent="0.25">
      <c r="B25" s="21"/>
      <c r="C25" s="17"/>
      <c r="D25" s="17"/>
      <c r="E25" s="17"/>
      <c r="F25" s="17"/>
      <c r="G25" s="17"/>
      <c r="H25" s="38"/>
      <c r="I25" s="17"/>
      <c r="J25" s="17"/>
      <c r="K25" s="38"/>
      <c r="L25" s="17"/>
      <c r="M25" s="17"/>
      <c r="N25" s="22"/>
    </row>
    <row r="26" spans="2:14" x14ac:dyDescent="0.25">
      <c r="B26" s="21"/>
      <c r="C26" s="17"/>
      <c r="D26" s="17"/>
      <c r="E26" s="17"/>
      <c r="F26" s="17"/>
      <c r="G26" s="17"/>
      <c r="H26" s="38"/>
      <c r="I26" s="17"/>
      <c r="J26" s="17"/>
      <c r="K26" s="38"/>
      <c r="L26" s="17"/>
      <c r="M26" s="17"/>
      <c r="N26" s="22"/>
    </row>
    <row r="27" spans="2:14" x14ac:dyDescent="0.25">
      <c r="B27" s="21"/>
      <c r="C27" s="17"/>
      <c r="D27" s="17"/>
      <c r="E27" s="17"/>
      <c r="F27" s="17"/>
      <c r="G27" s="17"/>
      <c r="H27" s="38"/>
      <c r="I27" s="17"/>
      <c r="J27" s="17"/>
      <c r="K27" s="38"/>
      <c r="L27" s="17"/>
      <c r="M27" s="17"/>
      <c r="N27" s="22"/>
    </row>
    <row r="28" spans="2:14" x14ac:dyDescent="0.25">
      <c r="B28" s="21"/>
      <c r="C28" s="17"/>
      <c r="D28" s="17"/>
      <c r="E28" s="17"/>
      <c r="F28" s="17"/>
      <c r="G28" s="17"/>
      <c r="H28" s="38"/>
      <c r="I28" s="17"/>
      <c r="J28" s="17"/>
      <c r="K28" s="38"/>
      <c r="L28" s="17"/>
      <c r="M28" s="17"/>
      <c r="N28" s="22"/>
    </row>
    <row r="29" spans="2:14" x14ac:dyDescent="0.25">
      <c r="B29" s="21"/>
      <c r="C29" s="17"/>
      <c r="D29" s="17"/>
      <c r="E29" s="17"/>
      <c r="F29" s="17"/>
      <c r="G29" s="17"/>
      <c r="H29" s="38"/>
      <c r="I29" s="17"/>
      <c r="J29" s="17"/>
      <c r="K29" s="38"/>
      <c r="L29" s="17"/>
      <c r="M29" s="17"/>
      <c r="N29" s="22"/>
    </row>
    <row r="30" spans="2:14" x14ac:dyDescent="0.25">
      <c r="B30" s="21"/>
      <c r="C30" s="17"/>
      <c r="D30" s="17"/>
      <c r="E30" s="17"/>
      <c r="F30" s="17"/>
      <c r="G30" s="17"/>
      <c r="H30" s="38"/>
      <c r="I30" s="17"/>
      <c r="J30" s="17"/>
      <c r="K30" s="38"/>
      <c r="L30" s="17"/>
      <c r="M30" s="17"/>
      <c r="N30" s="22"/>
    </row>
    <row r="31" spans="2:14" x14ac:dyDescent="0.25">
      <c r="B31" s="21"/>
      <c r="C31" s="17"/>
      <c r="D31" s="17"/>
      <c r="E31" s="17"/>
      <c r="F31" s="17"/>
      <c r="G31" s="17"/>
      <c r="H31" s="38"/>
      <c r="I31" s="17"/>
      <c r="J31" s="17"/>
      <c r="K31" s="38"/>
      <c r="L31" s="17"/>
      <c r="M31" s="17"/>
      <c r="N31" s="22"/>
    </row>
    <row r="32" spans="2:14" x14ac:dyDescent="0.25">
      <c r="B32" s="21"/>
      <c r="C32" s="17"/>
      <c r="D32" s="17"/>
      <c r="E32" s="17"/>
      <c r="F32" s="17"/>
      <c r="G32" s="17"/>
      <c r="H32" s="38"/>
      <c r="I32" s="17"/>
      <c r="J32" s="17"/>
      <c r="K32" s="38"/>
      <c r="L32" s="17"/>
      <c r="M32" s="17"/>
      <c r="N32" s="22"/>
    </row>
    <row r="33" spans="2:14" x14ac:dyDescent="0.25">
      <c r="B33" s="21"/>
      <c r="C33" s="17"/>
      <c r="D33" s="17"/>
      <c r="E33" s="17"/>
      <c r="F33" s="17"/>
      <c r="G33" s="17"/>
      <c r="H33" s="38"/>
      <c r="I33" s="17"/>
      <c r="J33" s="17"/>
      <c r="K33" s="38"/>
      <c r="L33" s="17"/>
      <c r="M33" s="17"/>
      <c r="N33" s="22"/>
    </row>
    <row r="34" spans="2:14" x14ac:dyDescent="0.25">
      <c r="B34" s="21"/>
      <c r="C34" s="17"/>
      <c r="D34" s="17"/>
      <c r="E34" s="17"/>
      <c r="F34" s="17"/>
      <c r="G34" s="17"/>
      <c r="H34" s="38"/>
      <c r="I34" s="17"/>
      <c r="J34" s="17"/>
      <c r="K34" s="38"/>
      <c r="L34" s="17"/>
      <c r="M34" s="17"/>
      <c r="N34" s="22"/>
    </row>
    <row r="35" spans="2:14" x14ac:dyDescent="0.25">
      <c r="B35" s="21"/>
      <c r="C35" s="17"/>
      <c r="D35" s="17"/>
      <c r="E35" s="17"/>
      <c r="F35" s="17"/>
      <c r="G35" s="17"/>
      <c r="H35" s="38"/>
      <c r="I35" s="17"/>
      <c r="J35" s="17"/>
      <c r="K35" s="38"/>
      <c r="L35" s="17"/>
      <c r="M35" s="17"/>
      <c r="N35" s="22"/>
    </row>
    <row r="36" spans="2:14" x14ac:dyDescent="0.25">
      <c r="B36" s="21"/>
      <c r="C36" s="17"/>
      <c r="D36" s="17"/>
      <c r="E36" s="17"/>
      <c r="F36" s="17"/>
      <c r="G36" s="17"/>
      <c r="H36" s="38"/>
      <c r="I36" s="17"/>
      <c r="J36" s="17"/>
      <c r="K36" s="38"/>
      <c r="L36" s="17"/>
      <c r="M36" s="17"/>
      <c r="N36" s="22"/>
    </row>
    <row r="37" spans="2:14" x14ac:dyDescent="0.25">
      <c r="B37" s="21"/>
      <c r="C37" s="17"/>
      <c r="D37" s="17"/>
      <c r="E37" s="17"/>
      <c r="F37" s="17"/>
      <c r="G37" s="17"/>
      <c r="H37" s="38"/>
      <c r="I37" s="17"/>
      <c r="J37" s="17"/>
      <c r="K37" s="38"/>
      <c r="L37" s="17"/>
      <c r="M37" s="17"/>
      <c r="N37" s="22"/>
    </row>
    <row r="38" spans="2:14" ht="15.75" thickBot="1" x14ac:dyDescent="0.3">
      <c r="B38" s="2"/>
      <c r="C38" s="23"/>
      <c r="D38" s="23"/>
      <c r="E38" s="23"/>
      <c r="F38" s="23"/>
      <c r="G38" s="23"/>
      <c r="H38" s="39"/>
      <c r="I38" s="23"/>
      <c r="J38" s="23"/>
      <c r="K38" s="39"/>
      <c r="L38" s="23"/>
      <c r="M38" s="23"/>
      <c r="N38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BA1C0-22B3-49ED-BE3C-FAE90C16886F}">
  <dimension ref="B2:N38"/>
  <sheetViews>
    <sheetView workbookViewId="0">
      <selection activeCell="H14" sqref="H14"/>
    </sheetView>
  </sheetViews>
  <sheetFormatPr defaultRowHeight="15" x14ac:dyDescent="0.25"/>
  <cols>
    <col min="1" max="1" width="4.28515625" customWidth="1"/>
    <col min="2" max="2" width="14.28515625" customWidth="1"/>
    <col min="3" max="3" width="21.42578125" bestFit="1" customWidth="1"/>
    <col min="4" max="4" width="6.140625" bestFit="1" customWidth="1"/>
    <col min="5" max="5" width="6.85546875" bestFit="1" customWidth="1"/>
    <col min="6" max="6" width="11.7109375" bestFit="1" customWidth="1"/>
    <col min="7" max="7" width="14.7109375" bestFit="1" customWidth="1"/>
    <col min="9" max="9" width="7.42578125" bestFit="1" customWidth="1"/>
    <col min="10" max="10" width="14.7109375" bestFit="1" customWidth="1"/>
    <col min="12" max="12" width="7.42578125" bestFit="1" customWidth="1"/>
    <col min="13" max="13" width="22.5703125" bestFit="1" customWidth="1"/>
    <col min="14" max="14" width="16.140625" bestFit="1" customWidth="1"/>
    <col min="15" max="15" width="9.140625" customWidth="1"/>
  </cols>
  <sheetData>
    <row r="2" spans="2:14" ht="15.75" thickBot="1" x14ac:dyDescent="0.3">
      <c r="B2" t="s">
        <v>41</v>
      </c>
      <c r="H2" s="35"/>
      <c r="K2" s="35"/>
    </row>
    <row r="3" spans="2:14" ht="15.75" thickBot="1" x14ac:dyDescent="0.3">
      <c r="B3" s="28" t="s">
        <v>5</v>
      </c>
      <c r="C3" s="29" t="s">
        <v>6</v>
      </c>
      <c r="D3" s="29" t="s">
        <v>7</v>
      </c>
      <c r="E3" s="29" t="s">
        <v>8</v>
      </c>
      <c r="F3" s="29" t="s">
        <v>9</v>
      </c>
      <c r="G3" s="29" t="s">
        <v>10</v>
      </c>
      <c r="H3" s="36" t="s">
        <v>11</v>
      </c>
      <c r="I3" s="29" t="s">
        <v>12</v>
      </c>
      <c r="J3" s="29" t="s">
        <v>13</v>
      </c>
      <c r="K3" s="36" t="s">
        <v>14</v>
      </c>
      <c r="L3" s="29" t="s">
        <v>15</v>
      </c>
      <c r="M3" s="29" t="s">
        <v>16</v>
      </c>
      <c r="N3" s="30" t="s">
        <v>17</v>
      </c>
    </row>
    <row r="4" spans="2:14" x14ac:dyDescent="0.25">
      <c r="B4" s="18" t="e" cm="1">
        <f t="array" ref="B4">_xlfn._xlws.SORT(_xlfn._xlws.FILTER(Invulblad!B6:T1003,Invulblad!S6:S1003=B2,""),4,1)</f>
        <v>#VALUE!</v>
      </c>
      <c r="C4" s="19"/>
      <c r="D4" s="19"/>
      <c r="E4" s="19"/>
      <c r="F4" s="19"/>
      <c r="G4" s="19"/>
      <c r="H4" s="37"/>
      <c r="I4" s="19"/>
      <c r="J4" s="19"/>
      <c r="K4" s="37"/>
      <c r="L4" s="19"/>
      <c r="M4" s="19"/>
      <c r="N4" s="20"/>
    </row>
    <row r="5" spans="2:14" x14ac:dyDescent="0.25">
      <c r="B5" s="21"/>
      <c r="C5" s="17"/>
      <c r="D5" s="17"/>
      <c r="E5" s="17"/>
      <c r="F5" s="17"/>
      <c r="G5" s="17"/>
      <c r="H5" s="38"/>
      <c r="I5" s="17"/>
      <c r="J5" s="17"/>
      <c r="K5" s="38"/>
      <c r="L5" s="17"/>
      <c r="M5" s="17"/>
      <c r="N5" s="22"/>
    </row>
    <row r="6" spans="2:14" x14ac:dyDescent="0.25">
      <c r="B6" s="21"/>
      <c r="C6" s="17"/>
      <c r="D6" s="17"/>
      <c r="E6" s="17"/>
      <c r="F6" s="17"/>
      <c r="G6" s="17"/>
      <c r="H6" s="38"/>
      <c r="I6" s="17"/>
      <c r="J6" s="17"/>
      <c r="K6" s="38"/>
      <c r="L6" s="17"/>
      <c r="M6" s="17"/>
      <c r="N6" s="22"/>
    </row>
    <row r="7" spans="2:14" x14ac:dyDescent="0.25">
      <c r="B7" s="21"/>
      <c r="C7" s="17"/>
      <c r="D7" s="17"/>
      <c r="E7" s="17"/>
      <c r="F7" s="17"/>
      <c r="G7" s="17"/>
      <c r="H7" s="38"/>
      <c r="I7" s="17"/>
      <c r="J7" s="17"/>
      <c r="K7" s="38"/>
      <c r="L7" s="17"/>
      <c r="M7" s="17"/>
      <c r="N7" s="22"/>
    </row>
    <row r="8" spans="2:14" x14ac:dyDescent="0.25">
      <c r="B8" s="21"/>
      <c r="C8" s="17"/>
      <c r="D8" s="17"/>
      <c r="E8" s="17"/>
      <c r="F8" s="17"/>
      <c r="G8" s="17"/>
      <c r="H8" s="38"/>
      <c r="I8" s="17"/>
      <c r="J8" s="17"/>
      <c r="K8" s="38"/>
      <c r="L8" s="17"/>
      <c r="M8" s="17"/>
      <c r="N8" s="22"/>
    </row>
    <row r="9" spans="2:14" x14ac:dyDescent="0.25">
      <c r="B9" s="21"/>
      <c r="C9" s="17"/>
      <c r="D9" s="17"/>
      <c r="E9" s="17"/>
      <c r="F9" s="17"/>
      <c r="G9" s="17"/>
      <c r="H9" s="38"/>
      <c r="I9" s="17"/>
      <c r="J9" s="17"/>
      <c r="K9" s="38"/>
      <c r="L9" s="17"/>
      <c r="M9" s="17"/>
      <c r="N9" s="22"/>
    </row>
    <row r="10" spans="2:14" x14ac:dyDescent="0.25">
      <c r="B10" s="21"/>
      <c r="C10" s="17"/>
      <c r="D10" s="17"/>
      <c r="E10" s="17"/>
      <c r="F10" s="17"/>
      <c r="G10" s="17"/>
      <c r="H10" s="38"/>
      <c r="I10" s="17"/>
      <c r="J10" s="17"/>
      <c r="K10" s="38"/>
      <c r="L10" s="17"/>
      <c r="M10" s="17"/>
      <c r="N10" s="22"/>
    </row>
    <row r="11" spans="2:14" x14ac:dyDescent="0.25">
      <c r="B11" s="21"/>
      <c r="C11" s="17"/>
      <c r="D11" s="17"/>
      <c r="E11" s="17"/>
      <c r="F11" s="17"/>
      <c r="G11" s="17"/>
      <c r="H11" s="38"/>
      <c r="I11" s="17"/>
      <c r="J11" s="17"/>
      <c r="K11" s="38"/>
      <c r="L11" s="17"/>
      <c r="M11" s="17"/>
      <c r="N11" s="22"/>
    </row>
    <row r="12" spans="2:14" x14ac:dyDescent="0.25">
      <c r="B12" s="21"/>
      <c r="C12" s="17"/>
      <c r="D12" s="17"/>
      <c r="E12" s="17"/>
      <c r="F12" s="17"/>
      <c r="G12" s="17"/>
      <c r="H12" s="38"/>
      <c r="I12" s="17"/>
      <c r="J12" s="17"/>
      <c r="K12" s="38"/>
      <c r="L12" s="17"/>
      <c r="M12" s="17"/>
      <c r="N12" s="22"/>
    </row>
    <row r="13" spans="2:14" x14ac:dyDescent="0.25">
      <c r="B13" s="21"/>
      <c r="C13" s="17"/>
      <c r="D13" s="17"/>
      <c r="E13" s="17"/>
      <c r="F13" s="17"/>
      <c r="G13" s="17"/>
      <c r="H13" s="38"/>
      <c r="I13" s="17"/>
      <c r="J13" s="17"/>
      <c r="K13" s="38"/>
      <c r="L13" s="17"/>
      <c r="M13" s="17"/>
      <c r="N13" s="22"/>
    </row>
    <row r="14" spans="2:14" x14ac:dyDescent="0.25">
      <c r="B14" s="21"/>
      <c r="C14" s="17"/>
      <c r="D14" s="17"/>
      <c r="E14" s="17"/>
      <c r="F14" s="17"/>
      <c r="G14" s="17"/>
      <c r="H14" s="38"/>
      <c r="I14" s="17"/>
      <c r="J14" s="17"/>
      <c r="K14" s="38"/>
      <c r="L14" s="17"/>
      <c r="M14" s="17"/>
      <c r="N14" s="22"/>
    </row>
    <row r="15" spans="2:14" x14ac:dyDescent="0.25">
      <c r="B15" s="21"/>
      <c r="C15" s="17"/>
      <c r="D15" s="17"/>
      <c r="E15" s="17"/>
      <c r="F15" s="17"/>
      <c r="G15" s="17"/>
      <c r="H15" s="38"/>
      <c r="I15" s="17"/>
      <c r="J15" s="17"/>
      <c r="K15" s="38"/>
      <c r="L15" s="17"/>
      <c r="M15" s="17"/>
      <c r="N15" s="22"/>
    </row>
    <row r="16" spans="2:14" x14ac:dyDescent="0.25">
      <c r="B16" s="21"/>
      <c r="C16" s="17"/>
      <c r="D16" s="17"/>
      <c r="E16" s="17"/>
      <c r="F16" s="17"/>
      <c r="G16" s="17"/>
      <c r="H16" s="38"/>
      <c r="I16" s="17"/>
      <c r="J16" s="17"/>
      <c r="K16" s="38"/>
      <c r="L16" s="17"/>
      <c r="M16" s="17"/>
      <c r="N16" s="22"/>
    </row>
    <row r="17" spans="2:14" x14ac:dyDescent="0.25">
      <c r="B17" s="21"/>
      <c r="C17" s="17"/>
      <c r="D17" s="17"/>
      <c r="E17" s="17"/>
      <c r="F17" s="17"/>
      <c r="G17" s="17"/>
      <c r="H17" s="38"/>
      <c r="I17" s="17"/>
      <c r="J17" s="17"/>
      <c r="K17" s="38"/>
      <c r="L17" s="17"/>
      <c r="M17" s="17"/>
      <c r="N17" s="22"/>
    </row>
    <row r="18" spans="2:14" x14ac:dyDescent="0.25">
      <c r="B18" s="21"/>
      <c r="C18" s="17"/>
      <c r="D18" s="17"/>
      <c r="E18" s="17"/>
      <c r="F18" s="17"/>
      <c r="G18" s="17"/>
      <c r="H18" s="38"/>
      <c r="I18" s="17"/>
      <c r="J18" s="17"/>
      <c r="K18" s="38"/>
      <c r="L18" s="17"/>
      <c r="M18" s="17"/>
      <c r="N18" s="22"/>
    </row>
    <row r="19" spans="2:14" x14ac:dyDescent="0.25">
      <c r="B19" s="21"/>
      <c r="C19" s="17"/>
      <c r="D19" s="17"/>
      <c r="E19" s="17"/>
      <c r="F19" s="17"/>
      <c r="G19" s="17"/>
      <c r="H19" s="38"/>
      <c r="I19" s="17"/>
      <c r="J19" s="17"/>
      <c r="K19" s="38"/>
      <c r="L19" s="17"/>
      <c r="M19" s="17"/>
      <c r="N19" s="22"/>
    </row>
    <row r="20" spans="2:14" x14ac:dyDescent="0.25">
      <c r="B20" s="21"/>
      <c r="C20" s="17"/>
      <c r="D20" s="17"/>
      <c r="E20" s="17"/>
      <c r="F20" s="17"/>
      <c r="G20" s="17"/>
      <c r="H20" s="38"/>
      <c r="I20" s="17"/>
      <c r="J20" s="17"/>
      <c r="K20" s="38"/>
      <c r="L20" s="17"/>
      <c r="M20" s="17"/>
      <c r="N20" s="22"/>
    </row>
    <row r="21" spans="2:14" x14ac:dyDescent="0.25">
      <c r="B21" s="21"/>
      <c r="C21" s="17"/>
      <c r="D21" s="17"/>
      <c r="E21" s="17"/>
      <c r="F21" s="17"/>
      <c r="G21" s="17"/>
      <c r="H21" s="38"/>
      <c r="I21" s="17"/>
      <c r="J21" s="17"/>
      <c r="K21" s="38"/>
      <c r="L21" s="17"/>
      <c r="M21" s="17"/>
      <c r="N21" s="22"/>
    </row>
    <row r="22" spans="2:14" x14ac:dyDescent="0.25">
      <c r="B22" s="21"/>
      <c r="C22" s="17"/>
      <c r="D22" s="17"/>
      <c r="E22" s="17"/>
      <c r="F22" s="17"/>
      <c r="G22" s="17"/>
      <c r="H22" s="38"/>
      <c r="I22" s="17"/>
      <c r="J22" s="17"/>
      <c r="K22" s="38"/>
      <c r="L22" s="17"/>
      <c r="M22" s="17"/>
      <c r="N22" s="22"/>
    </row>
    <row r="23" spans="2:14" x14ac:dyDescent="0.25">
      <c r="B23" s="21"/>
      <c r="C23" s="17"/>
      <c r="D23" s="17"/>
      <c r="E23" s="17"/>
      <c r="F23" s="17"/>
      <c r="G23" s="17"/>
      <c r="H23" s="38"/>
      <c r="I23" s="17"/>
      <c r="J23" s="17"/>
      <c r="K23" s="38"/>
      <c r="L23" s="17"/>
      <c r="M23" s="17"/>
      <c r="N23" s="22"/>
    </row>
    <row r="24" spans="2:14" x14ac:dyDescent="0.25">
      <c r="B24" s="21"/>
      <c r="C24" s="17"/>
      <c r="D24" s="17"/>
      <c r="E24" s="17"/>
      <c r="F24" s="17"/>
      <c r="G24" s="17"/>
      <c r="H24" s="38"/>
      <c r="I24" s="17"/>
      <c r="J24" s="17"/>
      <c r="K24" s="38"/>
      <c r="L24" s="17"/>
      <c r="M24" s="17"/>
      <c r="N24" s="22"/>
    </row>
    <row r="25" spans="2:14" x14ac:dyDescent="0.25">
      <c r="B25" s="21"/>
      <c r="C25" s="17"/>
      <c r="D25" s="17"/>
      <c r="E25" s="17"/>
      <c r="F25" s="17"/>
      <c r="G25" s="17"/>
      <c r="H25" s="38"/>
      <c r="I25" s="17"/>
      <c r="J25" s="17"/>
      <c r="K25" s="38"/>
      <c r="L25" s="17"/>
      <c r="M25" s="17"/>
      <c r="N25" s="22"/>
    </row>
    <row r="26" spans="2:14" x14ac:dyDescent="0.25">
      <c r="B26" s="21"/>
      <c r="C26" s="17"/>
      <c r="D26" s="17"/>
      <c r="E26" s="17"/>
      <c r="F26" s="17"/>
      <c r="G26" s="17"/>
      <c r="H26" s="38"/>
      <c r="I26" s="17"/>
      <c r="J26" s="17"/>
      <c r="K26" s="38"/>
      <c r="L26" s="17"/>
      <c r="M26" s="17"/>
      <c r="N26" s="22"/>
    </row>
    <row r="27" spans="2:14" x14ac:dyDescent="0.25">
      <c r="B27" s="21"/>
      <c r="C27" s="17"/>
      <c r="D27" s="17"/>
      <c r="E27" s="17"/>
      <c r="F27" s="17"/>
      <c r="G27" s="17"/>
      <c r="H27" s="38"/>
      <c r="I27" s="17"/>
      <c r="J27" s="17"/>
      <c r="K27" s="38"/>
      <c r="L27" s="17"/>
      <c r="M27" s="17"/>
      <c r="N27" s="22"/>
    </row>
    <row r="28" spans="2:14" x14ac:dyDescent="0.25">
      <c r="B28" s="21"/>
      <c r="C28" s="17"/>
      <c r="D28" s="17"/>
      <c r="E28" s="17"/>
      <c r="F28" s="17"/>
      <c r="G28" s="17"/>
      <c r="H28" s="38"/>
      <c r="I28" s="17"/>
      <c r="J28" s="17"/>
      <c r="K28" s="38"/>
      <c r="L28" s="17"/>
      <c r="M28" s="17"/>
      <c r="N28" s="22"/>
    </row>
    <row r="29" spans="2:14" x14ac:dyDescent="0.25">
      <c r="B29" s="21"/>
      <c r="C29" s="17"/>
      <c r="D29" s="17"/>
      <c r="E29" s="17"/>
      <c r="F29" s="17"/>
      <c r="G29" s="17"/>
      <c r="H29" s="38"/>
      <c r="I29" s="17"/>
      <c r="J29" s="17"/>
      <c r="K29" s="38"/>
      <c r="L29" s="17"/>
      <c r="M29" s="17"/>
      <c r="N29" s="22"/>
    </row>
    <row r="30" spans="2:14" x14ac:dyDescent="0.25">
      <c r="B30" s="21"/>
      <c r="C30" s="17"/>
      <c r="D30" s="17"/>
      <c r="E30" s="17"/>
      <c r="F30" s="17"/>
      <c r="G30" s="17"/>
      <c r="H30" s="38"/>
      <c r="I30" s="17"/>
      <c r="J30" s="17"/>
      <c r="K30" s="38"/>
      <c r="L30" s="17"/>
      <c r="M30" s="17"/>
      <c r="N30" s="22"/>
    </row>
    <row r="31" spans="2:14" x14ac:dyDescent="0.25">
      <c r="B31" s="21"/>
      <c r="C31" s="17"/>
      <c r="D31" s="17"/>
      <c r="E31" s="17"/>
      <c r="F31" s="17"/>
      <c r="G31" s="17"/>
      <c r="H31" s="38"/>
      <c r="I31" s="17"/>
      <c r="J31" s="17"/>
      <c r="K31" s="38"/>
      <c r="L31" s="17"/>
      <c r="M31" s="17"/>
      <c r="N31" s="22"/>
    </row>
    <row r="32" spans="2:14" x14ac:dyDescent="0.25">
      <c r="B32" s="21"/>
      <c r="C32" s="17"/>
      <c r="D32" s="17"/>
      <c r="E32" s="17"/>
      <c r="F32" s="17"/>
      <c r="G32" s="17"/>
      <c r="H32" s="38"/>
      <c r="I32" s="17"/>
      <c r="J32" s="17"/>
      <c r="K32" s="38"/>
      <c r="L32" s="17"/>
      <c r="M32" s="17"/>
      <c r="N32" s="22"/>
    </row>
    <row r="33" spans="2:14" x14ac:dyDescent="0.25">
      <c r="B33" s="21"/>
      <c r="C33" s="17"/>
      <c r="D33" s="17"/>
      <c r="E33" s="17"/>
      <c r="F33" s="17"/>
      <c r="G33" s="17"/>
      <c r="H33" s="38"/>
      <c r="I33" s="17"/>
      <c r="J33" s="17"/>
      <c r="K33" s="38"/>
      <c r="L33" s="17"/>
      <c r="M33" s="17"/>
      <c r="N33" s="22"/>
    </row>
    <row r="34" spans="2:14" x14ac:dyDescent="0.25">
      <c r="B34" s="21"/>
      <c r="C34" s="17"/>
      <c r="D34" s="17"/>
      <c r="E34" s="17"/>
      <c r="F34" s="17"/>
      <c r="G34" s="17"/>
      <c r="H34" s="38"/>
      <c r="I34" s="17"/>
      <c r="J34" s="17"/>
      <c r="K34" s="38"/>
      <c r="L34" s="17"/>
      <c r="M34" s="17"/>
      <c r="N34" s="22"/>
    </row>
    <row r="35" spans="2:14" x14ac:dyDescent="0.25">
      <c r="B35" s="21"/>
      <c r="C35" s="17"/>
      <c r="D35" s="17"/>
      <c r="E35" s="17"/>
      <c r="F35" s="17"/>
      <c r="G35" s="17"/>
      <c r="H35" s="38"/>
      <c r="I35" s="17"/>
      <c r="J35" s="17"/>
      <c r="K35" s="38"/>
      <c r="L35" s="17"/>
      <c r="M35" s="17"/>
      <c r="N35" s="22"/>
    </row>
    <row r="36" spans="2:14" x14ac:dyDescent="0.25">
      <c r="B36" s="21"/>
      <c r="C36" s="17"/>
      <c r="D36" s="17"/>
      <c r="E36" s="17"/>
      <c r="F36" s="17"/>
      <c r="G36" s="17"/>
      <c r="H36" s="38"/>
      <c r="I36" s="17"/>
      <c r="J36" s="17"/>
      <c r="K36" s="38"/>
      <c r="L36" s="17"/>
      <c r="M36" s="17"/>
      <c r="N36" s="22"/>
    </row>
    <row r="37" spans="2:14" x14ac:dyDescent="0.25">
      <c r="B37" s="21"/>
      <c r="C37" s="17"/>
      <c r="D37" s="17"/>
      <c r="E37" s="17"/>
      <c r="F37" s="17"/>
      <c r="G37" s="17"/>
      <c r="H37" s="38"/>
      <c r="I37" s="17"/>
      <c r="J37" s="17"/>
      <c r="K37" s="38"/>
      <c r="L37" s="17"/>
      <c r="M37" s="17"/>
      <c r="N37" s="22"/>
    </row>
    <row r="38" spans="2:14" ht="15.75" thickBot="1" x14ac:dyDescent="0.3">
      <c r="B38" s="2"/>
      <c r="C38" s="23"/>
      <c r="D38" s="23"/>
      <c r="E38" s="23"/>
      <c r="F38" s="23"/>
      <c r="G38" s="23"/>
      <c r="H38" s="39"/>
      <c r="I38" s="23"/>
      <c r="J38" s="23"/>
      <c r="K38" s="39"/>
      <c r="L38" s="23"/>
      <c r="M38" s="23"/>
      <c r="N38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4D248-D22F-4028-B591-F9398BF83554}">
  <dimension ref="B2:N38"/>
  <sheetViews>
    <sheetView workbookViewId="0">
      <selection activeCell="G18" sqref="G18"/>
    </sheetView>
  </sheetViews>
  <sheetFormatPr defaultRowHeight="15" x14ac:dyDescent="0.25"/>
  <cols>
    <col min="1" max="1" width="4.140625" customWidth="1"/>
    <col min="2" max="2" width="15" customWidth="1"/>
    <col min="3" max="3" width="26" bestFit="1" customWidth="1"/>
    <col min="4" max="4" width="7" bestFit="1" customWidth="1"/>
    <col min="5" max="5" width="6.85546875" bestFit="1" customWidth="1"/>
    <col min="6" max="6" width="11.7109375" bestFit="1" customWidth="1"/>
    <col min="7" max="7" width="14.7109375" bestFit="1" customWidth="1"/>
    <col min="9" max="9" width="7.42578125" bestFit="1" customWidth="1"/>
    <col min="10" max="10" width="14.7109375" bestFit="1" customWidth="1"/>
    <col min="12" max="12" width="7.42578125" bestFit="1" customWidth="1"/>
    <col min="13" max="13" width="32" bestFit="1" customWidth="1"/>
    <col min="14" max="14" width="15.5703125" bestFit="1" customWidth="1"/>
    <col min="15" max="15" width="9.140625" customWidth="1"/>
  </cols>
  <sheetData>
    <row r="2" spans="2:14" ht="15.75" thickBot="1" x14ac:dyDescent="0.3">
      <c r="B2" t="s">
        <v>43</v>
      </c>
      <c r="H2" s="35"/>
      <c r="K2" s="35"/>
    </row>
    <row r="3" spans="2:14" ht="15.75" thickBot="1" x14ac:dyDescent="0.3">
      <c r="B3" s="28" t="s">
        <v>5</v>
      </c>
      <c r="C3" s="29" t="s">
        <v>6</v>
      </c>
      <c r="D3" s="29" t="s">
        <v>7</v>
      </c>
      <c r="E3" s="29" t="s">
        <v>8</v>
      </c>
      <c r="F3" s="29" t="s">
        <v>9</v>
      </c>
      <c r="G3" s="29" t="s">
        <v>10</v>
      </c>
      <c r="H3" s="36" t="s">
        <v>11</v>
      </c>
      <c r="I3" s="29" t="s">
        <v>12</v>
      </c>
      <c r="J3" s="29" t="s">
        <v>13</v>
      </c>
      <c r="K3" s="36" t="s">
        <v>14</v>
      </c>
      <c r="L3" s="29" t="s">
        <v>15</v>
      </c>
      <c r="M3" s="29" t="s">
        <v>16</v>
      </c>
      <c r="N3" s="30" t="s">
        <v>17</v>
      </c>
    </row>
    <row r="4" spans="2:14" x14ac:dyDescent="0.25">
      <c r="B4" s="18" t="e" cm="1">
        <f t="array" ref="B4">_xlfn._xlws.SORT(_xlfn._xlws.FILTER(Invulblad!B6:T1003,Invulblad!S6:S1003=B2,""),4,1)</f>
        <v>#VALUE!</v>
      </c>
      <c r="C4" s="19"/>
      <c r="D4" s="19"/>
      <c r="E4" s="19"/>
      <c r="F4" s="19"/>
      <c r="G4" s="19"/>
      <c r="H4" s="37"/>
      <c r="I4" s="19"/>
      <c r="J4" s="19"/>
      <c r="K4" s="37"/>
      <c r="L4" s="19"/>
      <c r="M4" s="19"/>
      <c r="N4" s="20"/>
    </row>
    <row r="5" spans="2:14" x14ac:dyDescent="0.25">
      <c r="B5" s="21"/>
      <c r="C5" s="17"/>
      <c r="D5" s="17"/>
      <c r="E5" s="17"/>
      <c r="F5" s="17"/>
      <c r="G5" s="17"/>
      <c r="H5" s="38"/>
      <c r="I5" s="17"/>
      <c r="J5" s="17"/>
      <c r="K5" s="38"/>
      <c r="L5" s="17"/>
      <c r="M5" s="17"/>
      <c r="N5" s="22"/>
    </row>
    <row r="6" spans="2:14" x14ac:dyDescent="0.25">
      <c r="B6" s="21"/>
      <c r="C6" s="17"/>
      <c r="D6" s="17"/>
      <c r="E6" s="17"/>
      <c r="F6" s="17"/>
      <c r="G6" s="17"/>
      <c r="H6" s="38"/>
      <c r="I6" s="17"/>
      <c r="J6" s="17"/>
      <c r="K6" s="38"/>
      <c r="L6" s="17"/>
      <c r="M6" s="17"/>
      <c r="N6" s="22"/>
    </row>
    <row r="7" spans="2:14" x14ac:dyDescent="0.25">
      <c r="B7" s="21"/>
      <c r="C7" s="17"/>
      <c r="D7" s="17"/>
      <c r="E7" s="17"/>
      <c r="F7" s="17"/>
      <c r="G7" s="17"/>
      <c r="H7" s="38"/>
      <c r="I7" s="17"/>
      <c r="J7" s="17"/>
      <c r="K7" s="38"/>
      <c r="L7" s="17"/>
      <c r="M7" s="17"/>
      <c r="N7" s="22"/>
    </row>
    <row r="8" spans="2:14" x14ac:dyDescent="0.25">
      <c r="B8" s="21"/>
      <c r="C8" s="17"/>
      <c r="D8" s="17"/>
      <c r="E8" s="17"/>
      <c r="F8" s="17"/>
      <c r="G8" s="17"/>
      <c r="H8" s="38"/>
      <c r="I8" s="17"/>
      <c r="J8" s="17"/>
      <c r="K8" s="38"/>
      <c r="L8" s="17"/>
      <c r="M8" s="17"/>
      <c r="N8" s="22"/>
    </row>
    <row r="9" spans="2:14" x14ac:dyDescent="0.25">
      <c r="B9" s="21"/>
      <c r="C9" s="17"/>
      <c r="D9" s="17"/>
      <c r="E9" s="17"/>
      <c r="F9" s="17"/>
      <c r="G9" s="17"/>
      <c r="H9" s="38"/>
      <c r="I9" s="17"/>
      <c r="J9" s="17"/>
      <c r="K9" s="38"/>
      <c r="L9" s="17"/>
      <c r="M9" s="17"/>
      <c r="N9" s="22"/>
    </row>
    <row r="10" spans="2:14" x14ac:dyDescent="0.25">
      <c r="B10" s="21"/>
      <c r="C10" s="17"/>
      <c r="D10" s="17"/>
      <c r="E10" s="17"/>
      <c r="F10" s="17"/>
      <c r="G10" s="17"/>
      <c r="H10" s="38"/>
      <c r="I10" s="17"/>
      <c r="J10" s="17"/>
      <c r="K10" s="38"/>
      <c r="L10" s="17"/>
      <c r="M10" s="17"/>
      <c r="N10" s="22"/>
    </row>
    <row r="11" spans="2:14" x14ac:dyDescent="0.25">
      <c r="B11" s="21"/>
      <c r="C11" s="17"/>
      <c r="D11" s="17"/>
      <c r="E11" s="17"/>
      <c r="F11" s="17"/>
      <c r="G11" s="17"/>
      <c r="H11" s="38"/>
      <c r="I11" s="17"/>
      <c r="J11" s="17"/>
      <c r="K11" s="38"/>
      <c r="L11" s="17"/>
      <c r="M11" s="17"/>
      <c r="N11" s="22"/>
    </row>
    <row r="12" spans="2:14" x14ac:dyDescent="0.25">
      <c r="B12" s="21"/>
      <c r="C12" s="17"/>
      <c r="D12" s="17"/>
      <c r="E12" s="17"/>
      <c r="F12" s="17"/>
      <c r="G12" s="17"/>
      <c r="H12" s="38"/>
      <c r="I12" s="17"/>
      <c r="J12" s="17"/>
      <c r="K12" s="38"/>
      <c r="L12" s="17"/>
      <c r="M12" s="17"/>
      <c r="N12" s="22"/>
    </row>
    <row r="13" spans="2:14" x14ac:dyDescent="0.25">
      <c r="B13" s="21"/>
      <c r="C13" s="17"/>
      <c r="D13" s="17"/>
      <c r="E13" s="17"/>
      <c r="F13" s="17"/>
      <c r="G13" s="17"/>
      <c r="H13" s="38"/>
      <c r="I13" s="17"/>
      <c r="J13" s="17"/>
      <c r="K13" s="38"/>
      <c r="L13" s="17"/>
      <c r="M13" s="17"/>
      <c r="N13" s="22"/>
    </row>
    <row r="14" spans="2:14" x14ac:dyDescent="0.25">
      <c r="B14" s="21"/>
      <c r="C14" s="17"/>
      <c r="D14" s="17"/>
      <c r="E14" s="17"/>
      <c r="F14" s="17"/>
      <c r="G14" s="17"/>
      <c r="H14" s="38"/>
      <c r="I14" s="17"/>
      <c r="J14" s="17"/>
      <c r="K14" s="38"/>
      <c r="L14" s="17"/>
      <c r="M14" s="17"/>
      <c r="N14" s="22"/>
    </row>
    <row r="15" spans="2:14" x14ac:dyDescent="0.25">
      <c r="B15" s="21"/>
      <c r="C15" s="17"/>
      <c r="D15" s="17"/>
      <c r="E15" s="17"/>
      <c r="F15" s="17"/>
      <c r="G15" s="17"/>
      <c r="H15" s="38"/>
      <c r="I15" s="17"/>
      <c r="J15" s="17"/>
      <c r="K15" s="38"/>
      <c r="L15" s="17"/>
      <c r="M15" s="17"/>
      <c r="N15" s="22"/>
    </row>
    <row r="16" spans="2:14" x14ac:dyDescent="0.25">
      <c r="B16" s="21"/>
      <c r="C16" s="17"/>
      <c r="D16" s="17"/>
      <c r="E16" s="17"/>
      <c r="F16" s="17"/>
      <c r="G16" s="17"/>
      <c r="H16" s="38"/>
      <c r="I16" s="17"/>
      <c r="J16" s="17"/>
      <c r="K16" s="38"/>
      <c r="L16" s="17"/>
      <c r="M16" s="17"/>
      <c r="N16" s="22"/>
    </row>
    <row r="17" spans="2:14" x14ac:dyDescent="0.25">
      <c r="B17" s="21"/>
      <c r="C17" s="17"/>
      <c r="D17" s="17"/>
      <c r="E17" s="17"/>
      <c r="F17" s="17"/>
      <c r="G17" s="17"/>
      <c r="H17" s="38"/>
      <c r="I17" s="17"/>
      <c r="J17" s="17"/>
      <c r="K17" s="38"/>
      <c r="L17" s="17"/>
      <c r="M17" s="17"/>
      <c r="N17" s="22"/>
    </row>
    <row r="18" spans="2:14" x14ac:dyDescent="0.25">
      <c r="B18" s="21"/>
      <c r="C18" s="17"/>
      <c r="D18" s="17"/>
      <c r="E18" s="17"/>
      <c r="F18" s="17"/>
      <c r="G18" s="17"/>
      <c r="H18" s="38"/>
      <c r="I18" s="17"/>
      <c r="J18" s="17"/>
      <c r="K18" s="38"/>
      <c r="L18" s="17"/>
      <c r="M18" s="17"/>
      <c r="N18" s="22"/>
    </row>
    <row r="19" spans="2:14" x14ac:dyDescent="0.25">
      <c r="B19" s="21"/>
      <c r="C19" s="17"/>
      <c r="D19" s="17"/>
      <c r="E19" s="17"/>
      <c r="F19" s="17"/>
      <c r="G19" s="17"/>
      <c r="H19" s="38"/>
      <c r="I19" s="17"/>
      <c r="J19" s="17"/>
      <c r="K19" s="38"/>
      <c r="L19" s="17"/>
      <c r="M19" s="17"/>
      <c r="N19" s="22"/>
    </row>
    <row r="20" spans="2:14" x14ac:dyDescent="0.25">
      <c r="B20" s="21"/>
      <c r="C20" s="17"/>
      <c r="D20" s="17"/>
      <c r="E20" s="17"/>
      <c r="F20" s="17"/>
      <c r="G20" s="17"/>
      <c r="H20" s="38"/>
      <c r="I20" s="17"/>
      <c r="J20" s="17"/>
      <c r="K20" s="38"/>
      <c r="L20" s="17"/>
      <c r="M20" s="17"/>
      <c r="N20" s="22"/>
    </row>
    <row r="21" spans="2:14" x14ac:dyDescent="0.25">
      <c r="B21" s="21"/>
      <c r="C21" s="17"/>
      <c r="D21" s="17"/>
      <c r="E21" s="17"/>
      <c r="F21" s="17"/>
      <c r="G21" s="17"/>
      <c r="H21" s="38"/>
      <c r="I21" s="17"/>
      <c r="J21" s="17"/>
      <c r="K21" s="38"/>
      <c r="L21" s="17"/>
      <c r="M21" s="17"/>
      <c r="N21" s="22"/>
    </row>
    <row r="22" spans="2:14" x14ac:dyDescent="0.25">
      <c r="B22" s="21"/>
      <c r="C22" s="17"/>
      <c r="D22" s="17"/>
      <c r="E22" s="17"/>
      <c r="F22" s="17"/>
      <c r="G22" s="17"/>
      <c r="H22" s="38"/>
      <c r="I22" s="17"/>
      <c r="J22" s="17"/>
      <c r="K22" s="38"/>
      <c r="L22" s="17"/>
      <c r="M22" s="17"/>
      <c r="N22" s="22"/>
    </row>
    <row r="23" spans="2:14" x14ac:dyDescent="0.25">
      <c r="B23" s="21"/>
      <c r="C23" s="17"/>
      <c r="D23" s="17"/>
      <c r="E23" s="17"/>
      <c r="F23" s="17"/>
      <c r="G23" s="17"/>
      <c r="H23" s="38"/>
      <c r="I23" s="17"/>
      <c r="J23" s="17"/>
      <c r="K23" s="38"/>
      <c r="L23" s="17"/>
      <c r="M23" s="17"/>
      <c r="N23" s="22"/>
    </row>
    <row r="24" spans="2:14" x14ac:dyDescent="0.25">
      <c r="B24" s="21"/>
      <c r="C24" s="17"/>
      <c r="D24" s="17"/>
      <c r="E24" s="17"/>
      <c r="F24" s="17"/>
      <c r="G24" s="17"/>
      <c r="H24" s="38"/>
      <c r="I24" s="17"/>
      <c r="J24" s="17"/>
      <c r="K24" s="38"/>
      <c r="L24" s="17"/>
      <c r="M24" s="17"/>
      <c r="N24" s="22"/>
    </row>
    <row r="25" spans="2:14" x14ac:dyDescent="0.25">
      <c r="B25" s="21"/>
      <c r="C25" s="17"/>
      <c r="D25" s="17"/>
      <c r="E25" s="17"/>
      <c r="F25" s="17"/>
      <c r="G25" s="17"/>
      <c r="H25" s="38"/>
      <c r="I25" s="17"/>
      <c r="J25" s="17"/>
      <c r="K25" s="38"/>
      <c r="L25" s="17"/>
      <c r="M25" s="17"/>
      <c r="N25" s="22"/>
    </row>
    <row r="26" spans="2:14" x14ac:dyDescent="0.25">
      <c r="B26" s="21"/>
      <c r="C26" s="17"/>
      <c r="D26" s="17"/>
      <c r="E26" s="17"/>
      <c r="F26" s="17"/>
      <c r="G26" s="17"/>
      <c r="H26" s="38"/>
      <c r="I26" s="17"/>
      <c r="J26" s="17"/>
      <c r="K26" s="38"/>
      <c r="L26" s="17"/>
      <c r="M26" s="17"/>
      <c r="N26" s="22"/>
    </row>
    <row r="27" spans="2:14" x14ac:dyDescent="0.25">
      <c r="B27" s="21"/>
      <c r="C27" s="17"/>
      <c r="D27" s="17"/>
      <c r="E27" s="17"/>
      <c r="F27" s="17"/>
      <c r="G27" s="17"/>
      <c r="H27" s="38"/>
      <c r="I27" s="17"/>
      <c r="J27" s="17"/>
      <c r="K27" s="38"/>
      <c r="L27" s="17"/>
      <c r="M27" s="17"/>
      <c r="N27" s="22"/>
    </row>
    <row r="28" spans="2:14" x14ac:dyDescent="0.25">
      <c r="B28" s="21"/>
      <c r="C28" s="17"/>
      <c r="D28" s="17"/>
      <c r="E28" s="17"/>
      <c r="F28" s="17"/>
      <c r="G28" s="17"/>
      <c r="H28" s="38"/>
      <c r="I28" s="17"/>
      <c r="J28" s="17"/>
      <c r="K28" s="38"/>
      <c r="L28" s="17"/>
      <c r="M28" s="17"/>
      <c r="N28" s="22"/>
    </row>
    <row r="29" spans="2:14" x14ac:dyDescent="0.25">
      <c r="B29" s="21"/>
      <c r="C29" s="17"/>
      <c r="D29" s="17"/>
      <c r="E29" s="17"/>
      <c r="F29" s="17"/>
      <c r="G29" s="17"/>
      <c r="H29" s="38"/>
      <c r="I29" s="17"/>
      <c r="J29" s="17"/>
      <c r="K29" s="38"/>
      <c r="L29" s="17"/>
      <c r="M29" s="17"/>
      <c r="N29" s="22"/>
    </row>
    <row r="30" spans="2:14" x14ac:dyDescent="0.25">
      <c r="B30" s="21"/>
      <c r="C30" s="17"/>
      <c r="D30" s="17"/>
      <c r="E30" s="17"/>
      <c r="F30" s="17"/>
      <c r="G30" s="17"/>
      <c r="H30" s="38"/>
      <c r="I30" s="17"/>
      <c r="J30" s="17"/>
      <c r="K30" s="38"/>
      <c r="L30" s="17"/>
      <c r="M30" s="17"/>
      <c r="N30" s="22"/>
    </row>
    <row r="31" spans="2:14" x14ac:dyDescent="0.25">
      <c r="B31" s="21"/>
      <c r="C31" s="17"/>
      <c r="D31" s="17"/>
      <c r="E31" s="17"/>
      <c r="F31" s="17"/>
      <c r="G31" s="17"/>
      <c r="H31" s="38"/>
      <c r="I31" s="17"/>
      <c r="J31" s="17"/>
      <c r="K31" s="38"/>
      <c r="L31" s="17"/>
      <c r="M31" s="17"/>
      <c r="N31" s="22"/>
    </row>
    <row r="32" spans="2:14" x14ac:dyDescent="0.25">
      <c r="B32" s="21"/>
      <c r="C32" s="17"/>
      <c r="D32" s="17"/>
      <c r="E32" s="17"/>
      <c r="F32" s="17"/>
      <c r="G32" s="17"/>
      <c r="H32" s="38"/>
      <c r="I32" s="17"/>
      <c r="J32" s="17"/>
      <c r="K32" s="38"/>
      <c r="L32" s="17"/>
      <c r="M32" s="17"/>
      <c r="N32" s="22"/>
    </row>
    <row r="33" spans="2:14" x14ac:dyDescent="0.25">
      <c r="B33" s="21"/>
      <c r="C33" s="17"/>
      <c r="D33" s="17"/>
      <c r="E33" s="17"/>
      <c r="F33" s="17"/>
      <c r="G33" s="17"/>
      <c r="H33" s="38"/>
      <c r="I33" s="17"/>
      <c r="J33" s="17"/>
      <c r="K33" s="38"/>
      <c r="L33" s="17"/>
      <c r="M33" s="17"/>
      <c r="N33" s="22"/>
    </row>
    <row r="34" spans="2:14" x14ac:dyDescent="0.25">
      <c r="B34" s="21"/>
      <c r="C34" s="17"/>
      <c r="D34" s="17"/>
      <c r="E34" s="17"/>
      <c r="F34" s="17"/>
      <c r="G34" s="17"/>
      <c r="H34" s="38"/>
      <c r="I34" s="17"/>
      <c r="J34" s="17"/>
      <c r="K34" s="38"/>
      <c r="L34" s="17"/>
      <c r="M34" s="17"/>
      <c r="N34" s="22"/>
    </row>
    <row r="35" spans="2:14" x14ac:dyDescent="0.25">
      <c r="B35" s="21"/>
      <c r="C35" s="17"/>
      <c r="D35" s="17"/>
      <c r="E35" s="17"/>
      <c r="F35" s="17"/>
      <c r="G35" s="17"/>
      <c r="H35" s="38"/>
      <c r="I35" s="17"/>
      <c r="J35" s="17"/>
      <c r="K35" s="38"/>
      <c r="L35" s="17"/>
      <c r="M35" s="17"/>
      <c r="N35" s="22"/>
    </row>
    <row r="36" spans="2:14" x14ac:dyDescent="0.25">
      <c r="B36" s="21"/>
      <c r="C36" s="17"/>
      <c r="D36" s="17"/>
      <c r="E36" s="17"/>
      <c r="F36" s="17"/>
      <c r="G36" s="17"/>
      <c r="H36" s="38"/>
      <c r="I36" s="17"/>
      <c r="J36" s="17"/>
      <c r="K36" s="38"/>
      <c r="L36" s="17"/>
      <c r="M36" s="17"/>
      <c r="N36" s="22"/>
    </row>
    <row r="37" spans="2:14" x14ac:dyDescent="0.25">
      <c r="B37" s="21"/>
      <c r="C37" s="17"/>
      <c r="D37" s="17"/>
      <c r="E37" s="17"/>
      <c r="F37" s="17"/>
      <c r="G37" s="17"/>
      <c r="H37" s="38"/>
      <c r="I37" s="17"/>
      <c r="J37" s="17"/>
      <c r="K37" s="38"/>
      <c r="L37" s="17"/>
      <c r="M37" s="17"/>
      <c r="N37" s="22"/>
    </row>
    <row r="38" spans="2:14" ht="15.75" thickBot="1" x14ac:dyDescent="0.3">
      <c r="B38" s="2"/>
      <c r="C38" s="23"/>
      <c r="D38" s="23"/>
      <c r="E38" s="23"/>
      <c r="F38" s="23"/>
      <c r="G38" s="23"/>
      <c r="H38" s="39"/>
      <c r="I38" s="23"/>
      <c r="J38" s="23"/>
      <c r="K38" s="39"/>
      <c r="L38" s="23"/>
      <c r="M38" s="23"/>
      <c r="N38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2829B-891C-490D-ABA0-CC2697C915BE}">
  <dimension ref="B2:N38"/>
  <sheetViews>
    <sheetView workbookViewId="0">
      <selection activeCell="B4" sqref="B4"/>
    </sheetView>
  </sheetViews>
  <sheetFormatPr defaultRowHeight="15" x14ac:dyDescent="0.25"/>
  <cols>
    <col min="1" max="1" width="4.28515625" customWidth="1"/>
    <col min="2" max="2" width="14.42578125" bestFit="1" customWidth="1"/>
    <col min="3" max="3" width="24.140625" bestFit="1" customWidth="1"/>
    <col min="4" max="4" width="10.5703125" bestFit="1" customWidth="1"/>
    <col min="5" max="5" width="6.85546875" bestFit="1" customWidth="1"/>
    <col min="6" max="6" width="11.7109375" bestFit="1" customWidth="1"/>
    <col min="7" max="7" width="14.7109375" bestFit="1" customWidth="1"/>
    <col min="9" max="9" width="7.42578125" bestFit="1" customWidth="1"/>
    <col min="10" max="10" width="14.7109375" bestFit="1" customWidth="1"/>
    <col min="12" max="12" width="7.42578125" bestFit="1" customWidth="1"/>
    <col min="13" max="13" width="11.28515625" bestFit="1" customWidth="1"/>
    <col min="14" max="14" width="15.5703125" bestFit="1" customWidth="1"/>
  </cols>
  <sheetData>
    <row r="2" spans="2:14" ht="15.75" thickBot="1" x14ac:dyDescent="0.3">
      <c r="B2" t="s">
        <v>49</v>
      </c>
      <c r="H2" s="35"/>
      <c r="K2" s="35"/>
    </row>
    <row r="3" spans="2:14" ht="15.75" thickBot="1" x14ac:dyDescent="0.3">
      <c r="B3" s="28" t="s">
        <v>5</v>
      </c>
      <c r="C3" s="29" t="s">
        <v>6</v>
      </c>
      <c r="D3" s="29" t="s">
        <v>7</v>
      </c>
      <c r="E3" s="29" t="s">
        <v>8</v>
      </c>
      <c r="F3" s="29" t="s">
        <v>9</v>
      </c>
      <c r="G3" s="29" t="s">
        <v>10</v>
      </c>
      <c r="H3" s="36" t="s">
        <v>11</v>
      </c>
      <c r="I3" s="29" t="s">
        <v>12</v>
      </c>
      <c r="J3" s="29" t="s">
        <v>13</v>
      </c>
      <c r="K3" s="36" t="s">
        <v>14</v>
      </c>
      <c r="L3" s="29" t="s">
        <v>15</v>
      </c>
      <c r="M3" s="29" t="s">
        <v>16</v>
      </c>
      <c r="N3" s="30" t="s">
        <v>17</v>
      </c>
    </row>
    <row r="4" spans="2:14" x14ac:dyDescent="0.25">
      <c r="B4" s="18" t="e" cm="1">
        <f t="array" ref="B4">_xlfn._xlws.SORT(_xlfn._xlws.FILTER(Invulblad!B6:T1003,Invulblad!S6:S1003=B2,""),4,1)</f>
        <v>#VALUE!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20"/>
    </row>
    <row r="5" spans="2:14" x14ac:dyDescent="0.25">
      <c r="B5" s="21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22"/>
    </row>
    <row r="6" spans="2:14" x14ac:dyDescent="0.25">
      <c r="B6" s="21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22"/>
    </row>
    <row r="7" spans="2:14" x14ac:dyDescent="0.25">
      <c r="B7" s="21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22"/>
    </row>
    <row r="8" spans="2:14" x14ac:dyDescent="0.25">
      <c r="B8" s="21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22"/>
    </row>
    <row r="9" spans="2:14" x14ac:dyDescent="0.25">
      <c r="B9" s="21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22"/>
    </row>
    <row r="10" spans="2:14" x14ac:dyDescent="0.25">
      <c r="B10" s="21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22"/>
    </row>
    <row r="11" spans="2:14" x14ac:dyDescent="0.25">
      <c r="B11" s="21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22"/>
    </row>
    <row r="12" spans="2:14" x14ac:dyDescent="0.25">
      <c r="B12" s="21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22"/>
    </row>
    <row r="13" spans="2:14" x14ac:dyDescent="0.25">
      <c r="B13" s="21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22"/>
    </row>
    <row r="14" spans="2:14" x14ac:dyDescent="0.25">
      <c r="B14" s="21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22"/>
    </row>
    <row r="15" spans="2:14" x14ac:dyDescent="0.25">
      <c r="B15" s="21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22"/>
    </row>
    <row r="16" spans="2:14" x14ac:dyDescent="0.25">
      <c r="B16" s="21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22"/>
    </row>
    <row r="17" spans="2:14" x14ac:dyDescent="0.25">
      <c r="B17" s="21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22"/>
    </row>
    <row r="18" spans="2:14" x14ac:dyDescent="0.25">
      <c r="B18" s="21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22"/>
    </row>
    <row r="19" spans="2:14" x14ac:dyDescent="0.25">
      <c r="B19" s="21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22"/>
    </row>
    <row r="20" spans="2:14" x14ac:dyDescent="0.25">
      <c r="B20" s="21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22"/>
    </row>
    <row r="21" spans="2:14" x14ac:dyDescent="0.25">
      <c r="B21" s="21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22"/>
    </row>
    <row r="22" spans="2:14" x14ac:dyDescent="0.25">
      <c r="B22" s="21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22"/>
    </row>
    <row r="23" spans="2:14" x14ac:dyDescent="0.25">
      <c r="B23" s="21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22"/>
    </row>
    <row r="24" spans="2:14" x14ac:dyDescent="0.25">
      <c r="B24" s="21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22"/>
    </row>
    <row r="25" spans="2:14" x14ac:dyDescent="0.25">
      <c r="B25" s="21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22"/>
    </row>
    <row r="26" spans="2:14" x14ac:dyDescent="0.25">
      <c r="B26" s="21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22"/>
    </row>
    <row r="27" spans="2:14" x14ac:dyDescent="0.25">
      <c r="B27" s="21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22"/>
    </row>
    <row r="28" spans="2:14" x14ac:dyDescent="0.25">
      <c r="B28" s="21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22"/>
    </row>
    <row r="29" spans="2:14" x14ac:dyDescent="0.25">
      <c r="B29" s="21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22"/>
    </row>
    <row r="30" spans="2:14" x14ac:dyDescent="0.25">
      <c r="B30" s="21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22"/>
    </row>
    <row r="31" spans="2:14" x14ac:dyDescent="0.25">
      <c r="B31" s="21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22"/>
    </row>
    <row r="32" spans="2:14" x14ac:dyDescent="0.25">
      <c r="B32" s="21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22"/>
    </row>
    <row r="33" spans="2:14" x14ac:dyDescent="0.25">
      <c r="B33" s="21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22"/>
    </row>
    <row r="34" spans="2:14" x14ac:dyDescent="0.25">
      <c r="B34" s="21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22"/>
    </row>
    <row r="35" spans="2:14" x14ac:dyDescent="0.25">
      <c r="B35" s="21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22"/>
    </row>
    <row r="36" spans="2:14" x14ac:dyDescent="0.25">
      <c r="B36" s="21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22"/>
    </row>
    <row r="37" spans="2:14" x14ac:dyDescent="0.25">
      <c r="B37" s="21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22"/>
    </row>
    <row r="38" spans="2:14" ht="15.75" thickBot="1" x14ac:dyDescent="0.3">
      <c r="B38" s="2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FE68F-5922-4580-8430-78BA134B5F9B}">
  <dimension ref="B2:N39"/>
  <sheetViews>
    <sheetView workbookViewId="0">
      <selection activeCell="T24" sqref="T24"/>
    </sheetView>
  </sheetViews>
  <sheetFormatPr defaultRowHeight="15" x14ac:dyDescent="0.25"/>
  <cols>
    <col min="1" max="1" width="4.28515625" customWidth="1"/>
    <col min="2" max="2" width="16.140625" bestFit="1" customWidth="1"/>
    <col min="3" max="3" width="13.28515625" bestFit="1" customWidth="1"/>
    <col min="4" max="4" width="6.140625" bestFit="1" customWidth="1"/>
    <col min="5" max="5" width="6.85546875" bestFit="1" customWidth="1"/>
    <col min="6" max="6" width="11.7109375" bestFit="1" customWidth="1"/>
    <col min="7" max="7" width="14.7109375" bestFit="1" customWidth="1"/>
    <col min="9" max="9" width="7.42578125" bestFit="1" customWidth="1"/>
    <col min="10" max="10" width="14.7109375" bestFit="1" customWidth="1"/>
    <col min="12" max="12" width="7.42578125" bestFit="1" customWidth="1"/>
    <col min="13" max="13" width="29.28515625" bestFit="1" customWidth="1"/>
    <col min="14" max="14" width="16.140625" bestFit="1" customWidth="1"/>
    <col min="15" max="15" width="9.140625" customWidth="1"/>
  </cols>
  <sheetData>
    <row r="2" spans="2:14" ht="15.75" thickBot="1" x14ac:dyDescent="0.3">
      <c r="B2" t="s">
        <v>54</v>
      </c>
    </row>
    <row r="3" spans="2:14" ht="15.75" thickBot="1" x14ac:dyDescent="0.3">
      <c r="B3" s="28" t="s">
        <v>5</v>
      </c>
      <c r="C3" s="29" t="s">
        <v>6</v>
      </c>
      <c r="D3" s="29" t="s">
        <v>7</v>
      </c>
      <c r="E3" s="29" t="s">
        <v>8</v>
      </c>
      <c r="F3" s="29" t="s">
        <v>9</v>
      </c>
      <c r="G3" s="29" t="s">
        <v>10</v>
      </c>
      <c r="H3" s="36" t="s">
        <v>11</v>
      </c>
      <c r="I3" s="29" t="s">
        <v>12</v>
      </c>
      <c r="J3" s="29" t="s">
        <v>13</v>
      </c>
      <c r="K3" s="36" t="s">
        <v>14</v>
      </c>
      <c r="L3" s="29" t="s">
        <v>15</v>
      </c>
      <c r="M3" s="29" t="s">
        <v>16</v>
      </c>
      <c r="N3" s="30" t="s">
        <v>17</v>
      </c>
    </row>
    <row r="4" spans="2:14" x14ac:dyDescent="0.25">
      <c r="B4" s="18" t="e" cm="1">
        <f t="array" ref="B4">_xlfn._xlws.SORT(_xlfn._xlws.FILTER(Invulblad!B6:T1003,Invulblad!T6:T1003=B2,""),4,1)</f>
        <v>#VALUE!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20"/>
    </row>
    <row r="5" spans="2:14" x14ac:dyDescent="0.25">
      <c r="B5" s="21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22"/>
    </row>
    <row r="6" spans="2:14" x14ac:dyDescent="0.25">
      <c r="B6" s="21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22"/>
    </row>
    <row r="7" spans="2:14" x14ac:dyDescent="0.25">
      <c r="B7" s="21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22"/>
    </row>
    <row r="8" spans="2:14" x14ac:dyDescent="0.25">
      <c r="B8" s="21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22"/>
    </row>
    <row r="9" spans="2:14" x14ac:dyDescent="0.25">
      <c r="B9" s="21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22"/>
    </row>
    <row r="10" spans="2:14" x14ac:dyDescent="0.25">
      <c r="B10" s="21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22"/>
    </row>
    <row r="11" spans="2:14" x14ac:dyDescent="0.25">
      <c r="B11" s="21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22"/>
    </row>
    <row r="12" spans="2:14" x14ac:dyDescent="0.25">
      <c r="B12" s="21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22"/>
    </row>
    <row r="13" spans="2:14" ht="15.75" thickBot="1" x14ac:dyDescent="0.3">
      <c r="B13" s="2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3"/>
    </row>
    <row r="15" spans="2:14" ht="15.75" thickBot="1" x14ac:dyDescent="0.3">
      <c r="B15" t="s">
        <v>55</v>
      </c>
    </row>
    <row r="16" spans="2:14" ht="15.75" thickBot="1" x14ac:dyDescent="0.3">
      <c r="B16" s="28" t="s">
        <v>5</v>
      </c>
      <c r="C16" s="29" t="s">
        <v>6</v>
      </c>
      <c r="D16" s="29" t="s">
        <v>7</v>
      </c>
      <c r="E16" s="29" t="s">
        <v>8</v>
      </c>
      <c r="F16" s="29" t="s">
        <v>9</v>
      </c>
      <c r="G16" s="29" t="s">
        <v>10</v>
      </c>
      <c r="H16" s="36" t="s">
        <v>11</v>
      </c>
      <c r="I16" s="29" t="s">
        <v>12</v>
      </c>
      <c r="J16" s="29" t="s">
        <v>13</v>
      </c>
      <c r="K16" s="36" t="s">
        <v>14</v>
      </c>
      <c r="L16" s="29" t="s">
        <v>15</v>
      </c>
      <c r="M16" s="29" t="s">
        <v>16</v>
      </c>
      <c r="N16" s="30" t="s">
        <v>17</v>
      </c>
    </row>
    <row r="17" spans="2:14" x14ac:dyDescent="0.25">
      <c r="B17" s="18" t="e" cm="1">
        <f t="array" ref="B17">_xlfn._xlws.SORT(_xlfn._xlws.FILTER(Invulblad!B6:T1003,Invulblad!T6:T1003=B15,""),4,1)</f>
        <v>#VALUE!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20"/>
    </row>
    <row r="18" spans="2:14" x14ac:dyDescent="0.25">
      <c r="B18" s="21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22"/>
    </row>
    <row r="19" spans="2:14" x14ac:dyDescent="0.25">
      <c r="B19" s="21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22"/>
    </row>
    <row r="20" spans="2:14" x14ac:dyDescent="0.25">
      <c r="B20" s="21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22"/>
    </row>
    <row r="21" spans="2:14" x14ac:dyDescent="0.25">
      <c r="B21" s="21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22"/>
    </row>
    <row r="22" spans="2:14" x14ac:dyDescent="0.25">
      <c r="B22" s="21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22"/>
    </row>
    <row r="23" spans="2:14" x14ac:dyDescent="0.25">
      <c r="B23" s="21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22"/>
    </row>
    <row r="24" spans="2:14" x14ac:dyDescent="0.25">
      <c r="B24" s="21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22"/>
    </row>
    <row r="25" spans="2:14" x14ac:dyDescent="0.25">
      <c r="B25" s="21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22"/>
    </row>
    <row r="26" spans="2:14" ht="15.75" thickBot="1" x14ac:dyDescent="0.3">
      <c r="B26" s="2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3"/>
    </row>
    <row r="28" spans="2:14" ht="15.75" thickBot="1" x14ac:dyDescent="0.3">
      <c r="B28" t="s">
        <v>56</v>
      </c>
    </row>
    <row r="29" spans="2:14" ht="15.75" thickBot="1" x14ac:dyDescent="0.3">
      <c r="B29" s="28" t="s">
        <v>5</v>
      </c>
      <c r="C29" s="29" t="s">
        <v>6</v>
      </c>
      <c r="D29" s="29" t="s">
        <v>7</v>
      </c>
      <c r="E29" s="29" t="s">
        <v>8</v>
      </c>
      <c r="F29" s="29" t="s">
        <v>9</v>
      </c>
      <c r="G29" s="29" t="s">
        <v>10</v>
      </c>
      <c r="H29" s="36" t="s">
        <v>11</v>
      </c>
      <c r="I29" s="29" t="s">
        <v>12</v>
      </c>
      <c r="J29" s="29" t="s">
        <v>13</v>
      </c>
      <c r="K29" s="36" t="s">
        <v>14</v>
      </c>
      <c r="L29" s="29" t="s">
        <v>15</v>
      </c>
      <c r="M29" s="29" t="s">
        <v>16</v>
      </c>
      <c r="N29" s="30" t="s">
        <v>17</v>
      </c>
    </row>
    <row r="30" spans="2:14" x14ac:dyDescent="0.25">
      <c r="B30" s="18" t="e" cm="1">
        <f t="array" ref="B30">_xlfn._xlws.SORT(_xlfn._xlws.FILTER(Invulblad!B6:T1003,Invulblad!T6:T1003=B28,""),4,1)</f>
        <v>#VALUE!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20"/>
    </row>
    <row r="31" spans="2:14" x14ac:dyDescent="0.25">
      <c r="B31" s="21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22"/>
    </row>
    <row r="32" spans="2:14" x14ac:dyDescent="0.25">
      <c r="B32" s="21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22"/>
    </row>
    <row r="33" spans="2:14" x14ac:dyDescent="0.25">
      <c r="B33" s="21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22"/>
    </row>
    <row r="34" spans="2:14" x14ac:dyDescent="0.25">
      <c r="B34" s="21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22"/>
    </row>
    <row r="35" spans="2:14" x14ac:dyDescent="0.25">
      <c r="B35" s="21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22"/>
    </row>
    <row r="36" spans="2:14" x14ac:dyDescent="0.25">
      <c r="B36" s="21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22"/>
    </row>
    <row r="37" spans="2:14" x14ac:dyDescent="0.25">
      <c r="B37" s="21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22"/>
    </row>
    <row r="38" spans="2:14" x14ac:dyDescent="0.25">
      <c r="B38" s="21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22"/>
    </row>
    <row r="39" spans="2:14" ht="15.75" thickBot="1" x14ac:dyDescent="0.3">
      <c r="B39" s="2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49AAC-E5D4-4ECC-B707-59FCF52DBB14}">
  <dimension ref="B2:T1001"/>
  <sheetViews>
    <sheetView workbookViewId="0">
      <selection activeCell="S34" sqref="S34"/>
    </sheetView>
  </sheetViews>
  <sheetFormatPr defaultRowHeight="15" x14ac:dyDescent="0.25"/>
  <cols>
    <col min="1" max="1" width="0.5703125" customWidth="1"/>
    <col min="2" max="2" width="14.42578125" bestFit="1" customWidth="1"/>
    <col min="3" max="3" width="27.28515625" bestFit="1" customWidth="1"/>
    <col min="4" max="4" width="15.28515625" bestFit="1" customWidth="1"/>
    <col min="5" max="5" width="6.85546875" bestFit="1" customWidth="1"/>
    <col min="6" max="6" width="11.7109375" bestFit="1" customWidth="1"/>
    <col min="7" max="7" width="14.85546875" bestFit="1" customWidth="1"/>
    <col min="8" max="8" width="9.140625" style="35"/>
    <col min="9" max="9" width="7.42578125" bestFit="1" customWidth="1"/>
    <col min="10" max="10" width="14.85546875" bestFit="1" customWidth="1"/>
    <col min="11" max="11" width="9.140625" style="35"/>
    <col min="12" max="12" width="7.42578125" bestFit="1" customWidth="1"/>
    <col min="13" max="13" width="14.7109375" bestFit="1" customWidth="1"/>
    <col min="14" max="14" width="9.140625" bestFit="1" customWidth="1"/>
    <col min="15" max="15" width="7.28515625" bestFit="1" customWidth="1"/>
    <col min="16" max="16" width="10.7109375" bestFit="1" customWidth="1"/>
    <col min="17" max="17" width="24.140625" bestFit="1" customWidth="1"/>
    <col min="18" max="18" width="14.28515625" bestFit="1" customWidth="1"/>
    <col min="19" max="19" width="32" bestFit="1" customWidth="1"/>
    <col min="20" max="20" width="15.5703125" bestFit="1" customWidth="1"/>
  </cols>
  <sheetData>
    <row r="2" spans="2:20" ht="15.75" thickBot="1" x14ac:dyDescent="0.3">
      <c r="B2" t="s">
        <v>57</v>
      </c>
    </row>
    <row r="3" spans="2:20" ht="15.75" thickBot="1" x14ac:dyDescent="0.3">
      <c r="B3" s="26" t="s">
        <v>5</v>
      </c>
      <c r="C3" s="79" t="s">
        <v>6</v>
      </c>
      <c r="D3" s="79" t="s">
        <v>7</v>
      </c>
      <c r="E3" s="79" t="s">
        <v>8</v>
      </c>
      <c r="F3" s="79" t="s">
        <v>9</v>
      </c>
      <c r="G3" s="79" t="s">
        <v>10</v>
      </c>
      <c r="H3" s="142" t="s">
        <v>11</v>
      </c>
      <c r="I3" s="79" t="s">
        <v>12</v>
      </c>
      <c r="J3" s="79" t="s">
        <v>13</v>
      </c>
      <c r="K3" s="142" t="s">
        <v>14</v>
      </c>
      <c r="L3" s="79" t="s">
        <v>15</v>
      </c>
      <c r="M3" s="79" t="s">
        <v>68</v>
      </c>
      <c r="N3" s="79" t="s">
        <v>69</v>
      </c>
      <c r="O3" s="79" t="s">
        <v>70</v>
      </c>
      <c r="P3" s="79" t="s">
        <v>76</v>
      </c>
      <c r="Q3" s="79" t="s">
        <v>67</v>
      </c>
      <c r="R3" s="79" t="s">
        <v>66</v>
      </c>
      <c r="S3" s="79" t="s">
        <v>16</v>
      </c>
      <c r="T3" s="27" t="s">
        <v>17</v>
      </c>
    </row>
    <row r="4" spans="2:20" x14ac:dyDescent="0.25">
      <c r="B4" s="24" cm="1">
        <f t="array" ref="B4:T1001">_xlfn._xlws.SORT(_xlfn._xlws.FILTER(Invulblad!B6:T1003,Invulblad!S6:S1003&lt;&gt;"10 - Afgeleverd",""),4,1)</f>
        <v>0</v>
      </c>
      <c r="C4" s="78">
        <v>0</v>
      </c>
      <c r="D4" s="78">
        <v>0</v>
      </c>
      <c r="E4" s="78">
        <v>0</v>
      </c>
      <c r="F4" s="78">
        <v>0</v>
      </c>
      <c r="G4" s="78">
        <v>0</v>
      </c>
      <c r="H4" s="141">
        <v>0</v>
      </c>
      <c r="I4" s="78" t="str">
        <v/>
      </c>
      <c r="J4" s="78">
        <v>0</v>
      </c>
      <c r="K4" s="141">
        <v>0</v>
      </c>
      <c r="L4" s="78" t="str">
        <v/>
      </c>
      <c r="M4" s="78">
        <v>0</v>
      </c>
      <c r="N4" s="78">
        <v>0</v>
      </c>
      <c r="O4" s="78" t="str">
        <v/>
      </c>
      <c r="P4" s="78" t="str">
        <v/>
      </c>
      <c r="Q4" s="78">
        <v>0</v>
      </c>
      <c r="R4" s="78">
        <v>0</v>
      </c>
      <c r="S4" s="78">
        <v>0</v>
      </c>
      <c r="T4" s="25">
        <v>0</v>
      </c>
    </row>
    <row r="5" spans="2:20" x14ac:dyDescent="0.25">
      <c r="B5" s="21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38">
        <v>0</v>
      </c>
      <c r="I5" s="17" t="str">
        <v/>
      </c>
      <c r="J5" s="17">
        <v>0</v>
      </c>
      <c r="K5" s="38">
        <v>0</v>
      </c>
      <c r="L5" s="17" t="str">
        <v/>
      </c>
      <c r="M5" s="17">
        <v>0</v>
      </c>
      <c r="N5" s="17">
        <v>0</v>
      </c>
      <c r="O5" s="17" t="str">
        <v/>
      </c>
      <c r="P5" s="17" t="str">
        <v/>
      </c>
      <c r="Q5" s="17">
        <v>0</v>
      </c>
      <c r="R5" s="17">
        <v>0</v>
      </c>
      <c r="S5" s="17">
        <v>0</v>
      </c>
      <c r="T5" s="22">
        <v>0</v>
      </c>
    </row>
    <row r="6" spans="2:20" x14ac:dyDescent="0.25">
      <c r="B6" s="21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38">
        <v>0</v>
      </c>
      <c r="I6" s="17" t="str">
        <v/>
      </c>
      <c r="J6" s="17">
        <v>0</v>
      </c>
      <c r="K6" s="38">
        <v>0</v>
      </c>
      <c r="L6" s="17" t="str">
        <v/>
      </c>
      <c r="M6" s="17">
        <v>0</v>
      </c>
      <c r="N6" s="17">
        <v>0</v>
      </c>
      <c r="O6" s="17" t="str">
        <v/>
      </c>
      <c r="P6" s="17" t="str">
        <v/>
      </c>
      <c r="Q6" s="17">
        <v>0</v>
      </c>
      <c r="R6" s="17">
        <v>0</v>
      </c>
      <c r="S6" s="17">
        <v>0</v>
      </c>
      <c r="T6" s="22">
        <v>0</v>
      </c>
    </row>
    <row r="7" spans="2:20" x14ac:dyDescent="0.25">
      <c r="B7" s="21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38">
        <v>0</v>
      </c>
      <c r="I7" s="17" t="str">
        <v/>
      </c>
      <c r="J7" s="17">
        <v>0</v>
      </c>
      <c r="K7" s="38">
        <v>0</v>
      </c>
      <c r="L7" s="17" t="str">
        <v/>
      </c>
      <c r="M7" s="17">
        <v>0</v>
      </c>
      <c r="N7" s="17">
        <v>0</v>
      </c>
      <c r="O7" s="17" t="str">
        <v/>
      </c>
      <c r="P7" s="17" t="str">
        <v/>
      </c>
      <c r="Q7" s="17">
        <v>0</v>
      </c>
      <c r="R7" s="17">
        <v>0</v>
      </c>
      <c r="S7" s="17">
        <v>0</v>
      </c>
      <c r="T7" s="22">
        <v>0</v>
      </c>
    </row>
    <row r="8" spans="2:20" x14ac:dyDescent="0.25">
      <c r="B8" s="21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38">
        <v>0</v>
      </c>
      <c r="I8" s="17" t="str">
        <v/>
      </c>
      <c r="J8" s="17">
        <v>0</v>
      </c>
      <c r="K8" s="38">
        <v>0</v>
      </c>
      <c r="L8" s="17" t="str">
        <v/>
      </c>
      <c r="M8" s="17">
        <v>0</v>
      </c>
      <c r="N8" s="17">
        <v>0</v>
      </c>
      <c r="O8" s="17" t="str">
        <v/>
      </c>
      <c r="P8" s="17" t="str">
        <v/>
      </c>
      <c r="Q8" s="17">
        <v>0</v>
      </c>
      <c r="R8" s="17">
        <v>0</v>
      </c>
      <c r="S8" s="17">
        <v>0</v>
      </c>
      <c r="T8" s="22">
        <v>0</v>
      </c>
    </row>
    <row r="9" spans="2:20" x14ac:dyDescent="0.25">
      <c r="B9" s="21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38">
        <v>0</v>
      </c>
      <c r="I9" s="17" t="str">
        <v/>
      </c>
      <c r="J9" s="17">
        <v>0</v>
      </c>
      <c r="K9" s="38">
        <v>0</v>
      </c>
      <c r="L9" s="17" t="str">
        <v/>
      </c>
      <c r="M9" s="17">
        <v>0</v>
      </c>
      <c r="N9" s="17">
        <v>0</v>
      </c>
      <c r="O9" s="17" t="str">
        <v/>
      </c>
      <c r="P9" s="17" t="str">
        <v/>
      </c>
      <c r="Q9" s="17">
        <v>0</v>
      </c>
      <c r="R9" s="17">
        <v>0</v>
      </c>
      <c r="S9" s="17">
        <v>0</v>
      </c>
      <c r="T9" s="22">
        <v>0</v>
      </c>
    </row>
    <row r="10" spans="2:20" x14ac:dyDescent="0.25">
      <c r="B10" s="21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38">
        <v>0</v>
      </c>
      <c r="I10" s="17" t="str">
        <v/>
      </c>
      <c r="J10" s="17">
        <v>0</v>
      </c>
      <c r="K10" s="38">
        <v>0</v>
      </c>
      <c r="L10" s="17" t="str">
        <v/>
      </c>
      <c r="M10" s="17">
        <v>0</v>
      </c>
      <c r="N10" s="17">
        <v>0</v>
      </c>
      <c r="O10" s="17" t="str">
        <v/>
      </c>
      <c r="P10" s="17" t="str">
        <v/>
      </c>
      <c r="Q10" s="17">
        <v>0</v>
      </c>
      <c r="R10" s="17">
        <v>0</v>
      </c>
      <c r="S10" s="17">
        <v>0</v>
      </c>
      <c r="T10" s="22">
        <v>0</v>
      </c>
    </row>
    <row r="11" spans="2:20" x14ac:dyDescent="0.25">
      <c r="B11" s="21">
        <v>0</v>
      </c>
      <c r="C11" s="17">
        <v>0</v>
      </c>
      <c r="D11" s="17">
        <v>0</v>
      </c>
      <c r="E11" s="17">
        <v>0</v>
      </c>
      <c r="F11" s="17">
        <v>0</v>
      </c>
      <c r="G11" s="17">
        <v>0</v>
      </c>
      <c r="H11" s="38">
        <v>0</v>
      </c>
      <c r="I11" s="17" t="str">
        <v/>
      </c>
      <c r="J11" s="17">
        <v>0</v>
      </c>
      <c r="K11" s="38">
        <v>0</v>
      </c>
      <c r="L11" s="17" t="str">
        <v/>
      </c>
      <c r="M11" s="17">
        <v>0</v>
      </c>
      <c r="N11" s="17">
        <v>0</v>
      </c>
      <c r="O11" s="17" t="str">
        <v/>
      </c>
      <c r="P11" s="17" t="str">
        <v/>
      </c>
      <c r="Q11" s="17">
        <v>0</v>
      </c>
      <c r="R11" s="17">
        <v>0</v>
      </c>
      <c r="S11" s="17">
        <v>0</v>
      </c>
      <c r="T11" s="22">
        <v>0</v>
      </c>
    </row>
    <row r="12" spans="2:20" x14ac:dyDescent="0.25">
      <c r="B12" s="21">
        <v>0</v>
      </c>
      <c r="C12" s="17">
        <v>0</v>
      </c>
      <c r="D12" s="17">
        <v>0</v>
      </c>
      <c r="E12" s="17">
        <v>0</v>
      </c>
      <c r="F12" s="17">
        <v>0</v>
      </c>
      <c r="G12" s="17">
        <v>0</v>
      </c>
      <c r="H12" s="38">
        <v>0</v>
      </c>
      <c r="I12" s="17" t="str">
        <v/>
      </c>
      <c r="J12" s="17">
        <v>0</v>
      </c>
      <c r="K12" s="38">
        <v>0</v>
      </c>
      <c r="L12" s="17" t="str">
        <v/>
      </c>
      <c r="M12" s="17">
        <v>0</v>
      </c>
      <c r="N12" s="17">
        <v>0</v>
      </c>
      <c r="O12" s="17" t="str">
        <v/>
      </c>
      <c r="P12" s="17" t="str">
        <v/>
      </c>
      <c r="Q12" s="17">
        <v>0</v>
      </c>
      <c r="R12" s="17">
        <v>0</v>
      </c>
      <c r="S12" s="17">
        <v>0</v>
      </c>
      <c r="T12" s="22">
        <v>0</v>
      </c>
    </row>
    <row r="13" spans="2:20" x14ac:dyDescent="0.25">
      <c r="B13" s="21">
        <v>0</v>
      </c>
      <c r="C13" s="17">
        <v>0</v>
      </c>
      <c r="D13" s="17">
        <v>0</v>
      </c>
      <c r="E13" s="17">
        <v>0</v>
      </c>
      <c r="F13" s="17">
        <v>0</v>
      </c>
      <c r="G13" s="17">
        <v>0</v>
      </c>
      <c r="H13" s="38">
        <v>0</v>
      </c>
      <c r="I13" s="17" t="str">
        <v/>
      </c>
      <c r="J13" s="17">
        <v>0</v>
      </c>
      <c r="K13" s="38">
        <v>0</v>
      </c>
      <c r="L13" s="17" t="str">
        <v/>
      </c>
      <c r="M13" s="17">
        <v>0</v>
      </c>
      <c r="N13" s="17">
        <v>0</v>
      </c>
      <c r="O13" s="17" t="str">
        <v/>
      </c>
      <c r="P13" s="17" t="str">
        <v/>
      </c>
      <c r="Q13" s="17">
        <v>0</v>
      </c>
      <c r="R13" s="17">
        <v>0</v>
      </c>
      <c r="S13" s="17">
        <v>0</v>
      </c>
      <c r="T13" s="22">
        <v>0</v>
      </c>
    </row>
    <row r="14" spans="2:20" x14ac:dyDescent="0.25">
      <c r="B14" s="21">
        <v>0</v>
      </c>
      <c r="C14" s="17">
        <v>0</v>
      </c>
      <c r="D14" s="17">
        <v>0</v>
      </c>
      <c r="E14" s="17">
        <v>0</v>
      </c>
      <c r="F14" s="17">
        <v>0</v>
      </c>
      <c r="G14" s="17">
        <v>0</v>
      </c>
      <c r="H14" s="38">
        <v>0</v>
      </c>
      <c r="I14" s="17" t="str">
        <v/>
      </c>
      <c r="J14" s="17">
        <v>0</v>
      </c>
      <c r="K14" s="38">
        <v>0</v>
      </c>
      <c r="L14" s="17" t="str">
        <v/>
      </c>
      <c r="M14" s="17">
        <v>0</v>
      </c>
      <c r="N14" s="17">
        <v>0</v>
      </c>
      <c r="O14" s="17" t="str">
        <v/>
      </c>
      <c r="P14" s="17" t="str">
        <v/>
      </c>
      <c r="Q14" s="17">
        <v>0</v>
      </c>
      <c r="R14" s="17">
        <v>0</v>
      </c>
      <c r="S14" s="17">
        <v>0</v>
      </c>
      <c r="T14" s="22">
        <v>0</v>
      </c>
    </row>
    <row r="15" spans="2:20" x14ac:dyDescent="0.25">
      <c r="B15" s="21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38">
        <v>0</v>
      </c>
      <c r="I15" s="17" t="str">
        <v/>
      </c>
      <c r="J15" s="17">
        <v>0</v>
      </c>
      <c r="K15" s="38">
        <v>0</v>
      </c>
      <c r="L15" s="17" t="str">
        <v/>
      </c>
      <c r="M15" s="17">
        <v>0</v>
      </c>
      <c r="N15" s="17">
        <v>0</v>
      </c>
      <c r="O15" s="17" t="str">
        <v/>
      </c>
      <c r="P15" s="17" t="str">
        <v/>
      </c>
      <c r="Q15" s="17">
        <v>0</v>
      </c>
      <c r="R15" s="17">
        <v>0</v>
      </c>
      <c r="S15" s="17">
        <v>0</v>
      </c>
      <c r="T15" s="22">
        <v>0</v>
      </c>
    </row>
    <row r="16" spans="2:20" x14ac:dyDescent="0.25">
      <c r="B16" s="21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38">
        <v>0</v>
      </c>
      <c r="I16" s="17" t="str">
        <v/>
      </c>
      <c r="J16" s="17">
        <v>0</v>
      </c>
      <c r="K16" s="38">
        <v>0</v>
      </c>
      <c r="L16" s="17" t="str">
        <v/>
      </c>
      <c r="M16" s="17">
        <v>0</v>
      </c>
      <c r="N16" s="17">
        <v>0</v>
      </c>
      <c r="O16" s="17" t="str">
        <v/>
      </c>
      <c r="P16" s="17" t="str">
        <v/>
      </c>
      <c r="Q16" s="17">
        <v>0</v>
      </c>
      <c r="R16" s="17">
        <v>0</v>
      </c>
      <c r="S16" s="17">
        <v>0</v>
      </c>
      <c r="T16" s="22">
        <v>0</v>
      </c>
    </row>
    <row r="17" spans="2:20" x14ac:dyDescent="0.25">
      <c r="B17" s="21">
        <v>0</v>
      </c>
      <c r="C17" s="17">
        <v>0</v>
      </c>
      <c r="D17" s="17">
        <v>0</v>
      </c>
      <c r="E17" s="17">
        <v>0</v>
      </c>
      <c r="F17" s="17">
        <v>0</v>
      </c>
      <c r="G17" s="17">
        <v>0</v>
      </c>
      <c r="H17" s="38">
        <v>0</v>
      </c>
      <c r="I17" s="17" t="str">
        <v/>
      </c>
      <c r="J17" s="17">
        <v>0</v>
      </c>
      <c r="K17" s="38">
        <v>0</v>
      </c>
      <c r="L17" s="17" t="str">
        <v/>
      </c>
      <c r="M17" s="17">
        <v>0</v>
      </c>
      <c r="N17" s="17">
        <v>0</v>
      </c>
      <c r="O17" s="17" t="str">
        <v/>
      </c>
      <c r="P17" s="17" t="str">
        <v/>
      </c>
      <c r="Q17" s="17">
        <v>0</v>
      </c>
      <c r="R17" s="17">
        <v>0</v>
      </c>
      <c r="S17" s="17">
        <v>0</v>
      </c>
      <c r="T17" s="22">
        <v>0</v>
      </c>
    </row>
    <row r="18" spans="2:20" x14ac:dyDescent="0.25">
      <c r="B18" s="21">
        <v>0</v>
      </c>
      <c r="C18" s="17">
        <v>0</v>
      </c>
      <c r="D18" s="17">
        <v>0</v>
      </c>
      <c r="E18" s="17">
        <v>0</v>
      </c>
      <c r="F18" s="17">
        <v>0</v>
      </c>
      <c r="G18" s="17">
        <v>0</v>
      </c>
      <c r="H18" s="38">
        <v>0</v>
      </c>
      <c r="I18" s="17" t="str">
        <v/>
      </c>
      <c r="J18" s="17">
        <v>0</v>
      </c>
      <c r="K18" s="38">
        <v>0</v>
      </c>
      <c r="L18" s="17" t="str">
        <v/>
      </c>
      <c r="M18" s="17">
        <v>0</v>
      </c>
      <c r="N18" s="17">
        <v>0</v>
      </c>
      <c r="O18" s="17" t="str">
        <v/>
      </c>
      <c r="P18" s="17" t="str">
        <v/>
      </c>
      <c r="Q18" s="17">
        <v>0</v>
      </c>
      <c r="R18" s="17">
        <v>0</v>
      </c>
      <c r="S18" s="17">
        <v>0</v>
      </c>
      <c r="T18" s="22">
        <v>0</v>
      </c>
    </row>
    <row r="19" spans="2:20" x14ac:dyDescent="0.25">
      <c r="B19" s="21">
        <v>0</v>
      </c>
      <c r="C19" s="17">
        <v>0</v>
      </c>
      <c r="D19" s="17">
        <v>0</v>
      </c>
      <c r="E19" s="17">
        <v>0</v>
      </c>
      <c r="F19" s="17">
        <v>0</v>
      </c>
      <c r="G19" s="17">
        <v>0</v>
      </c>
      <c r="H19" s="38">
        <v>0</v>
      </c>
      <c r="I19" s="17" t="str">
        <v/>
      </c>
      <c r="J19" s="17">
        <v>0</v>
      </c>
      <c r="K19" s="38">
        <v>0</v>
      </c>
      <c r="L19" s="17" t="str">
        <v/>
      </c>
      <c r="M19" s="17">
        <v>0</v>
      </c>
      <c r="N19" s="17">
        <v>0</v>
      </c>
      <c r="O19" s="17" t="str">
        <v/>
      </c>
      <c r="P19" s="17" t="str">
        <v/>
      </c>
      <c r="Q19" s="17">
        <v>0</v>
      </c>
      <c r="R19" s="17">
        <v>0</v>
      </c>
      <c r="S19" s="17">
        <v>0</v>
      </c>
      <c r="T19" s="22">
        <v>0</v>
      </c>
    </row>
    <row r="20" spans="2:20" x14ac:dyDescent="0.25">
      <c r="B20" s="21">
        <v>0</v>
      </c>
      <c r="C20" s="17">
        <v>0</v>
      </c>
      <c r="D20" s="17">
        <v>0</v>
      </c>
      <c r="E20" s="17">
        <v>0</v>
      </c>
      <c r="F20" s="17">
        <v>0</v>
      </c>
      <c r="G20" s="17">
        <v>0</v>
      </c>
      <c r="H20" s="38">
        <v>0</v>
      </c>
      <c r="I20" s="17" t="str">
        <v/>
      </c>
      <c r="J20" s="17">
        <v>0</v>
      </c>
      <c r="K20" s="38">
        <v>0</v>
      </c>
      <c r="L20" s="17" t="str">
        <v/>
      </c>
      <c r="M20" s="17">
        <v>0</v>
      </c>
      <c r="N20" s="17">
        <v>0</v>
      </c>
      <c r="O20" s="17" t="str">
        <v/>
      </c>
      <c r="P20" s="17" t="str">
        <v/>
      </c>
      <c r="Q20" s="17">
        <v>0</v>
      </c>
      <c r="R20" s="17">
        <v>0</v>
      </c>
      <c r="S20" s="17">
        <v>0</v>
      </c>
      <c r="T20" s="22">
        <v>0</v>
      </c>
    </row>
    <row r="21" spans="2:20" x14ac:dyDescent="0.25">
      <c r="B21" s="21">
        <v>0</v>
      </c>
      <c r="C21" s="17">
        <v>0</v>
      </c>
      <c r="D21" s="17">
        <v>0</v>
      </c>
      <c r="E21" s="17">
        <v>0</v>
      </c>
      <c r="F21" s="17">
        <v>0</v>
      </c>
      <c r="G21" s="17">
        <v>0</v>
      </c>
      <c r="H21" s="38">
        <v>0</v>
      </c>
      <c r="I21" s="17" t="str">
        <v/>
      </c>
      <c r="J21" s="17">
        <v>0</v>
      </c>
      <c r="K21" s="38">
        <v>0</v>
      </c>
      <c r="L21" s="17" t="str">
        <v/>
      </c>
      <c r="M21" s="17">
        <v>0</v>
      </c>
      <c r="N21" s="17">
        <v>0</v>
      </c>
      <c r="O21" s="17" t="str">
        <v/>
      </c>
      <c r="P21" s="17" t="str">
        <v/>
      </c>
      <c r="Q21" s="17">
        <v>0</v>
      </c>
      <c r="R21" s="17">
        <v>0</v>
      </c>
      <c r="S21" s="17">
        <v>0</v>
      </c>
      <c r="T21" s="22">
        <v>0</v>
      </c>
    </row>
    <row r="22" spans="2:20" x14ac:dyDescent="0.25">
      <c r="B22" s="21">
        <v>0</v>
      </c>
      <c r="C22" s="17">
        <v>0</v>
      </c>
      <c r="D22" s="17">
        <v>0</v>
      </c>
      <c r="E22" s="17">
        <v>0</v>
      </c>
      <c r="F22" s="17">
        <v>0</v>
      </c>
      <c r="G22" s="17">
        <v>0</v>
      </c>
      <c r="H22" s="38">
        <v>0</v>
      </c>
      <c r="I22" s="17" t="str">
        <v/>
      </c>
      <c r="J22" s="17">
        <v>0</v>
      </c>
      <c r="K22" s="38">
        <v>0</v>
      </c>
      <c r="L22" s="17" t="str">
        <v/>
      </c>
      <c r="M22" s="17">
        <v>0</v>
      </c>
      <c r="N22" s="17">
        <v>0</v>
      </c>
      <c r="O22" s="17" t="str">
        <v/>
      </c>
      <c r="P22" s="17" t="str">
        <v/>
      </c>
      <c r="Q22" s="17">
        <v>0</v>
      </c>
      <c r="R22" s="17">
        <v>0</v>
      </c>
      <c r="S22" s="17">
        <v>0</v>
      </c>
      <c r="T22" s="22">
        <v>0</v>
      </c>
    </row>
    <row r="23" spans="2:20" x14ac:dyDescent="0.25">
      <c r="B23" s="21">
        <v>0</v>
      </c>
      <c r="C23" s="17">
        <v>0</v>
      </c>
      <c r="D23" s="17">
        <v>0</v>
      </c>
      <c r="E23" s="17">
        <v>0</v>
      </c>
      <c r="F23" s="17">
        <v>0</v>
      </c>
      <c r="G23" s="17">
        <v>0</v>
      </c>
      <c r="H23" s="38">
        <v>0</v>
      </c>
      <c r="I23" s="17" t="str">
        <v/>
      </c>
      <c r="J23" s="17">
        <v>0</v>
      </c>
      <c r="K23" s="38">
        <v>0</v>
      </c>
      <c r="L23" s="17" t="str">
        <v/>
      </c>
      <c r="M23" s="17">
        <v>0</v>
      </c>
      <c r="N23" s="17">
        <v>0</v>
      </c>
      <c r="O23" s="17" t="str">
        <v/>
      </c>
      <c r="P23" s="17" t="str">
        <v/>
      </c>
      <c r="Q23" s="17">
        <v>0</v>
      </c>
      <c r="R23" s="17">
        <v>0</v>
      </c>
      <c r="S23" s="17">
        <v>0</v>
      </c>
      <c r="T23" s="22">
        <v>0</v>
      </c>
    </row>
    <row r="24" spans="2:20" x14ac:dyDescent="0.25">
      <c r="B24" s="21">
        <v>0</v>
      </c>
      <c r="C24" s="17">
        <v>0</v>
      </c>
      <c r="D24" s="17">
        <v>0</v>
      </c>
      <c r="E24" s="17">
        <v>0</v>
      </c>
      <c r="F24" s="17">
        <v>0</v>
      </c>
      <c r="G24" s="17">
        <v>0</v>
      </c>
      <c r="H24" s="38">
        <v>0</v>
      </c>
      <c r="I24" s="17" t="str">
        <v/>
      </c>
      <c r="J24" s="17">
        <v>0</v>
      </c>
      <c r="K24" s="38">
        <v>0</v>
      </c>
      <c r="L24" s="17" t="str">
        <v/>
      </c>
      <c r="M24" s="17">
        <v>0</v>
      </c>
      <c r="N24" s="17">
        <v>0</v>
      </c>
      <c r="O24" s="17" t="str">
        <v/>
      </c>
      <c r="P24" s="17" t="str">
        <v/>
      </c>
      <c r="Q24" s="17">
        <v>0</v>
      </c>
      <c r="R24" s="17">
        <v>0</v>
      </c>
      <c r="S24" s="17">
        <v>0</v>
      </c>
      <c r="T24" s="22">
        <v>0</v>
      </c>
    </row>
    <row r="25" spans="2:20" x14ac:dyDescent="0.25">
      <c r="B25" s="21">
        <v>0</v>
      </c>
      <c r="C25" s="17">
        <v>0</v>
      </c>
      <c r="D25" s="17">
        <v>0</v>
      </c>
      <c r="E25" s="17">
        <v>0</v>
      </c>
      <c r="F25" s="17">
        <v>0</v>
      </c>
      <c r="G25" s="17">
        <v>0</v>
      </c>
      <c r="H25" s="38">
        <v>0</v>
      </c>
      <c r="I25" s="17" t="str">
        <v/>
      </c>
      <c r="J25" s="17">
        <v>0</v>
      </c>
      <c r="K25" s="38">
        <v>0</v>
      </c>
      <c r="L25" s="17" t="str">
        <v/>
      </c>
      <c r="M25" s="17">
        <v>0</v>
      </c>
      <c r="N25" s="17">
        <v>0</v>
      </c>
      <c r="O25" s="17" t="str">
        <v/>
      </c>
      <c r="P25" s="17" t="str">
        <v/>
      </c>
      <c r="Q25" s="17">
        <v>0</v>
      </c>
      <c r="R25" s="17">
        <v>0</v>
      </c>
      <c r="S25" s="17">
        <v>0</v>
      </c>
      <c r="T25" s="22">
        <v>0</v>
      </c>
    </row>
    <row r="26" spans="2:20" x14ac:dyDescent="0.25">
      <c r="B26" s="21">
        <v>0</v>
      </c>
      <c r="C26" s="17">
        <v>0</v>
      </c>
      <c r="D26" s="17">
        <v>0</v>
      </c>
      <c r="E26" s="17">
        <v>0</v>
      </c>
      <c r="F26" s="17">
        <v>0</v>
      </c>
      <c r="G26" s="17">
        <v>0</v>
      </c>
      <c r="H26" s="38">
        <v>0</v>
      </c>
      <c r="I26" s="17" t="str">
        <v/>
      </c>
      <c r="J26" s="17">
        <v>0</v>
      </c>
      <c r="K26" s="38">
        <v>0</v>
      </c>
      <c r="L26" s="17" t="str">
        <v/>
      </c>
      <c r="M26" s="17">
        <v>0</v>
      </c>
      <c r="N26" s="17">
        <v>0</v>
      </c>
      <c r="O26" s="17" t="str">
        <v/>
      </c>
      <c r="P26" s="17" t="str">
        <v/>
      </c>
      <c r="Q26" s="17">
        <v>0</v>
      </c>
      <c r="R26" s="17">
        <v>0</v>
      </c>
      <c r="S26" s="17">
        <v>0</v>
      </c>
      <c r="T26" s="22">
        <v>0</v>
      </c>
    </row>
    <row r="27" spans="2:20" x14ac:dyDescent="0.25">
      <c r="B27" s="21">
        <v>0</v>
      </c>
      <c r="C27" s="17">
        <v>0</v>
      </c>
      <c r="D27" s="17">
        <v>0</v>
      </c>
      <c r="E27" s="17">
        <v>0</v>
      </c>
      <c r="F27" s="17">
        <v>0</v>
      </c>
      <c r="G27" s="17">
        <v>0</v>
      </c>
      <c r="H27" s="38">
        <v>0</v>
      </c>
      <c r="I27" s="17" t="str">
        <v/>
      </c>
      <c r="J27" s="17">
        <v>0</v>
      </c>
      <c r="K27" s="38">
        <v>0</v>
      </c>
      <c r="L27" s="17" t="str">
        <v/>
      </c>
      <c r="M27" s="17">
        <v>0</v>
      </c>
      <c r="N27" s="17">
        <v>0</v>
      </c>
      <c r="O27" s="17" t="str">
        <v/>
      </c>
      <c r="P27" s="17" t="str">
        <v/>
      </c>
      <c r="Q27" s="17">
        <v>0</v>
      </c>
      <c r="R27" s="17">
        <v>0</v>
      </c>
      <c r="S27" s="17">
        <v>0</v>
      </c>
      <c r="T27" s="22">
        <v>0</v>
      </c>
    </row>
    <row r="28" spans="2:20" x14ac:dyDescent="0.25">
      <c r="B28" s="21">
        <v>0</v>
      </c>
      <c r="C28" s="17">
        <v>0</v>
      </c>
      <c r="D28" s="17">
        <v>0</v>
      </c>
      <c r="E28" s="17">
        <v>0</v>
      </c>
      <c r="F28" s="17">
        <v>0</v>
      </c>
      <c r="G28" s="17">
        <v>0</v>
      </c>
      <c r="H28" s="38">
        <v>0</v>
      </c>
      <c r="I28" s="17" t="str">
        <v/>
      </c>
      <c r="J28" s="17">
        <v>0</v>
      </c>
      <c r="K28" s="38">
        <v>0</v>
      </c>
      <c r="L28" s="17" t="str">
        <v/>
      </c>
      <c r="M28" s="17">
        <v>0</v>
      </c>
      <c r="N28" s="17">
        <v>0</v>
      </c>
      <c r="O28" s="17" t="str">
        <v/>
      </c>
      <c r="P28" s="17" t="str">
        <v/>
      </c>
      <c r="Q28" s="17">
        <v>0</v>
      </c>
      <c r="R28" s="17">
        <v>0</v>
      </c>
      <c r="S28" s="17">
        <v>0</v>
      </c>
      <c r="T28" s="22">
        <v>0</v>
      </c>
    </row>
    <row r="29" spans="2:20" x14ac:dyDescent="0.25">
      <c r="B29" s="21">
        <v>0</v>
      </c>
      <c r="C29" s="17">
        <v>0</v>
      </c>
      <c r="D29" s="17">
        <v>0</v>
      </c>
      <c r="E29" s="17">
        <v>0</v>
      </c>
      <c r="F29" s="17">
        <v>0</v>
      </c>
      <c r="G29" s="17">
        <v>0</v>
      </c>
      <c r="H29" s="38">
        <v>0</v>
      </c>
      <c r="I29" s="17" t="str">
        <v/>
      </c>
      <c r="J29" s="17">
        <v>0</v>
      </c>
      <c r="K29" s="38">
        <v>0</v>
      </c>
      <c r="L29" s="17" t="str">
        <v/>
      </c>
      <c r="M29" s="17">
        <v>0</v>
      </c>
      <c r="N29" s="17">
        <v>0</v>
      </c>
      <c r="O29" s="17" t="str">
        <v/>
      </c>
      <c r="P29" s="17" t="str">
        <v/>
      </c>
      <c r="Q29" s="17">
        <v>0</v>
      </c>
      <c r="R29" s="17">
        <v>0</v>
      </c>
      <c r="S29" s="17">
        <v>0</v>
      </c>
      <c r="T29" s="22">
        <v>0</v>
      </c>
    </row>
    <row r="30" spans="2:20" x14ac:dyDescent="0.25">
      <c r="B30" s="21">
        <v>0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38">
        <v>0</v>
      </c>
      <c r="I30" s="17" t="str">
        <v/>
      </c>
      <c r="J30" s="17">
        <v>0</v>
      </c>
      <c r="K30" s="38">
        <v>0</v>
      </c>
      <c r="L30" s="17" t="str">
        <v/>
      </c>
      <c r="M30" s="17">
        <v>0</v>
      </c>
      <c r="N30" s="17">
        <v>0</v>
      </c>
      <c r="O30" s="17" t="str">
        <v/>
      </c>
      <c r="P30" s="17" t="str">
        <v/>
      </c>
      <c r="Q30" s="17">
        <v>0</v>
      </c>
      <c r="R30" s="17">
        <v>0</v>
      </c>
      <c r="S30" s="17">
        <v>0</v>
      </c>
      <c r="T30" s="22">
        <v>0</v>
      </c>
    </row>
    <row r="31" spans="2:20" x14ac:dyDescent="0.25">
      <c r="B31" s="21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38">
        <v>0</v>
      </c>
      <c r="I31" s="17" t="str">
        <v/>
      </c>
      <c r="J31" s="17">
        <v>0</v>
      </c>
      <c r="K31" s="38">
        <v>0</v>
      </c>
      <c r="L31" s="17" t="str">
        <v/>
      </c>
      <c r="M31" s="17">
        <v>0</v>
      </c>
      <c r="N31" s="17">
        <v>0</v>
      </c>
      <c r="O31" s="17" t="str">
        <v/>
      </c>
      <c r="P31" s="17" t="str">
        <v/>
      </c>
      <c r="Q31" s="17">
        <v>0</v>
      </c>
      <c r="R31" s="17">
        <v>0</v>
      </c>
      <c r="S31" s="17">
        <v>0</v>
      </c>
      <c r="T31" s="22">
        <v>0</v>
      </c>
    </row>
    <row r="32" spans="2:20" x14ac:dyDescent="0.25">
      <c r="B32" s="21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38">
        <v>0</v>
      </c>
      <c r="I32" s="17" t="str">
        <v/>
      </c>
      <c r="J32" s="17">
        <v>0</v>
      </c>
      <c r="K32" s="38">
        <v>0</v>
      </c>
      <c r="L32" s="17" t="str">
        <v/>
      </c>
      <c r="M32" s="17">
        <v>0</v>
      </c>
      <c r="N32" s="17">
        <v>0</v>
      </c>
      <c r="O32" s="17" t="str">
        <v/>
      </c>
      <c r="P32" s="17" t="str">
        <v/>
      </c>
      <c r="Q32" s="17">
        <v>0</v>
      </c>
      <c r="R32" s="17">
        <v>0</v>
      </c>
      <c r="S32" s="17">
        <v>0</v>
      </c>
      <c r="T32" s="22">
        <v>0</v>
      </c>
    </row>
    <row r="33" spans="2:20" x14ac:dyDescent="0.25">
      <c r="B33" s="21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38">
        <v>0</v>
      </c>
      <c r="I33" s="17" t="str">
        <v/>
      </c>
      <c r="J33" s="17">
        <v>0</v>
      </c>
      <c r="K33" s="38">
        <v>0</v>
      </c>
      <c r="L33" s="17" t="str">
        <v/>
      </c>
      <c r="M33" s="17">
        <v>0</v>
      </c>
      <c r="N33" s="17">
        <v>0</v>
      </c>
      <c r="O33" s="17" t="str">
        <v/>
      </c>
      <c r="P33" s="17" t="str">
        <v/>
      </c>
      <c r="Q33" s="17">
        <v>0</v>
      </c>
      <c r="R33" s="17">
        <v>0</v>
      </c>
      <c r="S33" s="17">
        <v>0</v>
      </c>
      <c r="T33" s="22">
        <v>0</v>
      </c>
    </row>
    <row r="34" spans="2:20" x14ac:dyDescent="0.25">
      <c r="B34" s="21">
        <v>0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38">
        <v>0</v>
      </c>
      <c r="I34" s="17" t="str">
        <v/>
      </c>
      <c r="J34" s="17">
        <v>0</v>
      </c>
      <c r="K34" s="38">
        <v>0</v>
      </c>
      <c r="L34" s="17" t="str">
        <v/>
      </c>
      <c r="M34" s="17">
        <v>0</v>
      </c>
      <c r="N34" s="17">
        <v>0</v>
      </c>
      <c r="O34" s="17" t="str">
        <v/>
      </c>
      <c r="P34" s="17" t="str">
        <v/>
      </c>
      <c r="Q34" s="17">
        <v>0</v>
      </c>
      <c r="R34" s="17">
        <v>0</v>
      </c>
      <c r="S34" s="17">
        <v>0</v>
      </c>
      <c r="T34" s="22">
        <v>0</v>
      </c>
    </row>
    <row r="35" spans="2:20" x14ac:dyDescent="0.25">
      <c r="B35" s="21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38">
        <v>0</v>
      </c>
      <c r="I35" s="17" t="str">
        <v/>
      </c>
      <c r="J35" s="17">
        <v>0</v>
      </c>
      <c r="K35" s="38">
        <v>0</v>
      </c>
      <c r="L35" s="17" t="str">
        <v/>
      </c>
      <c r="M35" s="17">
        <v>0</v>
      </c>
      <c r="N35" s="17">
        <v>0</v>
      </c>
      <c r="O35" s="17" t="str">
        <v/>
      </c>
      <c r="P35" s="17" t="str">
        <v/>
      </c>
      <c r="Q35" s="17">
        <v>0</v>
      </c>
      <c r="R35" s="17">
        <v>0</v>
      </c>
      <c r="S35" s="17">
        <v>0</v>
      </c>
      <c r="T35" s="22">
        <v>0</v>
      </c>
    </row>
    <row r="36" spans="2:20" x14ac:dyDescent="0.25">
      <c r="B36" s="21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38">
        <v>0</v>
      </c>
      <c r="I36" s="17" t="str">
        <v/>
      </c>
      <c r="J36" s="17">
        <v>0</v>
      </c>
      <c r="K36" s="38">
        <v>0</v>
      </c>
      <c r="L36" s="17" t="str">
        <v/>
      </c>
      <c r="M36" s="17">
        <v>0</v>
      </c>
      <c r="N36" s="17">
        <v>0</v>
      </c>
      <c r="O36" s="17" t="str">
        <v/>
      </c>
      <c r="P36" s="17" t="str">
        <v/>
      </c>
      <c r="Q36" s="17">
        <v>0</v>
      </c>
      <c r="R36" s="17">
        <v>0</v>
      </c>
      <c r="S36" s="17">
        <v>0</v>
      </c>
      <c r="T36" s="22">
        <v>0</v>
      </c>
    </row>
    <row r="37" spans="2:20" x14ac:dyDescent="0.25">
      <c r="B37" s="21">
        <v>0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38">
        <v>0</v>
      </c>
      <c r="I37" s="17" t="str">
        <v/>
      </c>
      <c r="J37" s="17">
        <v>0</v>
      </c>
      <c r="K37" s="38">
        <v>0</v>
      </c>
      <c r="L37" s="17" t="str">
        <v/>
      </c>
      <c r="M37" s="17">
        <v>0</v>
      </c>
      <c r="N37" s="17">
        <v>0</v>
      </c>
      <c r="O37" s="17" t="str">
        <v/>
      </c>
      <c r="P37" s="17" t="str">
        <v/>
      </c>
      <c r="Q37" s="17">
        <v>0</v>
      </c>
      <c r="R37" s="17">
        <v>0</v>
      </c>
      <c r="S37" s="17">
        <v>0</v>
      </c>
      <c r="T37" s="22">
        <v>0</v>
      </c>
    </row>
    <row r="38" spans="2:20" x14ac:dyDescent="0.25">
      <c r="B38" s="21">
        <v>0</v>
      </c>
      <c r="C38" s="17">
        <v>0</v>
      </c>
      <c r="D38" s="17">
        <v>0</v>
      </c>
      <c r="E38" s="17">
        <v>0</v>
      </c>
      <c r="F38" s="17">
        <v>0</v>
      </c>
      <c r="G38" s="17">
        <v>0</v>
      </c>
      <c r="H38" s="38">
        <v>0</v>
      </c>
      <c r="I38" s="17" t="str">
        <v/>
      </c>
      <c r="J38" s="17">
        <v>0</v>
      </c>
      <c r="K38" s="38">
        <v>0</v>
      </c>
      <c r="L38" s="17" t="str">
        <v/>
      </c>
      <c r="M38" s="17">
        <v>0</v>
      </c>
      <c r="N38" s="17">
        <v>0</v>
      </c>
      <c r="O38" s="17" t="str">
        <v/>
      </c>
      <c r="P38" s="17" t="str">
        <v/>
      </c>
      <c r="Q38" s="17">
        <v>0</v>
      </c>
      <c r="R38" s="17">
        <v>0</v>
      </c>
      <c r="S38" s="17">
        <v>0</v>
      </c>
      <c r="T38" s="22">
        <v>0</v>
      </c>
    </row>
    <row r="39" spans="2:20" x14ac:dyDescent="0.25">
      <c r="B39" s="21">
        <v>0</v>
      </c>
      <c r="C39" s="17">
        <v>0</v>
      </c>
      <c r="D39" s="17">
        <v>0</v>
      </c>
      <c r="E39" s="17">
        <v>0</v>
      </c>
      <c r="F39" s="17">
        <v>0</v>
      </c>
      <c r="G39" s="17">
        <v>0</v>
      </c>
      <c r="H39" s="38">
        <v>0</v>
      </c>
      <c r="I39" s="17" t="str">
        <v/>
      </c>
      <c r="J39" s="17">
        <v>0</v>
      </c>
      <c r="K39" s="38">
        <v>0</v>
      </c>
      <c r="L39" s="17" t="str">
        <v/>
      </c>
      <c r="M39" s="17">
        <v>0</v>
      </c>
      <c r="N39" s="17">
        <v>0</v>
      </c>
      <c r="O39" s="17" t="str">
        <v/>
      </c>
      <c r="P39" s="17" t="str">
        <v/>
      </c>
      <c r="Q39" s="17">
        <v>0</v>
      </c>
      <c r="R39" s="17">
        <v>0</v>
      </c>
      <c r="S39" s="17">
        <v>0</v>
      </c>
      <c r="T39" s="22">
        <v>0</v>
      </c>
    </row>
    <row r="40" spans="2:20" x14ac:dyDescent="0.25">
      <c r="B40" s="21">
        <v>0</v>
      </c>
      <c r="C40" s="17">
        <v>0</v>
      </c>
      <c r="D40" s="17">
        <v>0</v>
      </c>
      <c r="E40" s="17">
        <v>0</v>
      </c>
      <c r="F40" s="17">
        <v>0</v>
      </c>
      <c r="G40" s="17">
        <v>0</v>
      </c>
      <c r="H40" s="38">
        <v>0</v>
      </c>
      <c r="I40" s="17" t="str">
        <v/>
      </c>
      <c r="J40" s="17">
        <v>0</v>
      </c>
      <c r="K40" s="38">
        <v>0</v>
      </c>
      <c r="L40" s="17" t="str">
        <v/>
      </c>
      <c r="M40" s="17">
        <v>0</v>
      </c>
      <c r="N40" s="17">
        <v>0</v>
      </c>
      <c r="O40" s="17" t="str">
        <v/>
      </c>
      <c r="P40" s="17" t="str">
        <v/>
      </c>
      <c r="Q40" s="17">
        <v>0</v>
      </c>
      <c r="R40" s="17">
        <v>0</v>
      </c>
      <c r="S40" s="17">
        <v>0</v>
      </c>
      <c r="T40" s="22">
        <v>0</v>
      </c>
    </row>
    <row r="41" spans="2:20" x14ac:dyDescent="0.25">
      <c r="B41" s="21">
        <v>0</v>
      </c>
      <c r="C41" s="17">
        <v>0</v>
      </c>
      <c r="D41" s="17">
        <v>0</v>
      </c>
      <c r="E41" s="17">
        <v>0</v>
      </c>
      <c r="F41" s="17">
        <v>0</v>
      </c>
      <c r="G41" s="17">
        <v>0</v>
      </c>
      <c r="H41" s="38">
        <v>0</v>
      </c>
      <c r="I41" s="17" t="str">
        <v/>
      </c>
      <c r="J41" s="17">
        <v>0</v>
      </c>
      <c r="K41" s="38">
        <v>0</v>
      </c>
      <c r="L41" s="17" t="str">
        <v/>
      </c>
      <c r="M41" s="17">
        <v>0</v>
      </c>
      <c r="N41" s="17">
        <v>0</v>
      </c>
      <c r="O41" s="17" t="str">
        <v/>
      </c>
      <c r="P41" s="17" t="str">
        <v/>
      </c>
      <c r="Q41" s="17">
        <v>0</v>
      </c>
      <c r="R41" s="17">
        <v>0</v>
      </c>
      <c r="S41" s="17">
        <v>0</v>
      </c>
      <c r="T41" s="22">
        <v>0</v>
      </c>
    </row>
    <row r="42" spans="2:20" x14ac:dyDescent="0.25">
      <c r="B42" s="21">
        <v>0</v>
      </c>
      <c r="C42" s="17">
        <v>0</v>
      </c>
      <c r="D42" s="17">
        <v>0</v>
      </c>
      <c r="E42" s="17">
        <v>0</v>
      </c>
      <c r="F42" s="17">
        <v>0</v>
      </c>
      <c r="G42" s="17">
        <v>0</v>
      </c>
      <c r="H42" s="38">
        <v>0</v>
      </c>
      <c r="I42" s="17" t="str">
        <v/>
      </c>
      <c r="J42" s="17">
        <v>0</v>
      </c>
      <c r="K42" s="38">
        <v>0</v>
      </c>
      <c r="L42" s="17" t="str">
        <v/>
      </c>
      <c r="M42" s="17">
        <v>0</v>
      </c>
      <c r="N42" s="17">
        <v>0</v>
      </c>
      <c r="O42" s="17" t="str">
        <v/>
      </c>
      <c r="P42" s="17" t="str">
        <v/>
      </c>
      <c r="Q42" s="17">
        <v>0</v>
      </c>
      <c r="R42" s="17">
        <v>0</v>
      </c>
      <c r="S42" s="17">
        <v>0</v>
      </c>
      <c r="T42" s="22">
        <v>0</v>
      </c>
    </row>
    <row r="43" spans="2:20" x14ac:dyDescent="0.25">
      <c r="B43" s="21">
        <v>0</v>
      </c>
      <c r="C43" s="17">
        <v>0</v>
      </c>
      <c r="D43" s="17">
        <v>0</v>
      </c>
      <c r="E43" s="17">
        <v>0</v>
      </c>
      <c r="F43" s="17">
        <v>0</v>
      </c>
      <c r="G43" s="17">
        <v>0</v>
      </c>
      <c r="H43" s="38">
        <v>0</v>
      </c>
      <c r="I43" s="17" t="str">
        <v/>
      </c>
      <c r="J43" s="17">
        <v>0</v>
      </c>
      <c r="K43" s="38">
        <v>0</v>
      </c>
      <c r="L43" s="17" t="str">
        <v/>
      </c>
      <c r="M43" s="17">
        <v>0</v>
      </c>
      <c r="N43" s="17">
        <v>0</v>
      </c>
      <c r="O43" s="17" t="str">
        <v/>
      </c>
      <c r="P43" s="17" t="str">
        <v/>
      </c>
      <c r="Q43" s="17">
        <v>0</v>
      </c>
      <c r="R43" s="17">
        <v>0</v>
      </c>
      <c r="S43" s="17">
        <v>0</v>
      </c>
      <c r="T43" s="22">
        <v>0</v>
      </c>
    </row>
    <row r="44" spans="2:20" x14ac:dyDescent="0.25">
      <c r="B44" s="21">
        <v>0</v>
      </c>
      <c r="C44" s="17">
        <v>0</v>
      </c>
      <c r="D44" s="17">
        <v>0</v>
      </c>
      <c r="E44" s="17">
        <v>0</v>
      </c>
      <c r="F44" s="17">
        <v>0</v>
      </c>
      <c r="G44" s="17">
        <v>0</v>
      </c>
      <c r="H44" s="38">
        <v>0</v>
      </c>
      <c r="I44" s="17" t="str">
        <v/>
      </c>
      <c r="J44" s="17">
        <v>0</v>
      </c>
      <c r="K44" s="38">
        <v>0</v>
      </c>
      <c r="L44" s="17" t="str">
        <v/>
      </c>
      <c r="M44" s="17">
        <v>0</v>
      </c>
      <c r="N44" s="17">
        <v>0</v>
      </c>
      <c r="O44" s="17" t="str">
        <v/>
      </c>
      <c r="P44" s="17" t="str">
        <v/>
      </c>
      <c r="Q44" s="17">
        <v>0</v>
      </c>
      <c r="R44" s="17">
        <v>0</v>
      </c>
      <c r="S44" s="17">
        <v>0</v>
      </c>
      <c r="T44" s="22">
        <v>0</v>
      </c>
    </row>
    <row r="45" spans="2:20" x14ac:dyDescent="0.25">
      <c r="B45" s="21">
        <v>0</v>
      </c>
      <c r="C45" s="17">
        <v>0</v>
      </c>
      <c r="D45" s="17">
        <v>0</v>
      </c>
      <c r="E45" s="17">
        <v>0</v>
      </c>
      <c r="F45" s="17">
        <v>0</v>
      </c>
      <c r="G45" s="17">
        <v>0</v>
      </c>
      <c r="H45" s="38">
        <v>0</v>
      </c>
      <c r="I45" s="17" t="str">
        <v/>
      </c>
      <c r="J45" s="17">
        <v>0</v>
      </c>
      <c r="K45" s="38">
        <v>0</v>
      </c>
      <c r="L45" s="17" t="str">
        <v/>
      </c>
      <c r="M45" s="17">
        <v>0</v>
      </c>
      <c r="N45" s="17">
        <v>0</v>
      </c>
      <c r="O45" s="17" t="str">
        <v/>
      </c>
      <c r="P45" s="17" t="str">
        <v/>
      </c>
      <c r="Q45" s="17">
        <v>0</v>
      </c>
      <c r="R45" s="17">
        <v>0</v>
      </c>
      <c r="S45" s="17">
        <v>0</v>
      </c>
      <c r="T45" s="22">
        <v>0</v>
      </c>
    </row>
    <row r="46" spans="2:20" x14ac:dyDescent="0.25">
      <c r="B46" s="21">
        <v>0</v>
      </c>
      <c r="C46" s="17">
        <v>0</v>
      </c>
      <c r="D46" s="17">
        <v>0</v>
      </c>
      <c r="E46" s="17">
        <v>0</v>
      </c>
      <c r="F46" s="17">
        <v>0</v>
      </c>
      <c r="G46" s="17">
        <v>0</v>
      </c>
      <c r="H46" s="38">
        <v>0</v>
      </c>
      <c r="I46" s="17" t="str">
        <v/>
      </c>
      <c r="J46" s="17">
        <v>0</v>
      </c>
      <c r="K46" s="38">
        <v>0</v>
      </c>
      <c r="L46" s="17" t="str">
        <v/>
      </c>
      <c r="M46" s="17">
        <v>0</v>
      </c>
      <c r="N46" s="17">
        <v>0</v>
      </c>
      <c r="O46" s="17" t="str">
        <v/>
      </c>
      <c r="P46" s="17" t="str">
        <v/>
      </c>
      <c r="Q46" s="17">
        <v>0</v>
      </c>
      <c r="R46" s="17">
        <v>0</v>
      </c>
      <c r="S46" s="17">
        <v>0</v>
      </c>
      <c r="T46" s="22">
        <v>0</v>
      </c>
    </row>
    <row r="47" spans="2:20" x14ac:dyDescent="0.25">
      <c r="B47" s="21">
        <v>0</v>
      </c>
      <c r="C47" s="17">
        <v>0</v>
      </c>
      <c r="D47" s="17">
        <v>0</v>
      </c>
      <c r="E47" s="17">
        <v>0</v>
      </c>
      <c r="F47" s="17">
        <v>0</v>
      </c>
      <c r="G47" s="17">
        <v>0</v>
      </c>
      <c r="H47" s="38">
        <v>0</v>
      </c>
      <c r="I47" s="17" t="str">
        <v/>
      </c>
      <c r="J47" s="17">
        <v>0</v>
      </c>
      <c r="K47" s="38">
        <v>0</v>
      </c>
      <c r="L47" s="17" t="str">
        <v/>
      </c>
      <c r="M47" s="17">
        <v>0</v>
      </c>
      <c r="N47" s="17">
        <v>0</v>
      </c>
      <c r="O47" s="17" t="str">
        <v/>
      </c>
      <c r="P47" s="17" t="str">
        <v/>
      </c>
      <c r="Q47" s="17">
        <v>0</v>
      </c>
      <c r="R47" s="17">
        <v>0</v>
      </c>
      <c r="S47" s="17">
        <v>0</v>
      </c>
      <c r="T47" s="22">
        <v>0</v>
      </c>
    </row>
    <row r="48" spans="2:20" x14ac:dyDescent="0.25">
      <c r="B48" s="21">
        <v>0</v>
      </c>
      <c r="C48" s="17">
        <v>0</v>
      </c>
      <c r="D48" s="17">
        <v>0</v>
      </c>
      <c r="E48" s="17">
        <v>0</v>
      </c>
      <c r="F48" s="17">
        <v>0</v>
      </c>
      <c r="G48" s="17">
        <v>0</v>
      </c>
      <c r="H48" s="38">
        <v>0</v>
      </c>
      <c r="I48" s="17" t="str">
        <v/>
      </c>
      <c r="J48" s="17">
        <v>0</v>
      </c>
      <c r="K48" s="38">
        <v>0</v>
      </c>
      <c r="L48" s="17" t="str">
        <v/>
      </c>
      <c r="M48" s="17">
        <v>0</v>
      </c>
      <c r="N48" s="17">
        <v>0</v>
      </c>
      <c r="O48" s="17" t="str">
        <v/>
      </c>
      <c r="P48" s="17" t="str">
        <v/>
      </c>
      <c r="Q48" s="17">
        <v>0</v>
      </c>
      <c r="R48" s="17">
        <v>0</v>
      </c>
      <c r="S48" s="17">
        <v>0</v>
      </c>
      <c r="T48" s="22">
        <v>0</v>
      </c>
    </row>
    <row r="49" spans="2:20" x14ac:dyDescent="0.25">
      <c r="B49" s="21">
        <v>0</v>
      </c>
      <c r="C49" s="17">
        <v>0</v>
      </c>
      <c r="D49" s="17">
        <v>0</v>
      </c>
      <c r="E49" s="17">
        <v>0</v>
      </c>
      <c r="F49" s="17">
        <v>0</v>
      </c>
      <c r="G49" s="17">
        <v>0</v>
      </c>
      <c r="H49" s="38">
        <v>0</v>
      </c>
      <c r="I49" s="17" t="str">
        <v/>
      </c>
      <c r="J49" s="17">
        <v>0</v>
      </c>
      <c r="K49" s="38">
        <v>0</v>
      </c>
      <c r="L49" s="17" t="str">
        <v/>
      </c>
      <c r="M49" s="17">
        <v>0</v>
      </c>
      <c r="N49" s="17">
        <v>0</v>
      </c>
      <c r="O49" s="17" t="str">
        <v/>
      </c>
      <c r="P49" s="17" t="str">
        <v/>
      </c>
      <c r="Q49" s="17">
        <v>0</v>
      </c>
      <c r="R49" s="17">
        <v>0</v>
      </c>
      <c r="S49" s="17">
        <v>0</v>
      </c>
      <c r="T49" s="22">
        <v>0</v>
      </c>
    </row>
    <row r="50" spans="2:20" x14ac:dyDescent="0.25">
      <c r="B50" s="21">
        <v>0</v>
      </c>
      <c r="C50" s="17">
        <v>0</v>
      </c>
      <c r="D50" s="17">
        <v>0</v>
      </c>
      <c r="E50" s="17">
        <v>0</v>
      </c>
      <c r="F50" s="17">
        <v>0</v>
      </c>
      <c r="G50" s="17">
        <v>0</v>
      </c>
      <c r="H50" s="38">
        <v>0</v>
      </c>
      <c r="I50" s="17" t="str">
        <v/>
      </c>
      <c r="J50" s="17">
        <v>0</v>
      </c>
      <c r="K50" s="38">
        <v>0</v>
      </c>
      <c r="L50" s="17" t="str">
        <v/>
      </c>
      <c r="M50" s="17">
        <v>0</v>
      </c>
      <c r="N50" s="17">
        <v>0</v>
      </c>
      <c r="O50" s="17" t="str">
        <v/>
      </c>
      <c r="P50" s="17" t="str">
        <v/>
      </c>
      <c r="Q50" s="17">
        <v>0</v>
      </c>
      <c r="R50" s="17">
        <v>0</v>
      </c>
      <c r="S50" s="17">
        <v>0</v>
      </c>
      <c r="T50" s="22">
        <v>0</v>
      </c>
    </row>
    <row r="51" spans="2:20" x14ac:dyDescent="0.25">
      <c r="B51" s="21">
        <v>0</v>
      </c>
      <c r="C51" s="17">
        <v>0</v>
      </c>
      <c r="D51" s="17">
        <v>0</v>
      </c>
      <c r="E51" s="17">
        <v>0</v>
      </c>
      <c r="F51" s="17">
        <v>0</v>
      </c>
      <c r="G51" s="17">
        <v>0</v>
      </c>
      <c r="H51" s="38">
        <v>0</v>
      </c>
      <c r="I51" s="17" t="str">
        <v/>
      </c>
      <c r="J51" s="17">
        <v>0</v>
      </c>
      <c r="K51" s="38">
        <v>0</v>
      </c>
      <c r="L51" s="17" t="str">
        <v/>
      </c>
      <c r="M51" s="17">
        <v>0</v>
      </c>
      <c r="N51" s="17">
        <v>0</v>
      </c>
      <c r="O51" s="17" t="str">
        <v/>
      </c>
      <c r="P51" s="17" t="str">
        <v/>
      </c>
      <c r="Q51" s="17">
        <v>0</v>
      </c>
      <c r="R51" s="17">
        <v>0</v>
      </c>
      <c r="S51" s="17">
        <v>0</v>
      </c>
      <c r="T51" s="22">
        <v>0</v>
      </c>
    </row>
    <row r="52" spans="2:20" x14ac:dyDescent="0.25">
      <c r="B52" s="21">
        <v>0</v>
      </c>
      <c r="C52" s="17">
        <v>0</v>
      </c>
      <c r="D52" s="17">
        <v>0</v>
      </c>
      <c r="E52" s="17">
        <v>0</v>
      </c>
      <c r="F52" s="17">
        <v>0</v>
      </c>
      <c r="G52" s="17">
        <v>0</v>
      </c>
      <c r="H52" s="38">
        <v>0</v>
      </c>
      <c r="I52" s="17" t="str">
        <v/>
      </c>
      <c r="J52" s="17">
        <v>0</v>
      </c>
      <c r="K52" s="38">
        <v>0</v>
      </c>
      <c r="L52" s="17" t="str">
        <v/>
      </c>
      <c r="M52" s="17">
        <v>0</v>
      </c>
      <c r="N52" s="17">
        <v>0</v>
      </c>
      <c r="O52" s="17" t="str">
        <v/>
      </c>
      <c r="P52" s="17" t="str">
        <v/>
      </c>
      <c r="Q52" s="17">
        <v>0</v>
      </c>
      <c r="R52" s="17">
        <v>0</v>
      </c>
      <c r="S52" s="17">
        <v>0</v>
      </c>
      <c r="T52" s="22">
        <v>0</v>
      </c>
    </row>
    <row r="53" spans="2:20" x14ac:dyDescent="0.25">
      <c r="B53" s="21">
        <v>0</v>
      </c>
      <c r="C53" s="17">
        <v>0</v>
      </c>
      <c r="D53" s="17">
        <v>0</v>
      </c>
      <c r="E53" s="17">
        <v>0</v>
      </c>
      <c r="F53" s="17">
        <v>0</v>
      </c>
      <c r="G53" s="17">
        <v>0</v>
      </c>
      <c r="H53" s="38">
        <v>0</v>
      </c>
      <c r="I53" s="17" t="str">
        <v/>
      </c>
      <c r="J53" s="17">
        <v>0</v>
      </c>
      <c r="K53" s="38">
        <v>0</v>
      </c>
      <c r="L53" s="17" t="str">
        <v/>
      </c>
      <c r="M53" s="17">
        <v>0</v>
      </c>
      <c r="N53" s="17">
        <v>0</v>
      </c>
      <c r="O53" s="17" t="str">
        <v/>
      </c>
      <c r="P53" s="17" t="str">
        <v/>
      </c>
      <c r="Q53" s="17">
        <v>0</v>
      </c>
      <c r="R53" s="17">
        <v>0</v>
      </c>
      <c r="S53" s="17">
        <v>0</v>
      </c>
      <c r="T53" s="22">
        <v>0</v>
      </c>
    </row>
    <row r="54" spans="2:20" x14ac:dyDescent="0.25">
      <c r="B54" s="21">
        <v>0</v>
      </c>
      <c r="C54" s="17">
        <v>0</v>
      </c>
      <c r="D54" s="17">
        <v>0</v>
      </c>
      <c r="E54" s="17">
        <v>0</v>
      </c>
      <c r="F54" s="17">
        <v>0</v>
      </c>
      <c r="G54" s="17">
        <v>0</v>
      </c>
      <c r="H54" s="38">
        <v>0</v>
      </c>
      <c r="I54" s="17" t="str">
        <v/>
      </c>
      <c r="J54" s="17">
        <v>0</v>
      </c>
      <c r="K54" s="38">
        <v>0</v>
      </c>
      <c r="L54" s="17" t="str">
        <v/>
      </c>
      <c r="M54" s="17">
        <v>0</v>
      </c>
      <c r="N54" s="17">
        <v>0</v>
      </c>
      <c r="O54" s="17" t="str">
        <v/>
      </c>
      <c r="P54" s="17" t="str">
        <v/>
      </c>
      <c r="Q54" s="17">
        <v>0</v>
      </c>
      <c r="R54" s="17">
        <v>0</v>
      </c>
      <c r="S54" s="17">
        <v>0</v>
      </c>
      <c r="T54" s="22">
        <v>0</v>
      </c>
    </row>
    <row r="55" spans="2:20" x14ac:dyDescent="0.25">
      <c r="B55" s="21">
        <v>0</v>
      </c>
      <c r="C55" s="17">
        <v>0</v>
      </c>
      <c r="D55" s="17">
        <v>0</v>
      </c>
      <c r="E55" s="17">
        <v>0</v>
      </c>
      <c r="F55" s="17">
        <v>0</v>
      </c>
      <c r="G55" s="17">
        <v>0</v>
      </c>
      <c r="H55" s="38">
        <v>0</v>
      </c>
      <c r="I55" s="17" t="str">
        <v/>
      </c>
      <c r="J55" s="17">
        <v>0</v>
      </c>
      <c r="K55" s="38">
        <v>0</v>
      </c>
      <c r="L55" s="17" t="str">
        <v/>
      </c>
      <c r="M55" s="17">
        <v>0</v>
      </c>
      <c r="N55" s="17">
        <v>0</v>
      </c>
      <c r="O55" s="17" t="str">
        <v/>
      </c>
      <c r="P55" s="17" t="str">
        <v/>
      </c>
      <c r="Q55" s="17">
        <v>0</v>
      </c>
      <c r="R55" s="17">
        <v>0</v>
      </c>
      <c r="S55" s="17">
        <v>0</v>
      </c>
      <c r="T55" s="22">
        <v>0</v>
      </c>
    </row>
    <row r="56" spans="2:20" x14ac:dyDescent="0.25">
      <c r="B56" s="21">
        <v>0</v>
      </c>
      <c r="C56" s="17">
        <v>0</v>
      </c>
      <c r="D56" s="17">
        <v>0</v>
      </c>
      <c r="E56" s="17">
        <v>0</v>
      </c>
      <c r="F56" s="17">
        <v>0</v>
      </c>
      <c r="G56" s="17">
        <v>0</v>
      </c>
      <c r="H56" s="38">
        <v>0</v>
      </c>
      <c r="I56" s="17" t="str">
        <v/>
      </c>
      <c r="J56" s="17">
        <v>0</v>
      </c>
      <c r="K56" s="38">
        <v>0</v>
      </c>
      <c r="L56" s="17" t="str">
        <v/>
      </c>
      <c r="M56" s="17">
        <v>0</v>
      </c>
      <c r="N56" s="17">
        <v>0</v>
      </c>
      <c r="O56" s="17" t="str">
        <v/>
      </c>
      <c r="P56" s="17" t="str">
        <v/>
      </c>
      <c r="Q56" s="17">
        <v>0</v>
      </c>
      <c r="R56" s="17">
        <v>0</v>
      </c>
      <c r="S56" s="17">
        <v>0</v>
      </c>
      <c r="T56" s="22">
        <v>0</v>
      </c>
    </row>
    <row r="57" spans="2:20" x14ac:dyDescent="0.25">
      <c r="B57" s="21">
        <v>0</v>
      </c>
      <c r="C57" s="17">
        <v>0</v>
      </c>
      <c r="D57" s="17">
        <v>0</v>
      </c>
      <c r="E57" s="17">
        <v>0</v>
      </c>
      <c r="F57" s="17">
        <v>0</v>
      </c>
      <c r="G57" s="17">
        <v>0</v>
      </c>
      <c r="H57" s="38">
        <v>0</v>
      </c>
      <c r="I57" s="17" t="str">
        <v/>
      </c>
      <c r="J57" s="17">
        <v>0</v>
      </c>
      <c r="K57" s="38">
        <v>0</v>
      </c>
      <c r="L57" s="17" t="str">
        <v/>
      </c>
      <c r="M57" s="17">
        <v>0</v>
      </c>
      <c r="N57" s="17">
        <v>0</v>
      </c>
      <c r="O57" s="17" t="str">
        <v/>
      </c>
      <c r="P57" s="17" t="str">
        <v/>
      </c>
      <c r="Q57" s="17">
        <v>0</v>
      </c>
      <c r="R57" s="17">
        <v>0</v>
      </c>
      <c r="S57" s="17">
        <v>0</v>
      </c>
      <c r="T57" s="22">
        <v>0</v>
      </c>
    </row>
    <row r="58" spans="2:20" x14ac:dyDescent="0.25">
      <c r="B58" s="21">
        <v>0</v>
      </c>
      <c r="C58" s="17">
        <v>0</v>
      </c>
      <c r="D58" s="17">
        <v>0</v>
      </c>
      <c r="E58" s="17">
        <v>0</v>
      </c>
      <c r="F58" s="17">
        <v>0</v>
      </c>
      <c r="G58" s="17">
        <v>0</v>
      </c>
      <c r="H58" s="38">
        <v>0</v>
      </c>
      <c r="I58" s="17" t="str">
        <v/>
      </c>
      <c r="J58" s="17">
        <v>0</v>
      </c>
      <c r="K58" s="38">
        <v>0</v>
      </c>
      <c r="L58" s="17" t="str">
        <v/>
      </c>
      <c r="M58" s="17">
        <v>0</v>
      </c>
      <c r="N58" s="17">
        <v>0</v>
      </c>
      <c r="O58" s="17" t="str">
        <v/>
      </c>
      <c r="P58" s="17" t="str">
        <v/>
      </c>
      <c r="Q58" s="17">
        <v>0</v>
      </c>
      <c r="R58" s="17">
        <v>0</v>
      </c>
      <c r="S58" s="17">
        <v>0</v>
      </c>
      <c r="T58" s="22">
        <v>0</v>
      </c>
    </row>
    <row r="59" spans="2:20" x14ac:dyDescent="0.25">
      <c r="B59" s="21">
        <v>0</v>
      </c>
      <c r="C59" s="17">
        <v>0</v>
      </c>
      <c r="D59" s="17">
        <v>0</v>
      </c>
      <c r="E59" s="17">
        <v>0</v>
      </c>
      <c r="F59" s="17">
        <v>0</v>
      </c>
      <c r="G59" s="17">
        <v>0</v>
      </c>
      <c r="H59" s="38">
        <v>0</v>
      </c>
      <c r="I59" s="17" t="str">
        <v/>
      </c>
      <c r="J59" s="17">
        <v>0</v>
      </c>
      <c r="K59" s="38">
        <v>0</v>
      </c>
      <c r="L59" s="17" t="str">
        <v/>
      </c>
      <c r="M59" s="17">
        <v>0</v>
      </c>
      <c r="N59" s="17">
        <v>0</v>
      </c>
      <c r="O59" s="17" t="str">
        <v/>
      </c>
      <c r="P59" s="17" t="str">
        <v/>
      </c>
      <c r="Q59" s="17">
        <v>0</v>
      </c>
      <c r="R59" s="17">
        <v>0</v>
      </c>
      <c r="S59" s="17">
        <v>0</v>
      </c>
      <c r="T59" s="22">
        <v>0</v>
      </c>
    </row>
    <row r="60" spans="2:20" x14ac:dyDescent="0.25">
      <c r="B60" s="21">
        <v>0</v>
      </c>
      <c r="C60" s="17">
        <v>0</v>
      </c>
      <c r="D60" s="17">
        <v>0</v>
      </c>
      <c r="E60" s="17">
        <v>0</v>
      </c>
      <c r="F60" s="17">
        <v>0</v>
      </c>
      <c r="G60" s="17">
        <v>0</v>
      </c>
      <c r="H60" s="38">
        <v>0</v>
      </c>
      <c r="I60" s="17" t="str">
        <v/>
      </c>
      <c r="J60" s="17">
        <v>0</v>
      </c>
      <c r="K60" s="38">
        <v>0</v>
      </c>
      <c r="L60" s="17" t="str">
        <v/>
      </c>
      <c r="M60" s="17">
        <v>0</v>
      </c>
      <c r="N60" s="17">
        <v>0</v>
      </c>
      <c r="O60" s="17" t="str">
        <v/>
      </c>
      <c r="P60" s="17" t="str">
        <v/>
      </c>
      <c r="Q60" s="17">
        <v>0</v>
      </c>
      <c r="R60" s="17">
        <v>0</v>
      </c>
      <c r="S60" s="17">
        <v>0</v>
      </c>
      <c r="T60" s="22">
        <v>0</v>
      </c>
    </row>
    <row r="61" spans="2:20" x14ac:dyDescent="0.25">
      <c r="B61" s="21">
        <v>0</v>
      </c>
      <c r="C61" s="17">
        <v>0</v>
      </c>
      <c r="D61" s="17">
        <v>0</v>
      </c>
      <c r="E61" s="17">
        <v>0</v>
      </c>
      <c r="F61" s="17">
        <v>0</v>
      </c>
      <c r="G61" s="17">
        <v>0</v>
      </c>
      <c r="H61" s="38">
        <v>0</v>
      </c>
      <c r="I61" s="17" t="str">
        <v/>
      </c>
      <c r="J61" s="17">
        <v>0</v>
      </c>
      <c r="K61" s="38">
        <v>0</v>
      </c>
      <c r="L61" s="17" t="str">
        <v/>
      </c>
      <c r="M61" s="17">
        <v>0</v>
      </c>
      <c r="N61" s="17">
        <v>0</v>
      </c>
      <c r="O61" s="17" t="str">
        <v/>
      </c>
      <c r="P61" s="17" t="str">
        <v/>
      </c>
      <c r="Q61" s="17">
        <v>0</v>
      </c>
      <c r="R61" s="17">
        <v>0</v>
      </c>
      <c r="S61" s="17">
        <v>0</v>
      </c>
      <c r="T61" s="22">
        <v>0</v>
      </c>
    </row>
    <row r="62" spans="2:20" x14ac:dyDescent="0.25">
      <c r="B62" s="21">
        <v>0</v>
      </c>
      <c r="C62" s="17">
        <v>0</v>
      </c>
      <c r="D62" s="17">
        <v>0</v>
      </c>
      <c r="E62" s="17">
        <v>0</v>
      </c>
      <c r="F62" s="17">
        <v>0</v>
      </c>
      <c r="G62" s="17">
        <v>0</v>
      </c>
      <c r="H62" s="38">
        <v>0</v>
      </c>
      <c r="I62" s="17" t="str">
        <v/>
      </c>
      <c r="J62" s="17">
        <v>0</v>
      </c>
      <c r="K62" s="38">
        <v>0</v>
      </c>
      <c r="L62" s="17" t="str">
        <v/>
      </c>
      <c r="M62" s="17">
        <v>0</v>
      </c>
      <c r="N62" s="17">
        <v>0</v>
      </c>
      <c r="O62" s="17" t="str">
        <v/>
      </c>
      <c r="P62" s="17" t="str">
        <v/>
      </c>
      <c r="Q62" s="17">
        <v>0</v>
      </c>
      <c r="R62" s="17">
        <v>0</v>
      </c>
      <c r="S62" s="17">
        <v>0</v>
      </c>
      <c r="T62" s="22">
        <v>0</v>
      </c>
    </row>
    <row r="63" spans="2:20" x14ac:dyDescent="0.25">
      <c r="B63" s="21">
        <v>0</v>
      </c>
      <c r="C63" s="17">
        <v>0</v>
      </c>
      <c r="D63" s="17">
        <v>0</v>
      </c>
      <c r="E63" s="17">
        <v>0</v>
      </c>
      <c r="F63" s="17">
        <v>0</v>
      </c>
      <c r="G63" s="17">
        <v>0</v>
      </c>
      <c r="H63" s="38">
        <v>0</v>
      </c>
      <c r="I63" s="17" t="str">
        <v/>
      </c>
      <c r="J63" s="17">
        <v>0</v>
      </c>
      <c r="K63" s="38">
        <v>0</v>
      </c>
      <c r="L63" s="17" t="str">
        <v/>
      </c>
      <c r="M63" s="17">
        <v>0</v>
      </c>
      <c r="N63" s="17">
        <v>0</v>
      </c>
      <c r="O63" s="17" t="str">
        <v/>
      </c>
      <c r="P63" s="17" t="str">
        <v/>
      </c>
      <c r="Q63" s="17">
        <v>0</v>
      </c>
      <c r="R63" s="17">
        <v>0</v>
      </c>
      <c r="S63" s="17">
        <v>0</v>
      </c>
      <c r="T63" s="22">
        <v>0</v>
      </c>
    </row>
    <row r="64" spans="2:20" x14ac:dyDescent="0.25">
      <c r="B64" s="21">
        <v>0</v>
      </c>
      <c r="C64" s="17">
        <v>0</v>
      </c>
      <c r="D64" s="17">
        <v>0</v>
      </c>
      <c r="E64" s="17">
        <v>0</v>
      </c>
      <c r="F64" s="17">
        <v>0</v>
      </c>
      <c r="G64" s="17">
        <v>0</v>
      </c>
      <c r="H64" s="38">
        <v>0</v>
      </c>
      <c r="I64" s="17" t="str">
        <v/>
      </c>
      <c r="J64" s="17">
        <v>0</v>
      </c>
      <c r="K64" s="38">
        <v>0</v>
      </c>
      <c r="L64" s="17" t="str">
        <v/>
      </c>
      <c r="M64" s="17">
        <v>0</v>
      </c>
      <c r="N64" s="17">
        <v>0</v>
      </c>
      <c r="O64" s="17" t="str">
        <v/>
      </c>
      <c r="P64" s="17" t="str">
        <v/>
      </c>
      <c r="Q64" s="17">
        <v>0</v>
      </c>
      <c r="R64" s="17">
        <v>0</v>
      </c>
      <c r="S64" s="17">
        <v>0</v>
      </c>
      <c r="T64" s="22">
        <v>0</v>
      </c>
    </row>
    <row r="65" spans="2:20" x14ac:dyDescent="0.25">
      <c r="B65" s="21">
        <v>0</v>
      </c>
      <c r="C65" s="17">
        <v>0</v>
      </c>
      <c r="D65" s="17">
        <v>0</v>
      </c>
      <c r="E65" s="17">
        <v>0</v>
      </c>
      <c r="F65" s="17">
        <v>0</v>
      </c>
      <c r="G65" s="17">
        <v>0</v>
      </c>
      <c r="H65" s="38">
        <v>0</v>
      </c>
      <c r="I65" s="17" t="str">
        <v/>
      </c>
      <c r="J65" s="17">
        <v>0</v>
      </c>
      <c r="K65" s="38">
        <v>0</v>
      </c>
      <c r="L65" s="17" t="str">
        <v/>
      </c>
      <c r="M65" s="17">
        <v>0</v>
      </c>
      <c r="N65" s="17">
        <v>0</v>
      </c>
      <c r="O65" s="17" t="str">
        <v/>
      </c>
      <c r="P65" s="17" t="str">
        <v/>
      </c>
      <c r="Q65" s="17">
        <v>0</v>
      </c>
      <c r="R65" s="17">
        <v>0</v>
      </c>
      <c r="S65" s="17">
        <v>0</v>
      </c>
      <c r="T65" s="22">
        <v>0</v>
      </c>
    </row>
    <row r="66" spans="2:20" x14ac:dyDescent="0.25">
      <c r="B66" s="21">
        <v>0</v>
      </c>
      <c r="C66" s="17">
        <v>0</v>
      </c>
      <c r="D66" s="17">
        <v>0</v>
      </c>
      <c r="E66" s="17">
        <v>0</v>
      </c>
      <c r="F66" s="17">
        <v>0</v>
      </c>
      <c r="G66" s="17">
        <v>0</v>
      </c>
      <c r="H66" s="38">
        <v>0</v>
      </c>
      <c r="I66" s="17" t="str">
        <v/>
      </c>
      <c r="J66" s="17">
        <v>0</v>
      </c>
      <c r="K66" s="38">
        <v>0</v>
      </c>
      <c r="L66" s="17" t="str">
        <v/>
      </c>
      <c r="M66" s="17">
        <v>0</v>
      </c>
      <c r="N66" s="17">
        <v>0</v>
      </c>
      <c r="O66" s="17" t="str">
        <v/>
      </c>
      <c r="P66" s="17" t="str">
        <v/>
      </c>
      <c r="Q66" s="17">
        <v>0</v>
      </c>
      <c r="R66" s="17">
        <v>0</v>
      </c>
      <c r="S66" s="17">
        <v>0</v>
      </c>
      <c r="T66" s="22">
        <v>0</v>
      </c>
    </row>
    <row r="67" spans="2:20" x14ac:dyDescent="0.25">
      <c r="B67" s="21">
        <v>0</v>
      </c>
      <c r="C67" s="17">
        <v>0</v>
      </c>
      <c r="D67" s="17">
        <v>0</v>
      </c>
      <c r="E67" s="17">
        <v>0</v>
      </c>
      <c r="F67" s="17">
        <v>0</v>
      </c>
      <c r="G67" s="17">
        <v>0</v>
      </c>
      <c r="H67" s="38">
        <v>0</v>
      </c>
      <c r="I67" s="17" t="str">
        <v/>
      </c>
      <c r="J67" s="17">
        <v>0</v>
      </c>
      <c r="K67" s="38">
        <v>0</v>
      </c>
      <c r="L67" s="17" t="str">
        <v/>
      </c>
      <c r="M67" s="17">
        <v>0</v>
      </c>
      <c r="N67" s="17">
        <v>0</v>
      </c>
      <c r="O67" s="17" t="str">
        <v/>
      </c>
      <c r="P67" s="17" t="str">
        <v/>
      </c>
      <c r="Q67" s="17">
        <v>0</v>
      </c>
      <c r="R67" s="17">
        <v>0</v>
      </c>
      <c r="S67" s="17">
        <v>0</v>
      </c>
      <c r="T67" s="22">
        <v>0</v>
      </c>
    </row>
    <row r="68" spans="2:20" x14ac:dyDescent="0.25">
      <c r="B68" s="21">
        <v>0</v>
      </c>
      <c r="C68" s="17">
        <v>0</v>
      </c>
      <c r="D68" s="17">
        <v>0</v>
      </c>
      <c r="E68" s="17">
        <v>0</v>
      </c>
      <c r="F68" s="17">
        <v>0</v>
      </c>
      <c r="G68" s="17">
        <v>0</v>
      </c>
      <c r="H68" s="38">
        <v>0</v>
      </c>
      <c r="I68" s="17" t="str">
        <v/>
      </c>
      <c r="J68" s="17">
        <v>0</v>
      </c>
      <c r="K68" s="38">
        <v>0</v>
      </c>
      <c r="L68" s="17" t="str">
        <v/>
      </c>
      <c r="M68" s="17">
        <v>0</v>
      </c>
      <c r="N68" s="17">
        <v>0</v>
      </c>
      <c r="O68" s="17" t="str">
        <v/>
      </c>
      <c r="P68" s="17" t="str">
        <v/>
      </c>
      <c r="Q68" s="17">
        <v>0</v>
      </c>
      <c r="R68" s="17">
        <v>0</v>
      </c>
      <c r="S68" s="17">
        <v>0</v>
      </c>
      <c r="T68" s="22">
        <v>0</v>
      </c>
    </row>
    <row r="69" spans="2:20" x14ac:dyDescent="0.25">
      <c r="B69" s="21">
        <v>0</v>
      </c>
      <c r="C69" s="17">
        <v>0</v>
      </c>
      <c r="D69" s="17">
        <v>0</v>
      </c>
      <c r="E69" s="17">
        <v>0</v>
      </c>
      <c r="F69" s="17">
        <v>0</v>
      </c>
      <c r="G69" s="17">
        <v>0</v>
      </c>
      <c r="H69" s="38">
        <v>0</v>
      </c>
      <c r="I69" s="17" t="str">
        <v/>
      </c>
      <c r="J69" s="17">
        <v>0</v>
      </c>
      <c r="K69" s="38">
        <v>0</v>
      </c>
      <c r="L69" s="17" t="str">
        <v/>
      </c>
      <c r="M69" s="17">
        <v>0</v>
      </c>
      <c r="N69" s="17">
        <v>0</v>
      </c>
      <c r="O69" s="17" t="str">
        <v/>
      </c>
      <c r="P69" s="17" t="str">
        <v/>
      </c>
      <c r="Q69" s="17">
        <v>0</v>
      </c>
      <c r="R69" s="17">
        <v>0</v>
      </c>
      <c r="S69" s="17">
        <v>0</v>
      </c>
      <c r="T69" s="22">
        <v>0</v>
      </c>
    </row>
    <row r="70" spans="2:20" x14ac:dyDescent="0.25">
      <c r="B70" s="21">
        <v>0</v>
      </c>
      <c r="C70" s="17">
        <v>0</v>
      </c>
      <c r="D70" s="17">
        <v>0</v>
      </c>
      <c r="E70" s="17">
        <v>0</v>
      </c>
      <c r="F70" s="17">
        <v>0</v>
      </c>
      <c r="G70" s="17">
        <v>0</v>
      </c>
      <c r="H70" s="38">
        <v>0</v>
      </c>
      <c r="I70" s="17" t="str">
        <v/>
      </c>
      <c r="J70" s="17">
        <v>0</v>
      </c>
      <c r="K70" s="38">
        <v>0</v>
      </c>
      <c r="L70" s="17" t="str">
        <v/>
      </c>
      <c r="M70" s="17">
        <v>0</v>
      </c>
      <c r="N70" s="17">
        <v>0</v>
      </c>
      <c r="O70" s="17" t="str">
        <v/>
      </c>
      <c r="P70" s="17" t="str">
        <v/>
      </c>
      <c r="Q70" s="17">
        <v>0</v>
      </c>
      <c r="R70" s="17">
        <v>0</v>
      </c>
      <c r="S70" s="17">
        <v>0</v>
      </c>
      <c r="T70" s="22">
        <v>0</v>
      </c>
    </row>
    <row r="71" spans="2:20" x14ac:dyDescent="0.25">
      <c r="B71" s="21">
        <v>0</v>
      </c>
      <c r="C71" s="17">
        <v>0</v>
      </c>
      <c r="D71" s="17">
        <v>0</v>
      </c>
      <c r="E71" s="17">
        <v>0</v>
      </c>
      <c r="F71" s="17">
        <v>0</v>
      </c>
      <c r="G71" s="17">
        <v>0</v>
      </c>
      <c r="H71" s="38">
        <v>0</v>
      </c>
      <c r="I71" s="17" t="str">
        <v/>
      </c>
      <c r="J71" s="17">
        <v>0</v>
      </c>
      <c r="K71" s="38">
        <v>0</v>
      </c>
      <c r="L71" s="17" t="str">
        <v/>
      </c>
      <c r="M71" s="17">
        <v>0</v>
      </c>
      <c r="N71" s="17">
        <v>0</v>
      </c>
      <c r="O71" s="17" t="str">
        <v/>
      </c>
      <c r="P71" s="17" t="str">
        <v/>
      </c>
      <c r="Q71" s="17">
        <v>0</v>
      </c>
      <c r="R71" s="17">
        <v>0</v>
      </c>
      <c r="S71" s="17">
        <v>0</v>
      </c>
      <c r="T71" s="22">
        <v>0</v>
      </c>
    </row>
    <row r="72" spans="2:20" x14ac:dyDescent="0.25">
      <c r="B72" s="21">
        <v>0</v>
      </c>
      <c r="C72" s="17">
        <v>0</v>
      </c>
      <c r="D72" s="17">
        <v>0</v>
      </c>
      <c r="E72" s="17">
        <v>0</v>
      </c>
      <c r="F72" s="17">
        <v>0</v>
      </c>
      <c r="G72" s="17">
        <v>0</v>
      </c>
      <c r="H72" s="38">
        <v>0</v>
      </c>
      <c r="I72" s="17" t="str">
        <v/>
      </c>
      <c r="J72" s="17">
        <v>0</v>
      </c>
      <c r="K72" s="38">
        <v>0</v>
      </c>
      <c r="L72" s="17" t="str">
        <v/>
      </c>
      <c r="M72" s="17">
        <v>0</v>
      </c>
      <c r="N72" s="17">
        <v>0</v>
      </c>
      <c r="O72" s="17" t="str">
        <v/>
      </c>
      <c r="P72" s="17" t="str">
        <v/>
      </c>
      <c r="Q72" s="17">
        <v>0</v>
      </c>
      <c r="R72" s="17">
        <v>0</v>
      </c>
      <c r="S72" s="17">
        <v>0</v>
      </c>
      <c r="T72" s="22">
        <v>0</v>
      </c>
    </row>
    <row r="73" spans="2:20" x14ac:dyDescent="0.25">
      <c r="B73" s="21">
        <v>0</v>
      </c>
      <c r="C73" s="17">
        <v>0</v>
      </c>
      <c r="D73" s="17">
        <v>0</v>
      </c>
      <c r="E73" s="17">
        <v>0</v>
      </c>
      <c r="F73" s="17">
        <v>0</v>
      </c>
      <c r="G73" s="17">
        <v>0</v>
      </c>
      <c r="H73" s="38">
        <v>0</v>
      </c>
      <c r="I73" s="17" t="str">
        <v/>
      </c>
      <c r="J73" s="17">
        <v>0</v>
      </c>
      <c r="K73" s="38">
        <v>0</v>
      </c>
      <c r="L73" s="17" t="str">
        <v/>
      </c>
      <c r="M73" s="17">
        <v>0</v>
      </c>
      <c r="N73" s="17">
        <v>0</v>
      </c>
      <c r="O73" s="17" t="str">
        <v/>
      </c>
      <c r="P73" s="17" t="str">
        <v/>
      </c>
      <c r="Q73" s="17">
        <v>0</v>
      </c>
      <c r="R73" s="17">
        <v>0</v>
      </c>
      <c r="S73" s="17">
        <v>0</v>
      </c>
      <c r="T73" s="22">
        <v>0</v>
      </c>
    </row>
    <row r="74" spans="2:20" x14ac:dyDescent="0.25">
      <c r="B74" s="21">
        <v>0</v>
      </c>
      <c r="C74" s="17">
        <v>0</v>
      </c>
      <c r="D74" s="17">
        <v>0</v>
      </c>
      <c r="E74" s="17">
        <v>0</v>
      </c>
      <c r="F74" s="17">
        <v>0</v>
      </c>
      <c r="G74" s="17">
        <v>0</v>
      </c>
      <c r="H74" s="38">
        <v>0</v>
      </c>
      <c r="I74" s="17" t="str">
        <v/>
      </c>
      <c r="J74" s="17">
        <v>0</v>
      </c>
      <c r="K74" s="38">
        <v>0</v>
      </c>
      <c r="L74" s="17" t="str">
        <v/>
      </c>
      <c r="M74" s="17">
        <v>0</v>
      </c>
      <c r="N74" s="17">
        <v>0</v>
      </c>
      <c r="O74" s="17" t="str">
        <v/>
      </c>
      <c r="P74" s="17" t="str">
        <v/>
      </c>
      <c r="Q74" s="17">
        <v>0</v>
      </c>
      <c r="R74" s="17">
        <v>0</v>
      </c>
      <c r="S74" s="17">
        <v>0</v>
      </c>
      <c r="T74" s="22">
        <v>0</v>
      </c>
    </row>
    <row r="75" spans="2:20" x14ac:dyDescent="0.25">
      <c r="B75" s="21">
        <v>0</v>
      </c>
      <c r="C75" s="17">
        <v>0</v>
      </c>
      <c r="D75" s="17">
        <v>0</v>
      </c>
      <c r="E75" s="17">
        <v>0</v>
      </c>
      <c r="F75" s="17">
        <v>0</v>
      </c>
      <c r="G75" s="17">
        <v>0</v>
      </c>
      <c r="H75" s="38">
        <v>0</v>
      </c>
      <c r="I75" s="17" t="str">
        <v/>
      </c>
      <c r="J75" s="17">
        <v>0</v>
      </c>
      <c r="K75" s="38">
        <v>0</v>
      </c>
      <c r="L75" s="17" t="str">
        <v/>
      </c>
      <c r="M75" s="17">
        <v>0</v>
      </c>
      <c r="N75" s="17">
        <v>0</v>
      </c>
      <c r="O75" s="17" t="str">
        <v/>
      </c>
      <c r="P75" s="17" t="str">
        <v/>
      </c>
      <c r="Q75" s="17">
        <v>0</v>
      </c>
      <c r="R75" s="17">
        <v>0</v>
      </c>
      <c r="S75" s="17">
        <v>0</v>
      </c>
      <c r="T75" s="22">
        <v>0</v>
      </c>
    </row>
    <row r="76" spans="2:20" x14ac:dyDescent="0.25">
      <c r="B76" s="21">
        <v>0</v>
      </c>
      <c r="C76" s="17">
        <v>0</v>
      </c>
      <c r="D76" s="17">
        <v>0</v>
      </c>
      <c r="E76" s="17">
        <v>0</v>
      </c>
      <c r="F76" s="17">
        <v>0</v>
      </c>
      <c r="G76" s="17">
        <v>0</v>
      </c>
      <c r="H76" s="38">
        <v>0</v>
      </c>
      <c r="I76" s="17" t="str">
        <v/>
      </c>
      <c r="J76" s="17">
        <v>0</v>
      </c>
      <c r="K76" s="38">
        <v>0</v>
      </c>
      <c r="L76" s="17" t="str">
        <v/>
      </c>
      <c r="M76" s="17">
        <v>0</v>
      </c>
      <c r="N76" s="17">
        <v>0</v>
      </c>
      <c r="O76" s="17" t="str">
        <v/>
      </c>
      <c r="P76" s="17" t="str">
        <v/>
      </c>
      <c r="Q76" s="17">
        <v>0</v>
      </c>
      <c r="R76" s="17">
        <v>0</v>
      </c>
      <c r="S76" s="17">
        <v>0</v>
      </c>
      <c r="T76" s="22">
        <v>0</v>
      </c>
    </row>
    <row r="77" spans="2:20" x14ac:dyDescent="0.25">
      <c r="B77" s="21">
        <v>0</v>
      </c>
      <c r="C77" s="17">
        <v>0</v>
      </c>
      <c r="D77" s="17">
        <v>0</v>
      </c>
      <c r="E77" s="17">
        <v>0</v>
      </c>
      <c r="F77" s="17">
        <v>0</v>
      </c>
      <c r="G77" s="17">
        <v>0</v>
      </c>
      <c r="H77" s="38">
        <v>0</v>
      </c>
      <c r="I77" s="17" t="str">
        <v/>
      </c>
      <c r="J77" s="17">
        <v>0</v>
      </c>
      <c r="K77" s="38">
        <v>0</v>
      </c>
      <c r="L77" s="17" t="str">
        <v/>
      </c>
      <c r="M77" s="17">
        <v>0</v>
      </c>
      <c r="N77" s="17">
        <v>0</v>
      </c>
      <c r="O77" s="17" t="str">
        <v/>
      </c>
      <c r="P77" s="17" t="str">
        <v/>
      </c>
      <c r="Q77" s="17">
        <v>0</v>
      </c>
      <c r="R77" s="17">
        <v>0</v>
      </c>
      <c r="S77" s="17">
        <v>0</v>
      </c>
      <c r="T77" s="22">
        <v>0</v>
      </c>
    </row>
    <row r="78" spans="2:20" x14ac:dyDescent="0.25">
      <c r="B78" s="21">
        <v>0</v>
      </c>
      <c r="C78" s="17">
        <v>0</v>
      </c>
      <c r="D78" s="17">
        <v>0</v>
      </c>
      <c r="E78" s="17">
        <v>0</v>
      </c>
      <c r="F78" s="17">
        <v>0</v>
      </c>
      <c r="G78" s="17">
        <v>0</v>
      </c>
      <c r="H78" s="38">
        <v>0</v>
      </c>
      <c r="I78" s="17" t="str">
        <v/>
      </c>
      <c r="J78" s="17">
        <v>0</v>
      </c>
      <c r="K78" s="38">
        <v>0</v>
      </c>
      <c r="L78" s="17" t="str">
        <v/>
      </c>
      <c r="M78" s="17">
        <v>0</v>
      </c>
      <c r="N78" s="17">
        <v>0</v>
      </c>
      <c r="O78" s="17" t="str">
        <v/>
      </c>
      <c r="P78" s="17" t="str">
        <v/>
      </c>
      <c r="Q78" s="17">
        <v>0</v>
      </c>
      <c r="R78" s="17">
        <v>0</v>
      </c>
      <c r="S78" s="17">
        <v>0</v>
      </c>
      <c r="T78" s="22">
        <v>0</v>
      </c>
    </row>
    <row r="79" spans="2:20" x14ac:dyDescent="0.25">
      <c r="B79" s="21">
        <v>0</v>
      </c>
      <c r="C79" s="17">
        <v>0</v>
      </c>
      <c r="D79" s="17">
        <v>0</v>
      </c>
      <c r="E79" s="17">
        <v>0</v>
      </c>
      <c r="F79" s="17">
        <v>0</v>
      </c>
      <c r="G79" s="17">
        <v>0</v>
      </c>
      <c r="H79" s="38">
        <v>0</v>
      </c>
      <c r="I79" s="17" t="str">
        <v/>
      </c>
      <c r="J79" s="17">
        <v>0</v>
      </c>
      <c r="K79" s="38">
        <v>0</v>
      </c>
      <c r="L79" s="17" t="str">
        <v/>
      </c>
      <c r="M79" s="17">
        <v>0</v>
      </c>
      <c r="N79" s="17">
        <v>0</v>
      </c>
      <c r="O79" s="17" t="str">
        <v/>
      </c>
      <c r="P79" s="17" t="str">
        <v/>
      </c>
      <c r="Q79" s="17">
        <v>0</v>
      </c>
      <c r="R79" s="17">
        <v>0</v>
      </c>
      <c r="S79" s="17">
        <v>0</v>
      </c>
      <c r="T79" s="22">
        <v>0</v>
      </c>
    </row>
    <row r="80" spans="2:20" x14ac:dyDescent="0.25">
      <c r="B80" s="21">
        <v>0</v>
      </c>
      <c r="C80" s="17">
        <v>0</v>
      </c>
      <c r="D80" s="17">
        <v>0</v>
      </c>
      <c r="E80" s="17">
        <v>0</v>
      </c>
      <c r="F80" s="17">
        <v>0</v>
      </c>
      <c r="G80" s="17">
        <v>0</v>
      </c>
      <c r="H80" s="38">
        <v>0</v>
      </c>
      <c r="I80" s="17" t="str">
        <v/>
      </c>
      <c r="J80" s="17">
        <v>0</v>
      </c>
      <c r="K80" s="38">
        <v>0</v>
      </c>
      <c r="L80" s="17" t="str">
        <v/>
      </c>
      <c r="M80" s="17">
        <v>0</v>
      </c>
      <c r="N80" s="17">
        <v>0</v>
      </c>
      <c r="O80" s="17" t="str">
        <v/>
      </c>
      <c r="P80" s="17" t="str">
        <v/>
      </c>
      <c r="Q80" s="17">
        <v>0</v>
      </c>
      <c r="R80" s="17">
        <v>0</v>
      </c>
      <c r="S80" s="17">
        <v>0</v>
      </c>
      <c r="T80" s="22">
        <v>0</v>
      </c>
    </row>
    <row r="81" spans="2:20" x14ac:dyDescent="0.25">
      <c r="B81" s="21">
        <v>0</v>
      </c>
      <c r="C81" s="17">
        <v>0</v>
      </c>
      <c r="D81" s="17">
        <v>0</v>
      </c>
      <c r="E81" s="17">
        <v>0</v>
      </c>
      <c r="F81" s="17">
        <v>0</v>
      </c>
      <c r="G81" s="17">
        <v>0</v>
      </c>
      <c r="H81" s="38">
        <v>0</v>
      </c>
      <c r="I81" s="17" t="str">
        <v/>
      </c>
      <c r="J81" s="17">
        <v>0</v>
      </c>
      <c r="K81" s="38">
        <v>0</v>
      </c>
      <c r="L81" s="17" t="str">
        <v/>
      </c>
      <c r="M81" s="17">
        <v>0</v>
      </c>
      <c r="N81" s="17">
        <v>0</v>
      </c>
      <c r="O81" s="17" t="str">
        <v/>
      </c>
      <c r="P81" s="17" t="str">
        <v/>
      </c>
      <c r="Q81" s="17">
        <v>0</v>
      </c>
      <c r="R81" s="17">
        <v>0</v>
      </c>
      <c r="S81" s="17">
        <v>0</v>
      </c>
      <c r="T81" s="22">
        <v>0</v>
      </c>
    </row>
    <row r="82" spans="2:20" x14ac:dyDescent="0.25">
      <c r="B82" s="21">
        <v>0</v>
      </c>
      <c r="C82" s="17">
        <v>0</v>
      </c>
      <c r="D82" s="17">
        <v>0</v>
      </c>
      <c r="E82" s="17">
        <v>0</v>
      </c>
      <c r="F82" s="17">
        <v>0</v>
      </c>
      <c r="G82" s="17">
        <v>0</v>
      </c>
      <c r="H82" s="38">
        <v>0</v>
      </c>
      <c r="I82" s="17" t="str">
        <v/>
      </c>
      <c r="J82" s="17">
        <v>0</v>
      </c>
      <c r="K82" s="38">
        <v>0</v>
      </c>
      <c r="L82" s="17" t="str">
        <v/>
      </c>
      <c r="M82" s="17">
        <v>0</v>
      </c>
      <c r="N82" s="17">
        <v>0</v>
      </c>
      <c r="O82" s="17" t="str">
        <v/>
      </c>
      <c r="P82" s="17" t="str">
        <v/>
      </c>
      <c r="Q82" s="17">
        <v>0</v>
      </c>
      <c r="R82" s="17">
        <v>0</v>
      </c>
      <c r="S82" s="17">
        <v>0</v>
      </c>
      <c r="T82" s="22">
        <v>0</v>
      </c>
    </row>
    <row r="83" spans="2:20" x14ac:dyDescent="0.25">
      <c r="B83" s="21">
        <v>0</v>
      </c>
      <c r="C83" s="17">
        <v>0</v>
      </c>
      <c r="D83" s="17">
        <v>0</v>
      </c>
      <c r="E83" s="17">
        <v>0</v>
      </c>
      <c r="F83" s="17">
        <v>0</v>
      </c>
      <c r="G83" s="17">
        <v>0</v>
      </c>
      <c r="H83" s="38">
        <v>0</v>
      </c>
      <c r="I83" s="17" t="str">
        <v/>
      </c>
      <c r="J83" s="17">
        <v>0</v>
      </c>
      <c r="K83" s="38">
        <v>0</v>
      </c>
      <c r="L83" s="17" t="str">
        <v/>
      </c>
      <c r="M83" s="17">
        <v>0</v>
      </c>
      <c r="N83" s="17">
        <v>0</v>
      </c>
      <c r="O83" s="17" t="str">
        <v/>
      </c>
      <c r="P83" s="17" t="str">
        <v/>
      </c>
      <c r="Q83" s="17">
        <v>0</v>
      </c>
      <c r="R83" s="17">
        <v>0</v>
      </c>
      <c r="S83" s="17">
        <v>0</v>
      </c>
      <c r="T83" s="22">
        <v>0</v>
      </c>
    </row>
    <row r="84" spans="2:20" x14ac:dyDescent="0.25">
      <c r="B84" s="21">
        <v>0</v>
      </c>
      <c r="C84" s="17">
        <v>0</v>
      </c>
      <c r="D84" s="17">
        <v>0</v>
      </c>
      <c r="E84" s="17">
        <v>0</v>
      </c>
      <c r="F84" s="17">
        <v>0</v>
      </c>
      <c r="G84" s="17">
        <v>0</v>
      </c>
      <c r="H84" s="38">
        <v>0</v>
      </c>
      <c r="I84" s="17" t="str">
        <v/>
      </c>
      <c r="J84" s="17">
        <v>0</v>
      </c>
      <c r="K84" s="38">
        <v>0</v>
      </c>
      <c r="L84" s="17" t="str">
        <v/>
      </c>
      <c r="M84" s="17">
        <v>0</v>
      </c>
      <c r="N84" s="17">
        <v>0</v>
      </c>
      <c r="O84" s="17" t="str">
        <v/>
      </c>
      <c r="P84" s="17" t="str">
        <v/>
      </c>
      <c r="Q84" s="17">
        <v>0</v>
      </c>
      <c r="R84" s="17">
        <v>0</v>
      </c>
      <c r="S84" s="17">
        <v>0</v>
      </c>
      <c r="T84" s="22">
        <v>0</v>
      </c>
    </row>
    <row r="85" spans="2:20" x14ac:dyDescent="0.25">
      <c r="B85" s="21">
        <v>0</v>
      </c>
      <c r="C85" s="17">
        <v>0</v>
      </c>
      <c r="D85" s="17">
        <v>0</v>
      </c>
      <c r="E85" s="17">
        <v>0</v>
      </c>
      <c r="F85" s="17">
        <v>0</v>
      </c>
      <c r="G85" s="17">
        <v>0</v>
      </c>
      <c r="H85" s="38">
        <v>0</v>
      </c>
      <c r="I85" s="17" t="str">
        <v/>
      </c>
      <c r="J85" s="17">
        <v>0</v>
      </c>
      <c r="K85" s="38">
        <v>0</v>
      </c>
      <c r="L85" s="17" t="str">
        <v/>
      </c>
      <c r="M85" s="17">
        <v>0</v>
      </c>
      <c r="N85" s="17">
        <v>0</v>
      </c>
      <c r="O85" s="17" t="str">
        <v/>
      </c>
      <c r="P85" s="17" t="str">
        <v/>
      </c>
      <c r="Q85" s="17">
        <v>0</v>
      </c>
      <c r="R85" s="17">
        <v>0</v>
      </c>
      <c r="S85" s="17">
        <v>0</v>
      </c>
      <c r="T85" s="22">
        <v>0</v>
      </c>
    </row>
    <row r="86" spans="2:20" x14ac:dyDescent="0.25">
      <c r="B86" s="21">
        <v>0</v>
      </c>
      <c r="C86" s="17">
        <v>0</v>
      </c>
      <c r="D86" s="17">
        <v>0</v>
      </c>
      <c r="E86" s="17">
        <v>0</v>
      </c>
      <c r="F86" s="17">
        <v>0</v>
      </c>
      <c r="G86" s="17">
        <v>0</v>
      </c>
      <c r="H86" s="38">
        <v>0</v>
      </c>
      <c r="I86" s="17" t="str">
        <v/>
      </c>
      <c r="J86" s="17">
        <v>0</v>
      </c>
      <c r="K86" s="38">
        <v>0</v>
      </c>
      <c r="L86" s="17" t="str">
        <v/>
      </c>
      <c r="M86" s="17">
        <v>0</v>
      </c>
      <c r="N86" s="17">
        <v>0</v>
      </c>
      <c r="O86" s="17" t="str">
        <v/>
      </c>
      <c r="P86" s="17" t="str">
        <v/>
      </c>
      <c r="Q86" s="17">
        <v>0</v>
      </c>
      <c r="R86" s="17">
        <v>0</v>
      </c>
      <c r="S86" s="17">
        <v>0</v>
      </c>
      <c r="T86" s="22">
        <v>0</v>
      </c>
    </row>
    <row r="87" spans="2:20" x14ac:dyDescent="0.25">
      <c r="B87" s="21">
        <v>0</v>
      </c>
      <c r="C87" s="17">
        <v>0</v>
      </c>
      <c r="D87" s="17">
        <v>0</v>
      </c>
      <c r="E87" s="17">
        <v>0</v>
      </c>
      <c r="F87" s="17">
        <v>0</v>
      </c>
      <c r="G87" s="17">
        <v>0</v>
      </c>
      <c r="H87" s="38">
        <v>0</v>
      </c>
      <c r="I87" s="17" t="str">
        <v/>
      </c>
      <c r="J87" s="17">
        <v>0</v>
      </c>
      <c r="K87" s="38">
        <v>0</v>
      </c>
      <c r="L87" s="17" t="str">
        <v/>
      </c>
      <c r="M87" s="17">
        <v>0</v>
      </c>
      <c r="N87" s="17">
        <v>0</v>
      </c>
      <c r="O87" s="17" t="str">
        <v/>
      </c>
      <c r="P87" s="17" t="str">
        <v/>
      </c>
      <c r="Q87" s="17">
        <v>0</v>
      </c>
      <c r="R87" s="17">
        <v>0</v>
      </c>
      <c r="S87" s="17">
        <v>0</v>
      </c>
      <c r="T87" s="22">
        <v>0</v>
      </c>
    </row>
    <row r="88" spans="2:20" x14ac:dyDescent="0.25">
      <c r="B88" s="21">
        <v>0</v>
      </c>
      <c r="C88" s="17">
        <v>0</v>
      </c>
      <c r="D88" s="17">
        <v>0</v>
      </c>
      <c r="E88" s="17">
        <v>0</v>
      </c>
      <c r="F88" s="17">
        <v>0</v>
      </c>
      <c r="G88" s="17">
        <v>0</v>
      </c>
      <c r="H88" s="38">
        <v>0</v>
      </c>
      <c r="I88" s="17" t="str">
        <v/>
      </c>
      <c r="J88" s="17">
        <v>0</v>
      </c>
      <c r="K88" s="38">
        <v>0</v>
      </c>
      <c r="L88" s="17" t="str">
        <v/>
      </c>
      <c r="M88" s="17">
        <v>0</v>
      </c>
      <c r="N88" s="17">
        <v>0</v>
      </c>
      <c r="O88" s="17" t="str">
        <v/>
      </c>
      <c r="P88" s="17" t="str">
        <v/>
      </c>
      <c r="Q88" s="17">
        <v>0</v>
      </c>
      <c r="R88" s="17">
        <v>0</v>
      </c>
      <c r="S88" s="17">
        <v>0</v>
      </c>
      <c r="T88" s="22">
        <v>0</v>
      </c>
    </row>
    <row r="89" spans="2:20" x14ac:dyDescent="0.25">
      <c r="B89" s="21">
        <v>0</v>
      </c>
      <c r="C89" s="17">
        <v>0</v>
      </c>
      <c r="D89" s="17">
        <v>0</v>
      </c>
      <c r="E89" s="17">
        <v>0</v>
      </c>
      <c r="F89" s="17">
        <v>0</v>
      </c>
      <c r="G89" s="17">
        <v>0</v>
      </c>
      <c r="H89" s="38">
        <v>0</v>
      </c>
      <c r="I89" s="17" t="str">
        <v/>
      </c>
      <c r="J89" s="17">
        <v>0</v>
      </c>
      <c r="K89" s="38">
        <v>0</v>
      </c>
      <c r="L89" s="17" t="str">
        <v/>
      </c>
      <c r="M89" s="17">
        <v>0</v>
      </c>
      <c r="N89" s="17">
        <v>0</v>
      </c>
      <c r="O89" s="17" t="str">
        <v/>
      </c>
      <c r="P89" s="17" t="str">
        <v/>
      </c>
      <c r="Q89" s="17">
        <v>0</v>
      </c>
      <c r="R89" s="17">
        <v>0</v>
      </c>
      <c r="S89" s="17">
        <v>0</v>
      </c>
      <c r="T89" s="22">
        <v>0</v>
      </c>
    </row>
    <row r="90" spans="2:20" x14ac:dyDescent="0.25">
      <c r="B90" s="21">
        <v>0</v>
      </c>
      <c r="C90" s="17">
        <v>0</v>
      </c>
      <c r="D90" s="17">
        <v>0</v>
      </c>
      <c r="E90" s="17">
        <v>0</v>
      </c>
      <c r="F90" s="17">
        <v>0</v>
      </c>
      <c r="G90" s="17">
        <v>0</v>
      </c>
      <c r="H90" s="38">
        <v>0</v>
      </c>
      <c r="I90" s="17" t="str">
        <v/>
      </c>
      <c r="J90" s="17">
        <v>0</v>
      </c>
      <c r="K90" s="38">
        <v>0</v>
      </c>
      <c r="L90" s="17" t="str">
        <v/>
      </c>
      <c r="M90" s="17">
        <v>0</v>
      </c>
      <c r="N90" s="17">
        <v>0</v>
      </c>
      <c r="O90" s="17" t="str">
        <v/>
      </c>
      <c r="P90" s="17" t="str">
        <v/>
      </c>
      <c r="Q90" s="17">
        <v>0</v>
      </c>
      <c r="R90" s="17">
        <v>0</v>
      </c>
      <c r="S90" s="17">
        <v>0</v>
      </c>
      <c r="T90" s="22">
        <v>0</v>
      </c>
    </row>
    <row r="91" spans="2:20" x14ac:dyDescent="0.25">
      <c r="B91" s="21">
        <v>0</v>
      </c>
      <c r="C91" s="17">
        <v>0</v>
      </c>
      <c r="D91" s="17">
        <v>0</v>
      </c>
      <c r="E91" s="17">
        <v>0</v>
      </c>
      <c r="F91" s="17">
        <v>0</v>
      </c>
      <c r="G91" s="17">
        <v>0</v>
      </c>
      <c r="H91" s="38">
        <v>0</v>
      </c>
      <c r="I91" s="17" t="str">
        <v/>
      </c>
      <c r="J91" s="17">
        <v>0</v>
      </c>
      <c r="K91" s="38">
        <v>0</v>
      </c>
      <c r="L91" s="17" t="str">
        <v/>
      </c>
      <c r="M91" s="17">
        <v>0</v>
      </c>
      <c r="N91" s="17">
        <v>0</v>
      </c>
      <c r="O91" s="17" t="str">
        <v/>
      </c>
      <c r="P91" s="17" t="str">
        <v/>
      </c>
      <c r="Q91" s="17">
        <v>0</v>
      </c>
      <c r="R91" s="17">
        <v>0</v>
      </c>
      <c r="S91" s="17">
        <v>0</v>
      </c>
      <c r="T91" s="22">
        <v>0</v>
      </c>
    </row>
    <row r="92" spans="2:20" x14ac:dyDescent="0.25">
      <c r="B92" s="21">
        <v>0</v>
      </c>
      <c r="C92" s="17">
        <v>0</v>
      </c>
      <c r="D92" s="17">
        <v>0</v>
      </c>
      <c r="E92" s="17">
        <v>0</v>
      </c>
      <c r="F92" s="17">
        <v>0</v>
      </c>
      <c r="G92" s="17">
        <v>0</v>
      </c>
      <c r="H92" s="38">
        <v>0</v>
      </c>
      <c r="I92" s="17" t="str">
        <v/>
      </c>
      <c r="J92" s="17">
        <v>0</v>
      </c>
      <c r="K92" s="38">
        <v>0</v>
      </c>
      <c r="L92" s="17" t="str">
        <v/>
      </c>
      <c r="M92" s="17">
        <v>0</v>
      </c>
      <c r="N92" s="17">
        <v>0</v>
      </c>
      <c r="O92" s="17" t="str">
        <v/>
      </c>
      <c r="P92" s="17" t="str">
        <v/>
      </c>
      <c r="Q92" s="17">
        <v>0</v>
      </c>
      <c r="R92" s="17">
        <v>0</v>
      </c>
      <c r="S92" s="17">
        <v>0</v>
      </c>
      <c r="T92" s="22">
        <v>0</v>
      </c>
    </row>
    <row r="93" spans="2:20" x14ac:dyDescent="0.25">
      <c r="B93" s="21">
        <v>0</v>
      </c>
      <c r="C93" s="17">
        <v>0</v>
      </c>
      <c r="D93" s="17">
        <v>0</v>
      </c>
      <c r="E93" s="17">
        <v>0</v>
      </c>
      <c r="F93" s="17">
        <v>0</v>
      </c>
      <c r="G93" s="17">
        <v>0</v>
      </c>
      <c r="H93" s="38">
        <v>0</v>
      </c>
      <c r="I93" s="17" t="str">
        <v/>
      </c>
      <c r="J93" s="17">
        <v>0</v>
      </c>
      <c r="K93" s="38">
        <v>0</v>
      </c>
      <c r="L93" s="17" t="str">
        <v/>
      </c>
      <c r="M93" s="17">
        <v>0</v>
      </c>
      <c r="N93" s="17">
        <v>0</v>
      </c>
      <c r="O93" s="17" t="str">
        <v/>
      </c>
      <c r="P93" s="17" t="str">
        <v/>
      </c>
      <c r="Q93" s="17">
        <v>0</v>
      </c>
      <c r="R93" s="17">
        <v>0</v>
      </c>
      <c r="S93" s="17">
        <v>0</v>
      </c>
      <c r="T93" s="22">
        <v>0</v>
      </c>
    </row>
    <row r="94" spans="2:20" x14ac:dyDescent="0.25">
      <c r="B94" s="21">
        <v>0</v>
      </c>
      <c r="C94" s="17">
        <v>0</v>
      </c>
      <c r="D94" s="17">
        <v>0</v>
      </c>
      <c r="E94" s="17">
        <v>0</v>
      </c>
      <c r="F94" s="17">
        <v>0</v>
      </c>
      <c r="G94" s="17">
        <v>0</v>
      </c>
      <c r="H94" s="38">
        <v>0</v>
      </c>
      <c r="I94" s="17" t="str">
        <v/>
      </c>
      <c r="J94" s="17">
        <v>0</v>
      </c>
      <c r="K94" s="38">
        <v>0</v>
      </c>
      <c r="L94" s="17" t="str">
        <v/>
      </c>
      <c r="M94" s="17">
        <v>0</v>
      </c>
      <c r="N94" s="17">
        <v>0</v>
      </c>
      <c r="O94" s="17" t="str">
        <v/>
      </c>
      <c r="P94" s="17" t="str">
        <v/>
      </c>
      <c r="Q94" s="17">
        <v>0</v>
      </c>
      <c r="R94" s="17">
        <v>0</v>
      </c>
      <c r="S94" s="17">
        <v>0</v>
      </c>
      <c r="T94" s="22">
        <v>0</v>
      </c>
    </row>
    <row r="95" spans="2:20" x14ac:dyDescent="0.25">
      <c r="B95" s="21">
        <v>0</v>
      </c>
      <c r="C95" s="17">
        <v>0</v>
      </c>
      <c r="D95" s="17">
        <v>0</v>
      </c>
      <c r="E95" s="17">
        <v>0</v>
      </c>
      <c r="F95" s="17">
        <v>0</v>
      </c>
      <c r="G95" s="17">
        <v>0</v>
      </c>
      <c r="H95" s="38">
        <v>0</v>
      </c>
      <c r="I95" s="17" t="str">
        <v/>
      </c>
      <c r="J95" s="17">
        <v>0</v>
      </c>
      <c r="K95" s="38">
        <v>0</v>
      </c>
      <c r="L95" s="17" t="str">
        <v/>
      </c>
      <c r="M95" s="17">
        <v>0</v>
      </c>
      <c r="N95" s="17">
        <v>0</v>
      </c>
      <c r="O95" s="17" t="str">
        <v/>
      </c>
      <c r="P95" s="17" t="str">
        <v/>
      </c>
      <c r="Q95" s="17">
        <v>0</v>
      </c>
      <c r="R95" s="17">
        <v>0</v>
      </c>
      <c r="S95" s="17">
        <v>0</v>
      </c>
      <c r="T95" s="22">
        <v>0</v>
      </c>
    </row>
    <row r="96" spans="2:20" x14ac:dyDescent="0.25">
      <c r="B96" s="21">
        <v>0</v>
      </c>
      <c r="C96" s="17">
        <v>0</v>
      </c>
      <c r="D96" s="17">
        <v>0</v>
      </c>
      <c r="E96" s="17">
        <v>0</v>
      </c>
      <c r="F96" s="17">
        <v>0</v>
      </c>
      <c r="G96" s="17">
        <v>0</v>
      </c>
      <c r="H96" s="38">
        <v>0</v>
      </c>
      <c r="I96" s="17" t="str">
        <v/>
      </c>
      <c r="J96" s="17">
        <v>0</v>
      </c>
      <c r="K96" s="38">
        <v>0</v>
      </c>
      <c r="L96" s="17" t="str">
        <v/>
      </c>
      <c r="M96" s="17">
        <v>0</v>
      </c>
      <c r="N96" s="17">
        <v>0</v>
      </c>
      <c r="O96" s="17" t="str">
        <v/>
      </c>
      <c r="P96" s="17" t="str">
        <v/>
      </c>
      <c r="Q96" s="17">
        <v>0</v>
      </c>
      <c r="R96" s="17">
        <v>0</v>
      </c>
      <c r="S96" s="17">
        <v>0</v>
      </c>
      <c r="T96" s="22">
        <v>0</v>
      </c>
    </row>
    <row r="97" spans="2:20" x14ac:dyDescent="0.25">
      <c r="B97" s="21">
        <v>0</v>
      </c>
      <c r="C97" s="17">
        <v>0</v>
      </c>
      <c r="D97" s="17">
        <v>0</v>
      </c>
      <c r="E97" s="17">
        <v>0</v>
      </c>
      <c r="F97" s="17">
        <v>0</v>
      </c>
      <c r="G97" s="17">
        <v>0</v>
      </c>
      <c r="H97" s="38">
        <v>0</v>
      </c>
      <c r="I97" s="17" t="str">
        <v/>
      </c>
      <c r="J97" s="17">
        <v>0</v>
      </c>
      <c r="K97" s="38">
        <v>0</v>
      </c>
      <c r="L97" s="17" t="str">
        <v/>
      </c>
      <c r="M97" s="17">
        <v>0</v>
      </c>
      <c r="N97" s="17">
        <v>0</v>
      </c>
      <c r="O97" s="17" t="str">
        <v/>
      </c>
      <c r="P97" s="17" t="str">
        <v/>
      </c>
      <c r="Q97" s="17">
        <v>0</v>
      </c>
      <c r="R97" s="17">
        <v>0</v>
      </c>
      <c r="S97" s="17">
        <v>0</v>
      </c>
      <c r="T97" s="22">
        <v>0</v>
      </c>
    </row>
    <row r="98" spans="2:20" x14ac:dyDescent="0.25">
      <c r="B98" s="21">
        <v>0</v>
      </c>
      <c r="C98" s="17">
        <v>0</v>
      </c>
      <c r="D98" s="17">
        <v>0</v>
      </c>
      <c r="E98" s="17">
        <v>0</v>
      </c>
      <c r="F98" s="17">
        <v>0</v>
      </c>
      <c r="G98" s="17">
        <v>0</v>
      </c>
      <c r="H98" s="38">
        <v>0</v>
      </c>
      <c r="I98" s="17" t="str">
        <v/>
      </c>
      <c r="J98" s="17">
        <v>0</v>
      </c>
      <c r="K98" s="38">
        <v>0</v>
      </c>
      <c r="L98" s="17" t="str">
        <v/>
      </c>
      <c r="M98" s="17">
        <v>0</v>
      </c>
      <c r="N98" s="17">
        <v>0</v>
      </c>
      <c r="O98" s="17" t="str">
        <v/>
      </c>
      <c r="P98" s="17" t="str">
        <v/>
      </c>
      <c r="Q98" s="17">
        <v>0</v>
      </c>
      <c r="R98" s="17">
        <v>0</v>
      </c>
      <c r="S98" s="17">
        <v>0</v>
      </c>
      <c r="T98" s="22">
        <v>0</v>
      </c>
    </row>
    <row r="99" spans="2:20" x14ac:dyDescent="0.25">
      <c r="B99" s="21">
        <v>0</v>
      </c>
      <c r="C99" s="17">
        <v>0</v>
      </c>
      <c r="D99" s="17">
        <v>0</v>
      </c>
      <c r="E99" s="17">
        <v>0</v>
      </c>
      <c r="F99" s="17">
        <v>0</v>
      </c>
      <c r="G99" s="17">
        <v>0</v>
      </c>
      <c r="H99" s="38">
        <v>0</v>
      </c>
      <c r="I99" s="17" t="str">
        <v/>
      </c>
      <c r="J99" s="17">
        <v>0</v>
      </c>
      <c r="K99" s="38">
        <v>0</v>
      </c>
      <c r="L99" s="17" t="str">
        <v/>
      </c>
      <c r="M99" s="17">
        <v>0</v>
      </c>
      <c r="N99" s="17">
        <v>0</v>
      </c>
      <c r="O99" s="17" t="str">
        <v/>
      </c>
      <c r="P99" s="17" t="str">
        <v/>
      </c>
      <c r="Q99" s="17">
        <v>0</v>
      </c>
      <c r="R99" s="17">
        <v>0</v>
      </c>
      <c r="S99" s="17">
        <v>0</v>
      </c>
      <c r="T99" s="22">
        <v>0</v>
      </c>
    </row>
    <row r="100" spans="2:20" x14ac:dyDescent="0.25">
      <c r="B100" s="21">
        <v>0</v>
      </c>
      <c r="C100" s="17">
        <v>0</v>
      </c>
      <c r="D100" s="17">
        <v>0</v>
      </c>
      <c r="E100" s="17">
        <v>0</v>
      </c>
      <c r="F100" s="17">
        <v>0</v>
      </c>
      <c r="G100" s="17">
        <v>0</v>
      </c>
      <c r="H100" s="38">
        <v>0</v>
      </c>
      <c r="I100" s="17" t="str">
        <v/>
      </c>
      <c r="J100" s="17">
        <v>0</v>
      </c>
      <c r="K100" s="38">
        <v>0</v>
      </c>
      <c r="L100" s="17" t="str">
        <v/>
      </c>
      <c r="M100" s="17">
        <v>0</v>
      </c>
      <c r="N100" s="17">
        <v>0</v>
      </c>
      <c r="O100" s="17" t="str">
        <v/>
      </c>
      <c r="P100" s="17" t="str">
        <v/>
      </c>
      <c r="Q100" s="17">
        <v>0</v>
      </c>
      <c r="R100" s="17">
        <v>0</v>
      </c>
      <c r="S100" s="17">
        <v>0</v>
      </c>
      <c r="T100" s="22">
        <v>0</v>
      </c>
    </row>
    <row r="101" spans="2:20" x14ac:dyDescent="0.25">
      <c r="B101" s="21">
        <v>0</v>
      </c>
      <c r="C101" s="17">
        <v>0</v>
      </c>
      <c r="D101" s="17">
        <v>0</v>
      </c>
      <c r="E101" s="17">
        <v>0</v>
      </c>
      <c r="F101" s="17">
        <v>0</v>
      </c>
      <c r="G101" s="17">
        <v>0</v>
      </c>
      <c r="H101" s="38">
        <v>0</v>
      </c>
      <c r="I101" s="17" t="str">
        <v/>
      </c>
      <c r="J101" s="17">
        <v>0</v>
      </c>
      <c r="K101" s="38">
        <v>0</v>
      </c>
      <c r="L101" s="17" t="str">
        <v/>
      </c>
      <c r="M101" s="17">
        <v>0</v>
      </c>
      <c r="N101" s="17">
        <v>0</v>
      </c>
      <c r="O101" s="17" t="str">
        <v/>
      </c>
      <c r="P101" s="17" t="str">
        <v/>
      </c>
      <c r="Q101" s="17">
        <v>0</v>
      </c>
      <c r="R101" s="17">
        <v>0</v>
      </c>
      <c r="S101" s="17">
        <v>0</v>
      </c>
      <c r="T101" s="22">
        <v>0</v>
      </c>
    </row>
    <row r="102" spans="2:20" x14ac:dyDescent="0.25">
      <c r="B102" s="21">
        <v>0</v>
      </c>
      <c r="C102" s="17">
        <v>0</v>
      </c>
      <c r="D102" s="17">
        <v>0</v>
      </c>
      <c r="E102" s="17">
        <v>0</v>
      </c>
      <c r="F102" s="17">
        <v>0</v>
      </c>
      <c r="G102" s="17">
        <v>0</v>
      </c>
      <c r="H102" s="38">
        <v>0</v>
      </c>
      <c r="I102" s="17" t="str">
        <v/>
      </c>
      <c r="J102" s="17">
        <v>0</v>
      </c>
      <c r="K102" s="38">
        <v>0</v>
      </c>
      <c r="L102" s="17" t="str">
        <v/>
      </c>
      <c r="M102" s="17">
        <v>0</v>
      </c>
      <c r="N102" s="17">
        <v>0</v>
      </c>
      <c r="O102" s="17" t="str">
        <v/>
      </c>
      <c r="P102" s="17" t="str">
        <v/>
      </c>
      <c r="Q102" s="17">
        <v>0</v>
      </c>
      <c r="R102" s="17">
        <v>0</v>
      </c>
      <c r="S102" s="17">
        <v>0</v>
      </c>
      <c r="T102" s="22">
        <v>0</v>
      </c>
    </row>
    <row r="103" spans="2:20" x14ac:dyDescent="0.25">
      <c r="B103" s="21">
        <v>0</v>
      </c>
      <c r="C103" s="17">
        <v>0</v>
      </c>
      <c r="D103" s="17">
        <v>0</v>
      </c>
      <c r="E103" s="17">
        <v>0</v>
      </c>
      <c r="F103" s="17">
        <v>0</v>
      </c>
      <c r="G103" s="17">
        <v>0</v>
      </c>
      <c r="H103" s="38">
        <v>0</v>
      </c>
      <c r="I103" s="17" t="str">
        <v/>
      </c>
      <c r="J103" s="17">
        <v>0</v>
      </c>
      <c r="K103" s="38">
        <v>0</v>
      </c>
      <c r="L103" s="17" t="str">
        <v/>
      </c>
      <c r="M103" s="17">
        <v>0</v>
      </c>
      <c r="N103" s="17">
        <v>0</v>
      </c>
      <c r="O103" s="17" t="str">
        <v/>
      </c>
      <c r="P103" s="17" t="str">
        <v/>
      </c>
      <c r="Q103" s="17">
        <v>0</v>
      </c>
      <c r="R103" s="17">
        <v>0</v>
      </c>
      <c r="S103" s="17">
        <v>0</v>
      </c>
      <c r="T103" s="22">
        <v>0</v>
      </c>
    </row>
    <row r="104" spans="2:20" x14ac:dyDescent="0.25">
      <c r="B104" s="21">
        <v>0</v>
      </c>
      <c r="C104" s="17">
        <v>0</v>
      </c>
      <c r="D104" s="17">
        <v>0</v>
      </c>
      <c r="E104" s="17">
        <v>0</v>
      </c>
      <c r="F104" s="17">
        <v>0</v>
      </c>
      <c r="G104" s="17">
        <v>0</v>
      </c>
      <c r="H104" s="38">
        <v>0</v>
      </c>
      <c r="I104" s="17" t="str">
        <v/>
      </c>
      <c r="J104" s="17">
        <v>0</v>
      </c>
      <c r="K104" s="38">
        <v>0</v>
      </c>
      <c r="L104" s="17" t="str">
        <v/>
      </c>
      <c r="M104" s="17">
        <v>0</v>
      </c>
      <c r="N104" s="17">
        <v>0</v>
      </c>
      <c r="O104" s="17" t="str">
        <v/>
      </c>
      <c r="P104" s="17" t="str">
        <v/>
      </c>
      <c r="Q104" s="17">
        <v>0</v>
      </c>
      <c r="R104" s="17">
        <v>0</v>
      </c>
      <c r="S104" s="17">
        <v>0</v>
      </c>
      <c r="T104" s="22">
        <v>0</v>
      </c>
    </row>
    <row r="105" spans="2:20" x14ac:dyDescent="0.25">
      <c r="B105" s="21">
        <v>0</v>
      </c>
      <c r="C105" s="17">
        <v>0</v>
      </c>
      <c r="D105" s="17">
        <v>0</v>
      </c>
      <c r="E105" s="17">
        <v>0</v>
      </c>
      <c r="F105" s="17">
        <v>0</v>
      </c>
      <c r="G105" s="17">
        <v>0</v>
      </c>
      <c r="H105" s="38">
        <v>0</v>
      </c>
      <c r="I105" s="17" t="str">
        <v/>
      </c>
      <c r="J105" s="17">
        <v>0</v>
      </c>
      <c r="K105" s="38">
        <v>0</v>
      </c>
      <c r="L105" s="17" t="str">
        <v/>
      </c>
      <c r="M105" s="17">
        <v>0</v>
      </c>
      <c r="N105" s="17">
        <v>0</v>
      </c>
      <c r="O105" s="17" t="str">
        <v/>
      </c>
      <c r="P105" s="17" t="str">
        <v/>
      </c>
      <c r="Q105" s="17">
        <v>0</v>
      </c>
      <c r="R105" s="17">
        <v>0</v>
      </c>
      <c r="S105" s="17">
        <v>0</v>
      </c>
      <c r="T105" s="22">
        <v>0</v>
      </c>
    </row>
    <row r="106" spans="2:20" x14ac:dyDescent="0.25">
      <c r="B106" s="21">
        <v>0</v>
      </c>
      <c r="C106" s="17">
        <v>0</v>
      </c>
      <c r="D106" s="17">
        <v>0</v>
      </c>
      <c r="E106" s="17">
        <v>0</v>
      </c>
      <c r="F106" s="17">
        <v>0</v>
      </c>
      <c r="G106" s="17">
        <v>0</v>
      </c>
      <c r="H106" s="38">
        <v>0</v>
      </c>
      <c r="I106" s="17" t="str">
        <v/>
      </c>
      <c r="J106" s="17">
        <v>0</v>
      </c>
      <c r="K106" s="38">
        <v>0</v>
      </c>
      <c r="L106" s="17" t="str">
        <v/>
      </c>
      <c r="M106" s="17">
        <v>0</v>
      </c>
      <c r="N106" s="17">
        <v>0</v>
      </c>
      <c r="O106" s="17" t="str">
        <v/>
      </c>
      <c r="P106" s="17" t="str">
        <v/>
      </c>
      <c r="Q106" s="17">
        <v>0</v>
      </c>
      <c r="R106" s="17">
        <v>0</v>
      </c>
      <c r="S106" s="17">
        <v>0</v>
      </c>
      <c r="T106" s="22">
        <v>0</v>
      </c>
    </row>
    <row r="107" spans="2:20" x14ac:dyDescent="0.25">
      <c r="B107" s="21">
        <v>0</v>
      </c>
      <c r="C107" s="17">
        <v>0</v>
      </c>
      <c r="D107" s="17">
        <v>0</v>
      </c>
      <c r="E107" s="17">
        <v>0</v>
      </c>
      <c r="F107" s="17">
        <v>0</v>
      </c>
      <c r="G107" s="17">
        <v>0</v>
      </c>
      <c r="H107" s="38">
        <v>0</v>
      </c>
      <c r="I107" s="17" t="str">
        <v/>
      </c>
      <c r="J107" s="17">
        <v>0</v>
      </c>
      <c r="K107" s="38">
        <v>0</v>
      </c>
      <c r="L107" s="17" t="str">
        <v/>
      </c>
      <c r="M107" s="17">
        <v>0</v>
      </c>
      <c r="N107" s="17">
        <v>0</v>
      </c>
      <c r="O107" s="17" t="str">
        <v/>
      </c>
      <c r="P107" s="17" t="str">
        <v/>
      </c>
      <c r="Q107" s="17">
        <v>0</v>
      </c>
      <c r="R107" s="17">
        <v>0</v>
      </c>
      <c r="S107" s="17">
        <v>0</v>
      </c>
      <c r="T107" s="22">
        <v>0</v>
      </c>
    </row>
    <row r="108" spans="2:20" x14ac:dyDescent="0.25">
      <c r="B108" s="21">
        <v>0</v>
      </c>
      <c r="C108" s="17">
        <v>0</v>
      </c>
      <c r="D108" s="17">
        <v>0</v>
      </c>
      <c r="E108" s="17">
        <v>0</v>
      </c>
      <c r="F108" s="17">
        <v>0</v>
      </c>
      <c r="G108" s="17">
        <v>0</v>
      </c>
      <c r="H108" s="38">
        <v>0</v>
      </c>
      <c r="I108" s="17" t="str">
        <v/>
      </c>
      <c r="J108" s="17">
        <v>0</v>
      </c>
      <c r="K108" s="38">
        <v>0</v>
      </c>
      <c r="L108" s="17" t="str">
        <v/>
      </c>
      <c r="M108" s="17">
        <v>0</v>
      </c>
      <c r="N108" s="17">
        <v>0</v>
      </c>
      <c r="O108" s="17" t="str">
        <v/>
      </c>
      <c r="P108" s="17" t="str">
        <v/>
      </c>
      <c r="Q108" s="17">
        <v>0</v>
      </c>
      <c r="R108" s="17">
        <v>0</v>
      </c>
      <c r="S108" s="17">
        <v>0</v>
      </c>
      <c r="T108" s="22">
        <v>0</v>
      </c>
    </row>
    <row r="109" spans="2:20" x14ac:dyDescent="0.25">
      <c r="B109" s="21">
        <v>0</v>
      </c>
      <c r="C109" s="17">
        <v>0</v>
      </c>
      <c r="D109" s="17">
        <v>0</v>
      </c>
      <c r="E109" s="17">
        <v>0</v>
      </c>
      <c r="F109" s="17">
        <v>0</v>
      </c>
      <c r="G109" s="17">
        <v>0</v>
      </c>
      <c r="H109" s="38">
        <v>0</v>
      </c>
      <c r="I109" s="17" t="str">
        <v/>
      </c>
      <c r="J109" s="17">
        <v>0</v>
      </c>
      <c r="K109" s="38">
        <v>0</v>
      </c>
      <c r="L109" s="17" t="str">
        <v/>
      </c>
      <c r="M109" s="17">
        <v>0</v>
      </c>
      <c r="N109" s="17">
        <v>0</v>
      </c>
      <c r="O109" s="17" t="str">
        <v/>
      </c>
      <c r="P109" s="17" t="str">
        <v/>
      </c>
      <c r="Q109" s="17">
        <v>0</v>
      </c>
      <c r="R109" s="17">
        <v>0</v>
      </c>
      <c r="S109" s="17">
        <v>0</v>
      </c>
      <c r="T109" s="22">
        <v>0</v>
      </c>
    </row>
    <row r="110" spans="2:20" x14ac:dyDescent="0.25">
      <c r="B110" s="21">
        <v>0</v>
      </c>
      <c r="C110" s="17">
        <v>0</v>
      </c>
      <c r="D110" s="17">
        <v>0</v>
      </c>
      <c r="E110" s="17">
        <v>0</v>
      </c>
      <c r="F110" s="17">
        <v>0</v>
      </c>
      <c r="G110" s="17">
        <v>0</v>
      </c>
      <c r="H110" s="38">
        <v>0</v>
      </c>
      <c r="I110" s="17" t="str">
        <v/>
      </c>
      <c r="J110" s="17">
        <v>0</v>
      </c>
      <c r="K110" s="38">
        <v>0</v>
      </c>
      <c r="L110" s="17" t="str">
        <v/>
      </c>
      <c r="M110" s="17">
        <v>0</v>
      </c>
      <c r="N110" s="17">
        <v>0</v>
      </c>
      <c r="O110" s="17" t="str">
        <v/>
      </c>
      <c r="P110" s="17" t="str">
        <v/>
      </c>
      <c r="Q110" s="17">
        <v>0</v>
      </c>
      <c r="R110" s="17">
        <v>0</v>
      </c>
      <c r="S110" s="17">
        <v>0</v>
      </c>
      <c r="T110" s="22">
        <v>0</v>
      </c>
    </row>
    <row r="111" spans="2:20" x14ac:dyDescent="0.25">
      <c r="B111" s="21">
        <v>0</v>
      </c>
      <c r="C111" s="17">
        <v>0</v>
      </c>
      <c r="D111" s="17">
        <v>0</v>
      </c>
      <c r="E111" s="17">
        <v>0</v>
      </c>
      <c r="F111" s="17">
        <v>0</v>
      </c>
      <c r="G111" s="17">
        <v>0</v>
      </c>
      <c r="H111" s="38">
        <v>0</v>
      </c>
      <c r="I111" s="17" t="str">
        <v/>
      </c>
      <c r="J111" s="17">
        <v>0</v>
      </c>
      <c r="K111" s="38">
        <v>0</v>
      </c>
      <c r="L111" s="17" t="str">
        <v/>
      </c>
      <c r="M111" s="17">
        <v>0</v>
      </c>
      <c r="N111" s="17">
        <v>0</v>
      </c>
      <c r="O111" s="17" t="str">
        <v/>
      </c>
      <c r="P111" s="17" t="str">
        <v/>
      </c>
      <c r="Q111" s="17">
        <v>0</v>
      </c>
      <c r="R111" s="17">
        <v>0</v>
      </c>
      <c r="S111" s="17">
        <v>0</v>
      </c>
      <c r="T111" s="22">
        <v>0</v>
      </c>
    </row>
    <row r="112" spans="2:20" x14ac:dyDescent="0.25">
      <c r="B112" s="21">
        <v>0</v>
      </c>
      <c r="C112" s="17">
        <v>0</v>
      </c>
      <c r="D112" s="17">
        <v>0</v>
      </c>
      <c r="E112" s="17">
        <v>0</v>
      </c>
      <c r="F112" s="17">
        <v>0</v>
      </c>
      <c r="G112" s="17">
        <v>0</v>
      </c>
      <c r="H112" s="38">
        <v>0</v>
      </c>
      <c r="I112" s="17" t="str">
        <v/>
      </c>
      <c r="J112" s="17">
        <v>0</v>
      </c>
      <c r="K112" s="38">
        <v>0</v>
      </c>
      <c r="L112" s="17" t="str">
        <v/>
      </c>
      <c r="M112" s="17">
        <v>0</v>
      </c>
      <c r="N112" s="17">
        <v>0</v>
      </c>
      <c r="O112" s="17" t="str">
        <v/>
      </c>
      <c r="P112" s="17" t="str">
        <v/>
      </c>
      <c r="Q112" s="17">
        <v>0</v>
      </c>
      <c r="R112" s="17">
        <v>0</v>
      </c>
      <c r="S112" s="17">
        <v>0</v>
      </c>
      <c r="T112" s="22">
        <v>0</v>
      </c>
    </row>
    <row r="113" spans="2:20" x14ac:dyDescent="0.25">
      <c r="B113" s="21">
        <v>0</v>
      </c>
      <c r="C113" s="17">
        <v>0</v>
      </c>
      <c r="D113" s="17">
        <v>0</v>
      </c>
      <c r="E113" s="17">
        <v>0</v>
      </c>
      <c r="F113" s="17">
        <v>0</v>
      </c>
      <c r="G113" s="17">
        <v>0</v>
      </c>
      <c r="H113" s="38">
        <v>0</v>
      </c>
      <c r="I113" s="17" t="str">
        <v/>
      </c>
      <c r="J113" s="17">
        <v>0</v>
      </c>
      <c r="K113" s="38">
        <v>0</v>
      </c>
      <c r="L113" s="17" t="str">
        <v/>
      </c>
      <c r="M113" s="17">
        <v>0</v>
      </c>
      <c r="N113" s="17">
        <v>0</v>
      </c>
      <c r="O113" s="17" t="str">
        <v/>
      </c>
      <c r="P113" s="17" t="str">
        <v/>
      </c>
      <c r="Q113" s="17">
        <v>0</v>
      </c>
      <c r="R113" s="17">
        <v>0</v>
      </c>
      <c r="S113" s="17">
        <v>0</v>
      </c>
      <c r="T113" s="22">
        <v>0</v>
      </c>
    </row>
    <row r="114" spans="2:20" x14ac:dyDescent="0.25">
      <c r="B114" s="21">
        <v>0</v>
      </c>
      <c r="C114" s="17">
        <v>0</v>
      </c>
      <c r="D114" s="17">
        <v>0</v>
      </c>
      <c r="E114" s="17">
        <v>0</v>
      </c>
      <c r="F114" s="17">
        <v>0</v>
      </c>
      <c r="G114" s="17">
        <v>0</v>
      </c>
      <c r="H114" s="38">
        <v>0</v>
      </c>
      <c r="I114" s="17" t="str">
        <v/>
      </c>
      <c r="J114" s="17">
        <v>0</v>
      </c>
      <c r="K114" s="38">
        <v>0</v>
      </c>
      <c r="L114" s="17" t="str">
        <v/>
      </c>
      <c r="M114" s="17">
        <v>0</v>
      </c>
      <c r="N114" s="17">
        <v>0</v>
      </c>
      <c r="O114" s="17" t="str">
        <v/>
      </c>
      <c r="P114" s="17" t="str">
        <v/>
      </c>
      <c r="Q114" s="17">
        <v>0</v>
      </c>
      <c r="R114" s="17">
        <v>0</v>
      </c>
      <c r="S114" s="17">
        <v>0</v>
      </c>
      <c r="T114" s="22">
        <v>0</v>
      </c>
    </row>
    <row r="115" spans="2:20" x14ac:dyDescent="0.25">
      <c r="B115" s="21">
        <v>0</v>
      </c>
      <c r="C115" s="17">
        <v>0</v>
      </c>
      <c r="D115" s="17">
        <v>0</v>
      </c>
      <c r="E115" s="17">
        <v>0</v>
      </c>
      <c r="F115" s="17">
        <v>0</v>
      </c>
      <c r="G115" s="17">
        <v>0</v>
      </c>
      <c r="H115" s="38">
        <v>0</v>
      </c>
      <c r="I115" s="17" t="str">
        <v/>
      </c>
      <c r="J115" s="17">
        <v>0</v>
      </c>
      <c r="K115" s="38">
        <v>0</v>
      </c>
      <c r="L115" s="17" t="str">
        <v/>
      </c>
      <c r="M115" s="17">
        <v>0</v>
      </c>
      <c r="N115" s="17">
        <v>0</v>
      </c>
      <c r="O115" s="17" t="str">
        <v/>
      </c>
      <c r="P115" s="17" t="str">
        <v/>
      </c>
      <c r="Q115" s="17">
        <v>0</v>
      </c>
      <c r="R115" s="17">
        <v>0</v>
      </c>
      <c r="S115" s="17">
        <v>0</v>
      </c>
      <c r="T115" s="22">
        <v>0</v>
      </c>
    </row>
    <row r="116" spans="2:20" x14ac:dyDescent="0.25">
      <c r="B116" s="21">
        <v>0</v>
      </c>
      <c r="C116" s="17">
        <v>0</v>
      </c>
      <c r="D116" s="17">
        <v>0</v>
      </c>
      <c r="E116" s="17">
        <v>0</v>
      </c>
      <c r="F116" s="17">
        <v>0</v>
      </c>
      <c r="G116" s="17">
        <v>0</v>
      </c>
      <c r="H116" s="38">
        <v>0</v>
      </c>
      <c r="I116" s="17" t="str">
        <v/>
      </c>
      <c r="J116" s="17">
        <v>0</v>
      </c>
      <c r="K116" s="38">
        <v>0</v>
      </c>
      <c r="L116" s="17" t="str">
        <v/>
      </c>
      <c r="M116" s="17">
        <v>0</v>
      </c>
      <c r="N116" s="17">
        <v>0</v>
      </c>
      <c r="O116" s="17" t="str">
        <v/>
      </c>
      <c r="P116" s="17" t="str">
        <v/>
      </c>
      <c r="Q116" s="17">
        <v>0</v>
      </c>
      <c r="R116" s="17">
        <v>0</v>
      </c>
      <c r="S116" s="17">
        <v>0</v>
      </c>
      <c r="T116" s="22">
        <v>0</v>
      </c>
    </row>
    <row r="117" spans="2:20" x14ac:dyDescent="0.25">
      <c r="B117" s="21">
        <v>0</v>
      </c>
      <c r="C117" s="17">
        <v>0</v>
      </c>
      <c r="D117" s="17">
        <v>0</v>
      </c>
      <c r="E117" s="17">
        <v>0</v>
      </c>
      <c r="F117" s="17">
        <v>0</v>
      </c>
      <c r="G117" s="17">
        <v>0</v>
      </c>
      <c r="H117" s="38">
        <v>0</v>
      </c>
      <c r="I117" s="17" t="str">
        <v/>
      </c>
      <c r="J117" s="17">
        <v>0</v>
      </c>
      <c r="K117" s="38">
        <v>0</v>
      </c>
      <c r="L117" s="17" t="str">
        <v/>
      </c>
      <c r="M117" s="17">
        <v>0</v>
      </c>
      <c r="N117" s="17">
        <v>0</v>
      </c>
      <c r="O117" s="17" t="str">
        <v/>
      </c>
      <c r="P117" s="17" t="str">
        <v/>
      </c>
      <c r="Q117" s="17">
        <v>0</v>
      </c>
      <c r="R117" s="17">
        <v>0</v>
      </c>
      <c r="S117" s="17">
        <v>0</v>
      </c>
      <c r="T117" s="22">
        <v>0</v>
      </c>
    </row>
    <row r="118" spans="2:20" x14ac:dyDescent="0.25">
      <c r="B118" s="21">
        <v>0</v>
      </c>
      <c r="C118" s="17">
        <v>0</v>
      </c>
      <c r="D118" s="17">
        <v>0</v>
      </c>
      <c r="E118" s="17">
        <v>0</v>
      </c>
      <c r="F118" s="17">
        <v>0</v>
      </c>
      <c r="G118" s="17">
        <v>0</v>
      </c>
      <c r="H118" s="38">
        <v>0</v>
      </c>
      <c r="I118" s="17" t="str">
        <v/>
      </c>
      <c r="J118" s="17">
        <v>0</v>
      </c>
      <c r="K118" s="38">
        <v>0</v>
      </c>
      <c r="L118" s="17" t="str">
        <v/>
      </c>
      <c r="M118" s="17">
        <v>0</v>
      </c>
      <c r="N118" s="17">
        <v>0</v>
      </c>
      <c r="O118" s="17" t="str">
        <v/>
      </c>
      <c r="P118" s="17" t="str">
        <v/>
      </c>
      <c r="Q118" s="17">
        <v>0</v>
      </c>
      <c r="R118" s="17">
        <v>0</v>
      </c>
      <c r="S118" s="17">
        <v>0</v>
      </c>
      <c r="T118" s="22">
        <v>0</v>
      </c>
    </row>
    <row r="119" spans="2:20" x14ac:dyDescent="0.25">
      <c r="B119" s="21">
        <v>0</v>
      </c>
      <c r="C119" s="17">
        <v>0</v>
      </c>
      <c r="D119" s="17">
        <v>0</v>
      </c>
      <c r="E119" s="17">
        <v>0</v>
      </c>
      <c r="F119" s="17">
        <v>0</v>
      </c>
      <c r="G119" s="17">
        <v>0</v>
      </c>
      <c r="H119" s="38">
        <v>0</v>
      </c>
      <c r="I119" s="17" t="str">
        <v/>
      </c>
      <c r="J119" s="17">
        <v>0</v>
      </c>
      <c r="K119" s="38">
        <v>0</v>
      </c>
      <c r="L119" s="17" t="str">
        <v/>
      </c>
      <c r="M119" s="17">
        <v>0</v>
      </c>
      <c r="N119" s="17">
        <v>0</v>
      </c>
      <c r="O119" s="17" t="str">
        <v/>
      </c>
      <c r="P119" s="17" t="str">
        <v/>
      </c>
      <c r="Q119" s="17">
        <v>0</v>
      </c>
      <c r="R119" s="17">
        <v>0</v>
      </c>
      <c r="S119" s="17">
        <v>0</v>
      </c>
      <c r="T119" s="22">
        <v>0</v>
      </c>
    </row>
    <row r="120" spans="2:20" x14ac:dyDescent="0.25">
      <c r="B120" s="21">
        <v>0</v>
      </c>
      <c r="C120" s="17">
        <v>0</v>
      </c>
      <c r="D120" s="17">
        <v>0</v>
      </c>
      <c r="E120" s="17">
        <v>0</v>
      </c>
      <c r="F120" s="17">
        <v>0</v>
      </c>
      <c r="G120" s="17">
        <v>0</v>
      </c>
      <c r="H120" s="38">
        <v>0</v>
      </c>
      <c r="I120" s="17" t="str">
        <v/>
      </c>
      <c r="J120" s="17">
        <v>0</v>
      </c>
      <c r="K120" s="38">
        <v>0</v>
      </c>
      <c r="L120" s="17" t="str">
        <v/>
      </c>
      <c r="M120" s="17">
        <v>0</v>
      </c>
      <c r="N120" s="17">
        <v>0</v>
      </c>
      <c r="O120" s="17" t="str">
        <v/>
      </c>
      <c r="P120" s="17" t="str">
        <v/>
      </c>
      <c r="Q120" s="17">
        <v>0</v>
      </c>
      <c r="R120" s="17">
        <v>0</v>
      </c>
      <c r="S120" s="17">
        <v>0</v>
      </c>
      <c r="T120" s="22">
        <v>0</v>
      </c>
    </row>
    <row r="121" spans="2:20" x14ac:dyDescent="0.25">
      <c r="B121" s="21">
        <v>0</v>
      </c>
      <c r="C121" s="17">
        <v>0</v>
      </c>
      <c r="D121" s="17">
        <v>0</v>
      </c>
      <c r="E121" s="17">
        <v>0</v>
      </c>
      <c r="F121" s="17">
        <v>0</v>
      </c>
      <c r="G121" s="17">
        <v>0</v>
      </c>
      <c r="H121" s="38">
        <v>0</v>
      </c>
      <c r="I121" s="17" t="str">
        <v/>
      </c>
      <c r="J121" s="17">
        <v>0</v>
      </c>
      <c r="K121" s="38">
        <v>0</v>
      </c>
      <c r="L121" s="17" t="str">
        <v/>
      </c>
      <c r="M121" s="17">
        <v>0</v>
      </c>
      <c r="N121" s="17">
        <v>0</v>
      </c>
      <c r="O121" s="17" t="str">
        <v/>
      </c>
      <c r="P121" s="17" t="str">
        <v/>
      </c>
      <c r="Q121" s="17">
        <v>0</v>
      </c>
      <c r="R121" s="17">
        <v>0</v>
      </c>
      <c r="S121" s="17">
        <v>0</v>
      </c>
      <c r="T121" s="22">
        <v>0</v>
      </c>
    </row>
    <row r="122" spans="2:20" x14ac:dyDescent="0.25">
      <c r="B122" s="21">
        <v>0</v>
      </c>
      <c r="C122" s="17">
        <v>0</v>
      </c>
      <c r="D122" s="17">
        <v>0</v>
      </c>
      <c r="E122" s="17">
        <v>0</v>
      </c>
      <c r="F122" s="17">
        <v>0</v>
      </c>
      <c r="G122" s="17">
        <v>0</v>
      </c>
      <c r="H122" s="38">
        <v>0</v>
      </c>
      <c r="I122" s="17" t="str">
        <v/>
      </c>
      <c r="J122" s="17">
        <v>0</v>
      </c>
      <c r="K122" s="38">
        <v>0</v>
      </c>
      <c r="L122" s="17" t="str">
        <v/>
      </c>
      <c r="M122" s="17">
        <v>0</v>
      </c>
      <c r="N122" s="17">
        <v>0</v>
      </c>
      <c r="O122" s="17" t="str">
        <v/>
      </c>
      <c r="P122" s="17" t="str">
        <v/>
      </c>
      <c r="Q122" s="17">
        <v>0</v>
      </c>
      <c r="R122" s="17">
        <v>0</v>
      </c>
      <c r="S122" s="17">
        <v>0</v>
      </c>
      <c r="T122" s="22">
        <v>0</v>
      </c>
    </row>
    <row r="123" spans="2:20" x14ac:dyDescent="0.25">
      <c r="B123" s="21">
        <v>0</v>
      </c>
      <c r="C123" s="17">
        <v>0</v>
      </c>
      <c r="D123" s="17">
        <v>0</v>
      </c>
      <c r="E123" s="17">
        <v>0</v>
      </c>
      <c r="F123" s="17">
        <v>0</v>
      </c>
      <c r="G123" s="17">
        <v>0</v>
      </c>
      <c r="H123" s="38">
        <v>0</v>
      </c>
      <c r="I123" s="17" t="str">
        <v/>
      </c>
      <c r="J123" s="17">
        <v>0</v>
      </c>
      <c r="K123" s="38">
        <v>0</v>
      </c>
      <c r="L123" s="17" t="str">
        <v/>
      </c>
      <c r="M123" s="17">
        <v>0</v>
      </c>
      <c r="N123" s="17">
        <v>0</v>
      </c>
      <c r="O123" s="17" t="str">
        <v/>
      </c>
      <c r="P123" s="17" t="str">
        <v/>
      </c>
      <c r="Q123" s="17">
        <v>0</v>
      </c>
      <c r="R123" s="17">
        <v>0</v>
      </c>
      <c r="S123" s="17">
        <v>0</v>
      </c>
      <c r="T123" s="22">
        <v>0</v>
      </c>
    </row>
    <row r="124" spans="2:20" x14ac:dyDescent="0.25">
      <c r="B124" s="21">
        <v>0</v>
      </c>
      <c r="C124" s="17">
        <v>0</v>
      </c>
      <c r="D124" s="17">
        <v>0</v>
      </c>
      <c r="E124" s="17">
        <v>0</v>
      </c>
      <c r="F124" s="17">
        <v>0</v>
      </c>
      <c r="G124" s="17">
        <v>0</v>
      </c>
      <c r="H124" s="38">
        <v>0</v>
      </c>
      <c r="I124" s="17" t="str">
        <v/>
      </c>
      <c r="J124" s="17">
        <v>0</v>
      </c>
      <c r="K124" s="38">
        <v>0</v>
      </c>
      <c r="L124" s="17" t="str">
        <v/>
      </c>
      <c r="M124" s="17">
        <v>0</v>
      </c>
      <c r="N124" s="17">
        <v>0</v>
      </c>
      <c r="O124" s="17" t="str">
        <v/>
      </c>
      <c r="P124" s="17" t="str">
        <v/>
      </c>
      <c r="Q124" s="17">
        <v>0</v>
      </c>
      <c r="R124" s="17">
        <v>0</v>
      </c>
      <c r="S124" s="17">
        <v>0</v>
      </c>
      <c r="T124" s="22">
        <v>0</v>
      </c>
    </row>
    <row r="125" spans="2:20" x14ac:dyDescent="0.25">
      <c r="B125" s="21">
        <v>0</v>
      </c>
      <c r="C125" s="17">
        <v>0</v>
      </c>
      <c r="D125" s="17">
        <v>0</v>
      </c>
      <c r="E125" s="17">
        <v>0</v>
      </c>
      <c r="F125" s="17">
        <v>0</v>
      </c>
      <c r="G125" s="17">
        <v>0</v>
      </c>
      <c r="H125" s="38">
        <v>0</v>
      </c>
      <c r="I125" s="17" t="str">
        <v/>
      </c>
      <c r="J125" s="17">
        <v>0</v>
      </c>
      <c r="K125" s="38">
        <v>0</v>
      </c>
      <c r="L125" s="17" t="str">
        <v/>
      </c>
      <c r="M125" s="17">
        <v>0</v>
      </c>
      <c r="N125" s="17">
        <v>0</v>
      </c>
      <c r="O125" s="17" t="str">
        <v/>
      </c>
      <c r="P125" s="17" t="str">
        <v/>
      </c>
      <c r="Q125" s="17">
        <v>0</v>
      </c>
      <c r="R125" s="17">
        <v>0</v>
      </c>
      <c r="S125" s="17">
        <v>0</v>
      </c>
      <c r="T125" s="22">
        <v>0</v>
      </c>
    </row>
    <row r="126" spans="2:20" x14ac:dyDescent="0.25">
      <c r="B126" s="21">
        <v>0</v>
      </c>
      <c r="C126" s="17">
        <v>0</v>
      </c>
      <c r="D126" s="17">
        <v>0</v>
      </c>
      <c r="E126" s="17">
        <v>0</v>
      </c>
      <c r="F126" s="17">
        <v>0</v>
      </c>
      <c r="G126" s="17">
        <v>0</v>
      </c>
      <c r="H126" s="38">
        <v>0</v>
      </c>
      <c r="I126" s="17" t="str">
        <v/>
      </c>
      <c r="J126" s="17">
        <v>0</v>
      </c>
      <c r="K126" s="38">
        <v>0</v>
      </c>
      <c r="L126" s="17" t="str">
        <v/>
      </c>
      <c r="M126" s="17">
        <v>0</v>
      </c>
      <c r="N126" s="17">
        <v>0</v>
      </c>
      <c r="O126" s="17" t="str">
        <v/>
      </c>
      <c r="P126" s="17" t="str">
        <v/>
      </c>
      <c r="Q126" s="17">
        <v>0</v>
      </c>
      <c r="R126" s="17">
        <v>0</v>
      </c>
      <c r="S126" s="17">
        <v>0</v>
      </c>
      <c r="T126" s="22">
        <v>0</v>
      </c>
    </row>
    <row r="127" spans="2:20" x14ac:dyDescent="0.25">
      <c r="B127" s="21">
        <v>0</v>
      </c>
      <c r="C127" s="17">
        <v>0</v>
      </c>
      <c r="D127" s="17">
        <v>0</v>
      </c>
      <c r="E127" s="17">
        <v>0</v>
      </c>
      <c r="F127" s="17">
        <v>0</v>
      </c>
      <c r="G127" s="17">
        <v>0</v>
      </c>
      <c r="H127" s="38">
        <v>0</v>
      </c>
      <c r="I127" s="17" t="str">
        <v/>
      </c>
      <c r="J127" s="17">
        <v>0</v>
      </c>
      <c r="K127" s="38">
        <v>0</v>
      </c>
      <c r="L127" s="17" t="str">
        <v/>
      </c>
      <c r="M127" s="17">
        <v>0</v>
      </c>
      <c r="N127" s="17">
        <v>0</v>
      </c>
      <c r="O127" s="17" t="str">
        <v/>
      </c>
      <c r="P127" s="17" t="str">
        <v/>
      </c>
      <c r="Q127" s="17">
        <v>0</v>
      </c>
      <c r="R127" s="17">
        <v>0</v>
      </c>
      <c r="S127" s="17">
        <v>0</v>
      </c>
      <c r="T127" s="22">
        <v>0</v>
      </c>
    </row>
    <row r="128" spans="2:20" x14ac:dyDescent="0.25">
      <c r="B128" s="21">
        <v>0</v>
      </c>
      <c r="C128" s="17">
        <v>0</v>
      </c>
      <c r="D128" s="17">
        <v>0</v>
      </c>
      <c r="E128" s="17">
        <v>0</v>
      </c>
      <c r="F128" s="17">
        <v>0</v>
      </c>
      <c r="G128" s="17">
        <v>0</v>
      </c>
      <c r="H128" s="38">
        <v>0</v>
      </c>
      <c r="I128" s="17" t="str">
        <v/>
      </c>
      <c r="J128" s="17">
        <v>0</v>
      </c>
      <c r="K128" s="38">
        <v>0</v>
      </c>
      <c r="L128" s="17" t="str">
        <v/>
      </c>
      <c r="M128" s="17">
        <v>0</v>
      </c>
      <c r="N128" s="17">
        <v>0</v>
      </c>
      <c r="O128" s="17" t="str">
        <v/>
      </c>
      <c r="P128" s="17" t="str">
        <v/>
      </c>
      <c r="Q128" s="17">
        <v>0</v>
      </c>
      <c r="R128" s="17">
        <v>0</v>
      </c>
      <c r="S128" s="17">
        <v>0</v>
      </c>
      <c r="T128" s="22">
        <v>0</v>
      </c>
    </row>
    <row r="129" spans="2:20" x14ac:dyDescent="0.25">
      <c r="B129" s="21">
        <v>0</v>
      </c>
      <c r="C129" s="17">
        <v>0</v>
      </c>
      <c r="D129" s="17">
        <v>0</v>
      </c>
      <c r="E129" s="17">
        <v>0</v>
      </c>
      <c r="F129" s="17">
        <v>0</v>
      </c>
      <c r="G129" s="17">
        <v>0</v>
      </c>
      <c r="H129" s="38">
        <v>0</v>
      </c>
      <c r="I129" s="17" t="str">
        <v/>
      </c>
      <c r="J129" s="17">
        <v>0</v>
      </c>
      <c r="K129" s="38">
        <v>0</v>
      </c>
      <c r="L129" s="17" t="str">
        <v/>
      </c>
      <c r="M129" s="17">
        <v>0</v>
      </c>
      <c r="N129" s="17">
        <v>0</v>
      </c>
      <c r="O129" s="17" t="str">
        <v/>
      </c>
      <c r="P129" s="17" t="str">
        <v/>
      </c>
      <c r="Q129" s="17">
        <v>0</v>
      </c>
      <c r="R129" s="17">
        <v>0</v>
      </c>
      <c r="S129" s="17">
        <v>0</v>
      </c>
      <c r="T129" s="22">
        <v>0</v>
      </c>
    </row>
    <row r="130" spans="2:20" x14ac:dyDescent="0.25">
      <c r="B130" s="21">
        <v>0</v>
      </c>
      <c r="C130" s="17">
        <v>0</v>
      </c>
      <c r="D130" s="17">
        <v>0</v>
      </c>
      <c r="E130" s="17">
        <v>0</v>
      </c>
      <c r="F130" s="17">
        <v>0</v>
      </c>
      <c r="G130" s="17">
        <v>0</v>
      </c>
      <c r="H130" s="38">
        <v>0</v>
      </c>
      <c r="I130" s="17" t="str">
        <v/>
      </c>
      <c r="J130" s="17">
        <v>0</v>
      </c>
      <c r="K130" s="38">
        <v>0</v>
      </c>
      <c r="L130" s="17" t="str">
        <v/>
      </c>
      <c r="M130" s="17">
        <v>0</v>
      </c>
      <c r="N130" s="17">
        <v>0</v>
      </c>
      <c r="O130" s="17" t="str">
        <v/>
      </c>
      <c r="P130" s="17" t="str">
        <v/>
      </c>
      <c r="Q130" s="17">
        <v>0</v>
      </c>
      <c r="R130" s="17">
        <v>0</v>
      </c>
      <c r="S130" s="17">
        <v>0</v>
      </c>
      <c r="T130" s="22">
        <v>0</v>
      </c>
    </row>
    <row r="131" spans="2:20" x14ac:dyDescent="0.25">
      <c r="B131" s="21">
        <v>0</v>
      </c>
      <c r="C131" s="17">
        <v>0</v>
      </c>
      <c r="D131" s="17">
        <v>0</v>
      </c>
      <c r="E131" s="17">
        <v>0</v>
      </c>
      <c r="F131" s="17">
        <v>0</v>
      </c>
      <c r="G131" s="17">
        <v>0</v>
      </c>
      <c r="H131" s="38">
        <v>0</v>
      </c>
      <c r="I131" s="17" t="str">
        <v/>
      </c>
      <c r="J131" s="17">
        <v>0</v>
      </c>
      <c r="K131" s="38">
        <v>0</v>
      </c>
      <c r="L131" s="17" t="str">
        <v/>
      </c>
      <c r="M131" s="17">
        <v>0</v>
      </c>
      <c r="N131" s="17">
        <v>0</v>
      </c>
      <c r="O131" s="17" t="str">
        <v/>
      </c>
      <c r="P131" s="17" t="str">
        <v/>
      </c>
      <c r="Q131" s="17">
        <v>0</v>
      </c>
      <c r="R131" s="17">
        <v>0</v>
      </c>
      <c r="S131" s="17">
        <v>0</v>
      </c>
      <c r="T131" s="22">
        <v>0</v>
      </c>
    </row>
    <row r="132" spans="2:20" x14ac:dyDescent="0.25">
      <c r="B132" s="21">
        <v>0</v>
      </c>
      <c r="C132" s="17">
        <v>0</v>
      </c>
      <c r="D132" s="17">
        <v>0</v>
      </c>
      <c r="E132" s="17">
        <v>0</v>
      </c>
      <c r="F132" s="17">
        <v>0</v>
      </c>
      <c r="G132" s="17">
        <v>0</v>
      </c>
      <c r="H132" s="38">
        <v>0</v>
      </c>
      <c r="I132" s="17" t="str">
        <v/>
      </c>
      <c r="J132" s="17">
        <v>0</v>
      </c>
      <c r="K132" s="38">
        <v>0</v>
      </c>
      <c r="L132" s="17" t="str">
        <v/>
      </c>
      <c r="M132" s="17">
        <v>0</v>
      </c>
      <c r="N132" s="17">
        <v>0</v>
      </c>
      <c r="O132" s="17" t="str">
        <v/>
      </c>
      <c r="P132" s="17" t="str">
        <v/>
      </c>
      <c r="Q132" s="17">
        <v>0</v>
      </c>
      <c r="R132" s="17">
        <v>0</v>
      </c>
      <c r="S132" s="17">
        <v>0</v>
      </c>
      <c r="T132" s="22">
        <v>0</v>
      </c>
    </row>
    <row r="133" spans="2:20" x14ac:dyDescent="0.25">
      <c r="B133" s="21">
        <v>0</v>
      </c>
      <c r="C133" s="17">
        <v>0</v>
      </c>
      <c r="D133" s="17">
        <v>0</v>
      </c>
      <c r="E133" s="17">
        <v>0</v>
      </c>
      <c r="F133" s="17">
        <v>0</v>
      </c>
      <c r="G133" s="17">
        <v>0</v>
      </c>
      <c r="H133" s="38">
        <v>0</v>
      </c>
      <c r="I133" s="17" t="str">
        <v/>
      </c>
      <c r="J133" s="17">
        <v>0</v>
      </c>
      <c r="K133" s="38">
        <v>0</v>
      </c>
      <c r="L133" s="17" t="str">
        <v/>
      </c>
      <c r="M133" s="17">
        <v>0</v>
      </c>
      <c r="N133" s="17">
        <v>0</v>
      </c>
      <c r="O133" s="17" t="str">
        <v/>
      </c>
      <c r="P133" s="17" t="str">
        <v/>
      </c>
      <c r="Q133" s="17">
        <v>0</v>
      </c>
      <c r="R133" s="17">
        <v>0</v>
      </c>
      <c r="S133" s="17">
        <v>0</v>
      </c>
      <c r="T133" s="22">
        <v>0</v>
      </c>
    </row>
    <row r="134" spans="2:20" x14ac:dyDescent="0.25">
      <c r="B134" s="21">
        <v>0</v>
      </c>
      <c r="C134" s="17">
        <v>0</v>
      </c>
      <c r="D134" s="17">
        <v>0</v>
      </c>
      <c r="E134" s="17">
        <v>0</v>
      </c>
      <c r="F134" s="17">
        <v>0</v>
      </c>
      <c r="G134" s="17">
        <v>0</v>
      </c>
      <c r="H134" s="38">
        <v>0</v>
      </c>
      <c r="I134" s="17" t="str">
        <v/>
      </c>
      <c r="J134" s="17">
        <v>0</v>
      </c>
      <c r="K134" s="38">
        <v>0</v>
      </c>
      <c r="L134" s="17" t="str">
        <v/>
      </c>
      <c r="M134" s="17">
        <v>0</v>
      </c>
      <c r="N134" s="17">
        <v>0</v>
      </c>
      <c r="O134" s="17" t="str">
        <v/>
      </c>
      <c r="P134" s="17" t="str">
        <v/>
      </c>
      <c r="Q134" s="17">
        <v>0</v>
      </c>
      <c r="R134" s="17">
        <v>0</v>
      </c>
      <c r="S134" s="17">
        <v>0</v>
      </c>
      <c r="T134" s="22">
        <v>0</v>
      </c>
    </row>
    <row r="135" spans="2:20" x14ac:dyDescent="0.25">
      <c r="B135" s="21">
        <v>0</v>
      </c>
      <c r="C135" s="17">
        <v>0</v>
      </c>
      <c r="D135" s="17">
        <v>0</v>
      </c>
      <c r="E135" s="17">
        <v>0</v>
      </c>
      <c r="F135" s="17">
        <v>0</v>
      </c>
      <c r="G135" s="17">
        <v>0</v>
      </c>
      <c r="H135" s="38">
        <v>0</v>
      </c>
      <c r="I135" s="17" t="str">
        <v/>
      </c>
      <c r="J135" s="17">
        <v>0</v>
      </c>
      <c r="K135" s="38">
        <v>0</v>
      </c>
      <c r="L135" s="17" t="str">
        <v/>
      </c>
      <c r="M135" s="17">
        <v>0</v>
      </c>
      <c r="N135" s="17">
        <v>0</v>
      </c>
      <c r="O135" s="17" t="str">
        <v/>
      </c>
      <c r="P135" s="17" t="str">
        <v/>
      </c>
      <c r="Q135" s="17">
        <v>0</v>
      </c>
      <c r="R135" s="17">
        <v>0</v>
      </c>
      <c r="S135" s="17">
        <v>0</v>
      </c>
      <c r="T135" s="22">
        <v>0</v>
      </c>
    </row>
    <row r="136" spans="2:20" x14ac:dyDescent="0.25">
      <c r="B136" s="21">
        <v>0</v>
      </c>
      <c r="C136" s="17">
        <v>0</v>
      </c>
      <c r="D136" s="17">
        <v>0</v>
      </c>
      <c r="E136" s="17">
        <v>0</v>
      </c>
      <c r="F136" s="17">
        <v>0</v>
      </c>
      <c r="G136" s="17">
        <v>0</v>
      </c>
      <c r="H136" s="38">
        <v>0</v>
      </c>
      <c r="I136" s="17" t="str">
        <v/>
      </c>
      <c r="J136" s="17">
        <v>0</v>
      </c>
      <c r="K136" s="38">
        <v>0</v>
      </c>
      <c r="L136" s="17" t="str">
        <v/>
      </c>
      <c r="M136" s="17">
        <v>0</v>
      </c>
      <c r="N136" s="17">
        <v>0</v>
      </c>
      <c r="O136" s="17" t="str">
        <v/>
      </c>
      <c r="P136" s="17" t="str">
        <v/>
      </c>
      <c r="Q136" s="17">
        <v>0</v>
      </c>
      <c r="R136" s="17">
        <v>0</v>
      </c>
      <c r="S136" s="17">
        <v>0</v>
      </c>
      <c r="T136" s="22">
        <v>0</v>
      </c>
    </row>
    <row r="137" spans="2:20" x14ac:dyDescent="0.25">
      <c r="B137" s="21">
        <v>0</v>
      </c>
      <c r="C137" s="17">
        <v>0</v>
      </c>
      <c r="D137" s="17">
        <v>0</v>
      </c>
      <c r="E137" s="17">
        <v>0</v>
      </c>
      <c r="F137" s="17">
        <v>0</v>
      </c>
      <c r="G137" s="17">
        <v>0</v>
      </c>
      <c r="H137" s="38">
        <v>0</v>
      </c>
      <c r="I137" s="17" t="str">
        <v/>
      </c>
      <c r="J137" s="17">
        <v>0</v>
      </c>
      <c r="K137" s="38">
        <v>0</v>
      </c>
      <c r="L137" s="17" t="str">
        <v/>
      </c>
      <c r="M137" s="17">
        <v>0</v>
      </c>
      <c r="N137" s="17">
        <v>0</v>
      </c>
      <c r="O137" s="17" t="str">
        <v/>
      </c>
      <c r="P137" s="17" t="str">
        <v/>
      </c>
      <c r="Q137" s="17">
        <v>0</v>
      </c>
      <c r="R137" s="17">
        <v>0</v>
      </c>
      <c r="S137" s="17">
        <v>0</v>
      </c>
      <c r="T137" s="22">
        <v>0</v>
      </c>
    </row>
    <row r="138" spans="2:20" x14ac:dyDescent="0.25">
      <c r="B138" s="21">
        <v>0</v>
      </c>
      <c r="C138" s="17">
        <v>0</v>
      </c>
      <c r="D138" s="17">
        <v>0</v>
      </c>
      <c r="E138" s="17">
        <v>0</v>
      </c>
      <c r="F138" s="17">
        <v>0</v>
      </c>
      <c r="G138" s="17">
        <v>0</v>
      </c>
      <c r="H138" s="38">
        <v>0</v>
      </c>
      <c r="I138" s="17" t="str">
        <v/>
      </c>
      <c r="J138" s="17">
        <v>0</v>
      </c>
      <c r="K138" s="38">
        <v>0</v>
      </c>
      <c r="L138" s="17" t="str">
        <v/>
      </c>
      <c r="M138" s="17">
        <v>0</v>
      </c>
      <c r="N138" s="17">
        <v>0</v>
      </c>
      <c r="O138" s="17" t="str">
        <v/>
      </c>
      <c r="P138" s="17" t="str">
        <v/>
      </c>
      <c r="Q138" s="17">
        <v>0</v>
      </c>
      <c r="R138" s="17">
        <v>0</v>
      </c>
      <c r="S138" s="17">
        <v>0</v>
      </c>
      <c r="T138" s="22">
        <v>0</v>
      </c>
    </row>
    <row r="139" spans="2:20" x14ac:dyDescent="0.25">
      <c r="B139" s="21">
        <v>0</v>
      </c>
      <c r="C139" s="17">
        <v>0</v>
      </c>
      <c r="D139" s="17">
        <v>0</v>
      </c>
      <c r="E139" s="17">
        <v>0</v>
      </c>
      <c r="F139" s="17">
        <v>0</v>
      </c>
      <c r="G139" s="17">
        <v>0</v>
      </c>
      <c r="H139" s="38">
        <v>0</v>
      </c>
      <c r="I139" s="17" t="str">
        <v/>
      </c>
      <c r="J139" s="17">
        <v>0</v>
      </c>
      <c r="K139" s="38">
        <v>0</v>
      </c>
      <c r="L139" s="17" t="str">
        <v/>
      </c>
      <c r="M139" s="17">
        <v>0</v>
      </c>
      <c r="N139" s="17">
        <v>0</v>
      </c>
      <c r="O139" s="17" t="str">
        <v/>
      </c>
      <c r="P139" s="17" t="str">
        <v/>
      </c>
      <c r="Q139" s="17">
        <v>0</v>
      </c>
      <c r="R139" s="17">
        <v>0</v>
      </c>
      <c r="S139" s="17">
        <v>0</v>
      </c>
      <c r="T139" s="22">
        <v>0</v>
      </c>
    </row>
    <row r="140" spans="2:20" x14ac:dyDescent="0.25">
      <c r="B140" s="21">
        <v>0</v>
      </c>
      <c r="C140" s="17">
        <v>0</v>
      </c>
      <c r="D140" s="17">
        <v>0</v>
      </c>
      <c r="E140" s="17">
        <v>0</v>
      </c>
      <c r="F140" s="17">
        <v>0</v>
      </c>
      <c r="G140" s="17">
        <v>0</v>
      </c>
      <c r="H140" s="38">
        <v>0</v>
      </c>
      <c r="I140" s="17" t="str">
        <v/>
      </c>
      <c r="J140" s="17">
        <v>0</v>
      </c>
      <c r="K140" s="38">
        <v>0</v>
      </c>
      <c r="L140" s="17" t="str">
        <v/>
      </c>
      <c r="M140" s="17">
        <v>0</v>
      </c>
      <c r="N140" s="17">
        <v>0</v>
      </c>
      <c r="O140" s="17" t="str">
        <v/>
      </c>
      <c r="P140" s="17" t="str">
        <v/>
      </c>
      <c r="Q140" s="17">
        <v>0</v>
      </c>
      <c r="R140" s="17">
        <v>0</v>
      </c>
      <c r="S140" s="17">
        <v>0</v>
      </c>
      <c r="T140" s="22">
        <v>0</v>
      </c>
    </row>
    <row r="141" spans="2:20" x14ac:dyDescent="0.25">
      <c r="B141" s="21">
        <v>0</v>
      </c>
      <c r="C141" s="17">
        <v>0</v>
      </c>
      <c r="D141" s="17">
        <v>0</v>
      </c>
      <c r="E141" s="17">
        <v>0</v>
      </c>
      <c r="F141" s="17">
        <v>0</v>
      </c>
      <c r="G141" s="17">
        <v>0</v>
      </c>
      <c r="H141" s="38">
        <v>0</v>
      </c>
      <c r="I141" s="17" t="str">
        <v/>
      </c>
      <c r="J141" s="17">
        <v>0</v>
      </c>
      <c r="K141" s="38">
        <v>0</v>
      </c>
      <c r="L141" s="17" t="str">
        <v/>
      </c>
      <c r="M141" s="17">
        <v>0</v>
      </c>
      <c r="N141" s="17">
        <v>0</v>
      </c>
      <c r="O141" s="17" t="str">
        <v/>
      </c>
      <c r="P141" s="17" t="str">
        <v/>
      </c>
      <c r="Q141" s="17">
        <v>0</v>
      </c>
      <c r="R141" s="17">
        <v>0</v>
      </c>
      <c r="S141" s="17">
        <v>0</v>
      </c>
      <c r="T141" s="22">
        <v>0</v>
      </c>
    </row>
    <row r="142" spans="2:20" x14ac:dyDescent="0.25">
      <c r="B142" s="21">
        <v>0</v>
      </c>
      <c r="C142" s="17">
        <v>0</v>
      </c>
      <c r="D142" s="17">
        <v>0</v>
      </c>
      <c r="E142" s="17">
        <v>0</v>
      </c>
      <c r="F142" s="17">
        <v>0</v>
      </c>
      <c r="G142" s="17">
        <v>0</v>
      </c>
      <c r="H142" s="38">
        <v>0</v>
      </c>
      <c r="I142" s="17" t="str">
        <v/>
      </c>
      <c r="J142" s="17">
        <v>0</v>
      </c>
      <c r="K142" s="38">
        <v>0</v>
      </c>
      <c r="L142" s="17" t="str">
        <v/>
      </c>
      <c r="M142" s="17">
        <v>0</v>
      </c>
      <c r="N142" s="17">
        <v>0</v>
      </c>
      <c r="O142" s="17" t="str">
        <v/>
      </c>
      <c r="P142" s="17" t="str">
        <v/>
      </c>
      <c r="Q142" s="17">
        <v>0</v>
      </c>
      <c r="R142" s="17">
        <v>0</v>
      </c>
      <c r="S142" s="17">
        <v>0</v>
      </c>
      <c r="T142" s="22">
        <v>0</v>
      </c>
    </row>
    <row r="143" spans="2:20" x14ac:dyDescent="0.25">
      <c r="B143" s="21">
        <v>0</v>
      </c>
      <c r="C143" s="17">
        <v>0</v>
      </c>
      <c r="D143" s="17">
        <v>0</v>
      </c>
      <c r="E143" s="17">
        <v>0</v>
      </c>
      <c r="F143" s="17">
        <v>0</v>
      </c>
      <c r="G143" s="17">
        <v>0</v>
      </c>
      <c r="H143" s="38">
        <v>0</v>
      </c>
      <c r="I143" s="17" t="str">
        <v/>
      </c>
      <c r="J143" s="17">
        <v>0</v>
      </c>
      <c r="K143" s="38">
        <v>0</v>
      </c>
      <c r="L143" s="17" t="str">
        <v/>
      </c>
      <c r="M143" s="17">
        <v>0</v>
      </c>
      <c r="N143" s="17">
        <v>0</v>
      </c>
      <c r="O143" s="17" t="str">
        <v/>
      </c>
      <c r="P143" s="17" t="str">
        <v/>
      </c>
      <c r="Q143" s="17">
        <v>0</v>
      </c>
      <c r="R143" s="17">
        <v>0</v>
      </c>
      <c r="S143" s="17">
        <v>0</v>
      </c>
      <c r="T143" s="22">
        <v>0</v>
      </c>
    </row>
    <row r="144" spans="2:20" x14ac:dyDescent="0.25">
      <c r="B144" s="21">
        <v>0</v>
      </c>
      <c r="C144" s="17">
        <v>0</v>
      </c>
      <c r="D144" s="17">
        <v>0</v>
      </c>
      <c r="E144" s="17">
        <v>0</v>
      </c>
      <c r="F144" s="17">
        <v>0</v>
      </c>
      <c r="G144" s="17">
        <v>0</v>
      </c>
      <c r="H144" s="38">
        <v>0</v>
      </c>
      <c r="I144" s="17" t="str">
        <v/>
      </c>
      <c r="J144" s="17">
        <v>0</v>
      </c>
      <c r="K144" s="38">
        <v>0</v>
      </c>
      <c r="L144" s="17" t="str">
        <v/>
      </c>
      <c r="M144" s="17">
        <v>0</v>
      </c>
      <c r="N144" s="17">
        <v>0</v>
      </c>
      <c r="O144" s="17" t="str">
        <v/>
      </c>
      <c r="P144" s="17" t="str">
        <v/>
      </c>
      <c r="Q144" s="17">
        <v>0</v>
      </c>
      <c r="R144" s="17">
        <v>0</v>
      </c>
      <c r="S144" s="17">
        <v>0</v>
      </c>
      <c r="T144" s="22">
        <v>0</v>
      </c>
    </row>
    <row r="145" spans="2:20" x14ac:dyDescent="0.25">
      <c r="B145" s="21">
        <v>0</v>
      </c>
      <c r="C145" s="17">
        <v>0</v>
      </c>
      <c r="D145" s="17">
        <v>0</v>
      </c>
      <c r="E145" s="17">
        <v>0</v>
      </c>
      <c r="F145" s="17">
        <v>0</v>
      </c>
      <c r="G145" s="17">
        <v>0</v>
      </c>
      <c r="H145" s="38">
        <v>0</v>
      </c>
      <c r="I145" s="17" t="str">
        <v/>
      </c>
      <c r="J145" s="17">
        <v>0</v>
      </c>
      <c r="K145" s="38">
        <v>0</v>
      </c>
      <c r="L145" s="17" t="str">
        <v/>
      </c>
      <c r="M145" s="17">
        <v>0</v>
      </c>
      <c r="N145" s="17">
        <v>0</v>
      </c>
      <c r="O145" s="17" t="str">
        <v/>
      </c>
      <c r="P145" s="17" t="str">
        <v/>
      </c>
      <c r="Q145" s="17">
        <v>0</v>
      </c>
      <c r="R145" s="17">
        <v>0</v>
      </c>
      <c r="S145" s="17">
        <v>0</v>
      </c>
      <c r="T145" s="22">
        <v>0</v>
      </c>
    </row>
    <row r="146" spans="2:20" x14ac:dyDescent="0.25">
      <c r="B146" s="21">
        <v>0</v>
      </c>
      <c r="C146" s="17">
        <v>0</v>
      </c>
      <c r="D146" s="17">
        <v>0</v>
      </c>
      <c r="E146" s="17">
        <v>0</v>
      </c>
      <c r="F146" s="17">
        <v>0</v>
      </c>
      <c r="G146" s="17">
        <v>0</v>
      </c>
      <c r="H146" s="38">
        <v>0</v>
      </c>
      <c r="I146" s="17" t="str">
        <v/>
      </c>
      <c r="J146" s="17">
        <v>0</v>
      </c>
      <c r="K146" s="38">
        <v>0</v>
      </c>
      <c r="L146" s="17" t="str">
        <v/>
      </c>
      <c r="M146" s="17">
        <v>0</v>
      </c>
      <c r="N146" s="17">
        <v>0</v>
      </c>
      <c r="O146" s="17" t="str">
        <v/>
      </c>
      <c r="P146" s="17" t="str">
        <v/>
      </c>
      <c r="Q146" s="17">
        <v>0</v>
      </c>
      <c r="R146" s="17">
        <v>0</v>
      </c>
      <c r="S146" s="17">
        <v>0</v>
      </c>
      <c r="T146" s="22">
        <v>0</v>
      </c>
    </row>
    <row r="147" spans="2:20" x14ac:dyDescent="0.25">
      <c r="B147" s="21">
        <v>0</v>
      </c>
      <c r="C147" s="17">
        <v>0</v>
      </c>
      <c r="D147" s="17">
        <v>0</v>
      </c>
      <c r="E147" s="17">
        <v>0</v>
      </c>
      <c r="F147" s="17">
        <v>0</v>
      </c>
      <c r="G147" s="17">
        <v>0</v>
      </c>
      <c r="H147" s="38">
        <v>0</v>
      </c>
      <c r="I147" s="17" t="str">
        <v/>
      </c>
      <c r="J147" s="17">
        <v>0</v>
      </c>
      <c r="K147" s="38">
        <v>0</v>
      </c>
      <c r="L147" s="17" t="str">
        <v/>
      </c>
      <c r="M147" s="17">
        <v>0</v>
      </c>
      <c r="N147" s="17">
        <v>0</v>
      </c>
      <c r="O147" s="17" t="str">
        <v/>
      </c>
      <c r="P147" s="17" t="str">
        <v/>
      </c>
      <c r="Q147" s="17">
        <v>0</v>
      </c>
      <c r="R147" s="17">
        <v>0</v>
      </c>
      <c r="S147" s="17">
        <v>0</v>
      </c>
      <c r="T147" s="22">
        <v>0</v>
      </c>
    </row>
    <row r="148" spans="2:20" x14ac:dyDescent="0.25">
      <c r="B148" s="21">
        <v>0</v>
      </c>
      <c r="C148" s="17">
        <v>0</v>
      </c>
      <c r="D148" s="17">
        <v>0</v>
      </c>
      <c r="E148" s="17">
        <v>0</v>
      </c>
      <c r="F148" s="17">
        <v>0</v>
      </c>
      <c r="G148" s="17">
        <v>0</v>
      </c>
      <c r="H148" s="38">
        <v>0</v>
      </c>
      <c r="I148" s="17" t="str">
        <v/>
      </c>
      <c r="J148" s="17">
        <v>0</v>
      </c>
      <c r="K148" s="38">
        <v>0</v>
      </c>
      <c r="L148" s="17" t="str">
        <v/>
      </c>
      <c r="M148" s="17">
        <v>0</v>
      </c>
      <c r="N148" s="17">
        <v>0</v>
      </c>
      <c r="O148" s="17" t="str">
        <v/>
      </c>
      <c r="P148" s="17" t="str">
        <v/>
      </c>
      <c r="Q148" s="17">
        <v>0</v>
      </c>
      <c r="R148" s="17">
        <v>0</v>
      </c>
      <c r="S148" s="17">
        <v>0</v>
      </c>
      <c r="T148" s="22">
        <v>0</v>
      </c>
    </row>
    <row r="149" spans="2:20" x14ac:dyDescent="0.25">
      <c r="B149" s="21">
        <v>0</v>
      </c>
      <c r="C149" s="17">
        <v>0</v>
      </c>
      <c r="D149" s="17">
        <v>0</v>
      </c>
      <c r="E149" s="17">
        <v>0</v>
      </c>
      <c r="F149" s="17">
        <v>0</v>
      </c>
      <c r="G149" s="17">
        <v>0</v>
      </c>
      <c r="H149" s="38">
        <v>0</v>
      </c>
      <c r="I149" s="17" t="str">
        <v/>
      </c>
      <c r="J149" s="17">
        <v>0</v>
      </c>
      <c r="K149" s="38">
        <v>0</v>
      </c>
      <c r="L149" s="17" t="str">
        <v/>
      </c>
      <c r="M149" s="17">
        <v>0</v>
      </c>
      <c r="N149" s="17">
        <v>0</v>
      </c>
      <c r="O149" s="17" t="str">
        <v/>
      </c>
      <c r="P149" s="17" t="str">
        <v/>
      </c>
      <c r="Q149" s="17">
        <v>0</v>
      </c>
      <c r="R149" s="17">
        <v>0</v>
      </c>
      <c r="S149" s="17">
        <v>0</v>
      </c>
      <c r="T149" s="22">
        <v>0</v>
      </c>
    </row>
    <row r="150" spans="2:20" x14ac:dyDescent="0.25">
      <c r="B150" s="21">
        <v>0</v>
      </c>
      <c r="C150" s="17">
        <v>0</v>
      </c>
      <c r="D150" s="17">
        <v>0</v>
      </c>
      <c r="E150" s="17">
        <v>0</v>
      </c>
      <c r="F150" s="17">
        <v>0</v>
      </c>
      <c r="G150" s="17">
        <v>0</v>
      </c>
      <c r="H150" s="38">
        <v>0</v>
      </c>
      <c r="I150" s="17" t="str">
        <v/>
      </c>
      <c r="J150" s="17">
        <v>0</v>
      </c>
      <c r="K150" s="38">
        <v>0</v>
      </c>
      <c r="L150" s="17" t="str">
        <v/>
      </c>
      <c r="M150" s="17">
        <v>0</v>
      </c>
      <c r="N150" s="17">
        <v>0</v>
      </c>
      <c r="O150" s="17" t="str">
        <v/>
      </c>
      <c r="P150" s="17" t="str">
        <v/>
      </c>
      <c r="Q150" s="17">
        <v>0</v>
      </c>
      <c r="R150" s="17">
        <v>0</v>
      </c>
      <c r="S150" s="17">
        <v>0</v>
      </c>
      <c r="T150" s="22">
        <v>0</v>
      </c>
    </row>
    <row r="151" spans="2:20" x14ac:dyDescent="0.25">
      <c r="B151" s="21">
        <v>0</v>
      </c>
      <c r="C151" s="17">
        <v>0</v>
      </c>
      <c r="D151" s="17">
        <v>0</v>
      </c>
      <c r="E151" s="17">
        <v>0</v>
      </c>
      <c r="F151" s="17">
        <v>0</v>
      </c>
      <c r="G151" s="17">
        <v>0</v>
      </c>
      <c r="H151" s="38">
        <v>0</v>
      </c>
      <c r="I151" s="17" t="str">
        <v/>
      </c>
      <c r="J151" s="17">
        <v>0</v>
      </c>
      <c r="K151" s="38">
        <v>0</v>
      </c>
      <c r="L151" s="17" t="str">
        <v/>
      </c>
      <c r="M151" s="17">
        <v>0</v>
      </c>
      <c r="N151" s="17">
        <v>0</v>
      </c>
      <c r="O151" s="17" t="str">
        <v/>
      </c>
      <c r="P151" s="17" t="str">
        <v/>
      </c>
      <c r="Q151" s="17">
        <v>0</v>
      </c>
      <c r="R151" s="17">
        <v>0</v>
      </c>
      <c r="S151" s="17">
        <v>0</v>
      </c>
      <c r="T151" s="22">
        <v>0</v>
      </c>
    </row>
    <row r="152" spans="2:20" x14ac:dyDescent="0.25">
      <c r="B152" s="21">
        <v>0</v>
      </c>
      <c r="C152" s="17">
        <v>0</v>
      </c>
      <c r="D152" s="17">
        <v>0</v>
      </c>
      <c r="E152" s="17">
        <v>0</v>
      </c>
      <c r="F152" s="17">
        <v>0</v>
      </c>
      <c r="G152" s="17">
        <v>0</v>
      </c>
      <c r="H152" s="38">
        <v>0</v>
      </c>
      <c r="I152" s="17" t="str">
        <v/>
      </c>
      <c r="J152" s="17">
        <v>0</v>
      </c>
      <c r="K152" s="38">
        <v>0</v>
      </c>
      <c r="L152" s="17" t="str">
        <v/>
      </c>
      <c r="M152" s="17">
        <v>0</v>
      </c>
      <c r="N152" s="17">
        <v>0</v>
      </c>
      <c r="O152" s="17" t="str">
        <v/>
      </c>
      <c r="P152" s="17" t="str">
        <v/>
      </c>
      <c r="Q152" s="17">
        <v>0</v>
      </c>
      <c r="R152" s="17">
        <v>0</v>
      </c>
      <c r="S152" s="17">
        <v>0</v>
      </c>
      <c r="T152" s="22">
        <v>0</v>
      </c>
    </row>
    <row r="153" spans="2:20" x14ac:dyDescent="0.25">
      <c r="B153" s="21">
        <v>0</v>
      </c>
      <c r="C153" s="17">
        <v>0</v>
      </c>
      <c r="D153" s="17">
        <v>0</v>
      </c>
      <c r="E153" s="17">
        <v>0</v>
      </c>
      <c r="F153" s="17">
        <v>0</v>
      </c>
      <c r="G153" s="17">
        <v>0</v>
      </c>
      <c r="H153" s="38">
        <v>0</v>
      </c>
      <c r="I153" s="17" t="str">
        <v/>
      </c>
      <c r="J153" s="17">
        <v>0</v>
      </c>
      <c r="K153" s="38">
        <v>0</v>
      </c>
      <c r="L153" s="17" t="str">
        <v/>
      </c>
      <c r="M153" s="17">
        <v>0</v>
      </c>
      <c r="N153" s="17">
        <v>0</v>
      </c>
      <c r="O153" s="17" t="str">
        <v/>
      </c>
      <c r="P153" s="17" t="str">
        <v/>
      </c>
      <c r="Q153" s="17">
        <v>0</v>
      </c>
      <c r="R153" s="17">
        <v>0</v>
      </c>
      <c r="S153" s="17">
        <v>0</v>
      </c>
      <c r="T153" s="22">
        <v>0</v>
      </c>
    </row>
    <row r="154" spans="2:20" x14ac:dyDescent="0.25">
      <c r="B154" s="21">
        <v>0</v>
      </c>
      <c r="C154" s="17">
        <v>0</v>
      </c>
      <c r="D154" s="17">
        <v>0</v>
      </c>
      <c r="E154" s="17">
        <v>0</v>
      </c>
      <c r="F154" s="17">
        <v>0</v>
      </c>
      <c r="G154" s="17">
        <v>0</v>
      </c>
      <c r="H154" s="38">
        <v>0</v>
      </c>
      <c r="I154" s="17" t="str">
        <v/>
      </c>
      <c r="J154" s="17">
        <v>0</v>
      </c>
      <c r="K154" s="38">
        <v>0</v>
      </c>
      <c r="L154" s="17" t="str">
        <v/>
      </c>
      <c r="M154" s="17">
        <v>0</v>
      </c>
      <c r="N154" s="17">
        <v>0</v>
      </c>
      <c r="O154" s="17" t="str">
        <v/>
      </c>
      <c r="P154" s="17" t="str">
        <v/>
      </c>
      <c r="Q154" s="17">
        <v>0</v>
      </c>
      <c r="R154" s="17">
        <v>0</v>
      </c>
      <c r="S154" s="17">
        <v>0</v>
      </c>
      <c r="T154" s="22">
        <v>0</v>
      </c>
    </row>
    <row r="155" spans="2:20" x14ac:dyDescent="0.25">
      <c r="B155" s="21">
        <v>0</v>
      </c>
      <c r="C155" s="17">
        <v>0</v>
      </c>
      <c r="D155" s="17">
        <v>0</v>
      </c>
      <c r="E155" s="17">
        <v>0</v>
      </c>
      <c r="F155" s="17">
        <v>0</v>
      </c>
      <c r="G155" s="17">
        <v>0</v>
      </c>
      <c r="H155" s="38">
        <v>0</v>
      </c>
      <c r="I155" s="17" t="str">
        <v/>
      </c>
      <c r="J155" s="17">
        <v>0</v>
      </c>
      <c r="K155" s="38">
        <v>0</v>
      </c>
      <c r="L155" s="17" t="str">
        <v/>
      </c>
      <c r="M155" s="17">
        <v>0</v>
      </c>
      <c r="N155" s="17">
        <v>0</v>
      </c>
      <c r="O155" s="17" t="str">
        <v/>
      </c>
      <c r="P155" s="17" t="str">
        <v/>
      </c>
      <c r="Q155" s="17">
        <v>0</v>
      </c>
      <c r="R155" s="17">
        <v>0</v>
      </c>
      <c r="S155" s="17">
        <v>0</v>
      </c>
      <c r="T155" s="22">
        <v>0</v>
      </c>
    </row>
    <row r="156" spans="2:20" x14ac:dyDescent="0.25">
      <c r="B156" s="21">
        <v>0</v>
      </c>
      <c r="C156" s="17">
        <v>0</v>
      </c>
      <c r="D156" s="17">
        <v>0</v>
      </c>
      <c r="E156" s="17">
        <v>0</v>
      </c>
      <c r="F156" s="17">
        <v>0</v>
      </c>
      <c r="G156" s="17">
        <v>0</v>
      </c>
      <c r="H156" s="38">
        <v>0</v>
      </c>
      <c r="I156" s="17" t="str">
        <v/>
      </c>
      <c r="J156" s="17">
        <v>0</v>
      </c>
      <c r="K156" s="38">
        <v>0</v>
      </c>
      <c r="L156" s="17" t="str">
        <v/>
      </c>
      <c r="M156" s="17">
        <v>0</v>
      </c>
      <c r="N156" s="17">
        <v>0</v>
      </c>
      <c r="O156" s="17" t="str">
        <v/>
      </c>
      <c r="P156" s="17" t="str">
        <v/>
      </c>
      <c r="Q156" s="17">
        <v>0</v>
      </c>
      <c r="R156" s="17">
        <v>0</v>
      </c>
      <c r="S156" s="17">
        <v>0</v>
      </c>
      <c r="T156" s="22">
        <v>0</v>
      </c>
    </row>
    <row r="157" spans="2:20" x14ac:dyDescent="0.25">
      <c r="B157" s="21">
        <v>0</v>
      </c>
      <c r="C157" s="17">
        <v>0</v>
      </c>
      <c r="D157" s="17">
        <v>0</v>
      </c>
      <c r="E157" s="17">
        <v>0</v>
      </c>
      <c r="F157" s="17">
        <v>0</v>
      </c>
      <c r="G157" s="17">
        <v>0</v>
      </c>
      <c r="H157" s="38">
        <v>0</v>
      </c>
      <c r="I157" s="17" t="str">
        <v/>
      </c>
      <c r="J157" s="17">
        <v>0</v>
      </c>
      <c r="K157" s="38">
        <v>0</v>
      </c>
      <c r="L157" s="17" t="str">
        <v/>
      </c>
      <c r="M157" s="17">
        <v>0</v>
      </c>
      <c r="N157" s="17">
        <v>0</v>
      </c>
      <c r="O157" s="17" t="str">
        <v/>
      </c>
      <c r="P157" s="17" t="str">
        <v/>
      </c>
      <c r="Q157" s="17">
        <v>0</v>
      </c>
      <c r="R157" s="17">
        <v>0</v>
      </c>
      <c r="S157" s="17">
        <v>0</v>
      </c>
      <c r="T157" s="22">
        <v>0</v>
      </c>
    </row>
    <row r="158" spans="2:20" x14ac:dyDescent="0.25">
      <c r="B158" s="21">
        <v>0</v>
      </c>
      <c r="C158" s="17">
        <v>0</v>
      </c>
      <c r="D158" s="17">
        <v>0</v>
      </c>
      <c r="E158" s="17">
        <v>0</v>
      </c>
      <c r="F158" s="17">
        <v>0</v>
      </c>
      <c r="G158" s="17">
        <v>0</v>
      </c>
      <c r="H158" s="38">
        <v>0</v>
      </c>
      <c r="I158" s="17" t="str">
        <v/>
      </c>
      <c r="J158" s="17">
        <v>0</v>
      </c>
      <c r="K158" s="38">
        <v>0</v>
      </c>
      <c r="L158" s="17" t="str">
        <v/>
      </c>
      <c r="M158" s="17">
        <v>0</v>
      </c>
      <c r="N158" s="17">
        <v>0</v>
      </c>
      <c r="O158" s="17" t="str">
        <v/>
      </c>
      <c r="P158" s="17" t="str">
        <v/>
      </c>
      <c r="Q158" s="17">
        <v>0</v>
      </c>
      <c r="R158" s="17">
        <v>0</v>
      </c>
      <c r="S158" s="17">
        <v>0</v>
      </c>
      <c r="T158" s="22">
        <v>0</v>
      </c>
    </row>
    <row r="159" spans="2:20" x14ac:dyDescent="0.25">
      <c r="B159" s="21">
        <v>0</v>
      </c>
      <c r="C159" s="17">
        <v>0</v>
      </c>
      <c r="D159" s="17">
        <v>0</v>
      </c>
      <c r="E159" s="17">
        <v>0</v>
      </c>
      <c r="F159" s="17">
        <v>0</v>
      </c>
      <c r="G159" s="17">
        <v>0</v>
      </c>
      <c r="H159" s="38">
        <v>0</v>
      </c>
      <c r="I159" s="17" t="str">
        <v/>
      </c>
      <c r="J159" s="17">
        <v>0</v>
      </c>
      <c r="K159" s="38">
        <v>0</v>
      </c>
      <c r="L159" s="17" t="str">
        <v/>
      </c>
      <c r="M159" s="17">
        <v>0</v>
      </c>
      <c r="N159" s="17">
        <v>0</v>
      </c>
      <c r="O159" s="17" t="str">
        <v/>
      </c>
      <c r="P159" s="17" t="str">
        <v/>
      </c>
      <c r="Q159" s="17">
        <v>0</v>
      </c>
      <c r="R159" s="17">
        <v>0</v>
      </c>
      <c r="S159" s="17">
        <v>0</v>
      </c>
      <c r="T159" s="22">
        <v>0</v>
      </c>
    </row>
    <row r="160" spans="2:20" x14ac:dyDescent="0.25">
      <c r="B160" s="21">
        <v>0</v>
      </c>
      <c r="C160" s="17">
        <v>0</v>
      </c>
      <c r="D160" s="17">
        <v>0</v>
      </c>
      <c r="E160" s="17">
        <v>0</v>
      </c>
      <c r="F160" s="17">
        <v>0</v>
      </c>
      <c r="G160" s="17">
        <v>0</v>
      </c>
      <c r="H160" s="38">
        <v>0</v>
      </c>
      <c r="I160" s="17" t="str">
        <v/>
      </c>
      <c r="J160" s="17">
        <v>0</v>
      </c>
      <c r="K160" s="38">
        <v>0</v>
      </c>
      <c r="L160" s="17" t="str">
        <v/>
      </c>
      <c r="M160" s="17">
        <v>0</v>
      </c>
      <c r="N160" s="17">
        <v>0</v>
      </c>
      <c r="O160" s="17" t="str">
        <v/>
      </c>
      <c r="P160" s="17" t="str">
        <v/>
      </c>
      <c r="Q160" s="17">
        <v>0</v>
      </c>
      <c r="R160" s="17">
        <v>0</v>
      </c>
      <c r="S160" s="17">
        <v>0</v>
      </c>
      <c r="T160" s="22">
        <v>0</v>
      </c>
    </row>
    <row r="161" spans="2:20" x14ac:dyDescent="0.25">
      <c r="B161" s="21">
        <v>0</v>
      </c>
      <c r="C161" s="17">
        <v>0</v>
      </c>
      <c r="D161" s="17">
        <v>0</v>
      </c>
      <c r="E161" s="17">
        <v>0</v>
      </c>
      <c r="F161" s="17">
        <v>0</v>
      </c>
      <c r="G161" s="17">
        <v>0</v>
      </c>
      <c r="H161" s="38">
        <v>0</v>
      </c>
      <c r="I161" s="17" t="str">
        <v/>
      </c>
      <c r="J161" s="17">
        <v>0</v>
      </c>
      <c r="K161" s="38">
        <v>0</v>
      </c>
      <c r="L161" s="17" t="str">
        <v/>
      </c>
      <c r="M161" s="17">
        <v>0</v>
      </c>
      <c r="N161" s="17">
        <v>0</v>
      </c>
      <c r="O161" s="17" t="str">
        <v/>
      </c>
      <c r="P161" s="17" t="str">
        <v/>
      </c>
      <c r="Q161" s="17">
        <v>0</v>
      </c>
      <c r="R161" s="17">
        <v>0</v>
      </c>
      <c r="S161" s="17">
        <v>0</v>
      </c>
      <c r="T161" s="22">
        <v>0</v>
      </c>
    </row>
    <row r="162" spans="2:20" x14ac:dyDescent="0.25">
      <c r="B162" s="21">
        <v>0</v>
      </c>
      <c r="C162" s="17">
        <v>0</v>
      </c>
      <c r="D162" s="17">
        <v>0</v>
      </c>
      <c r="E162" s="17">
        <v>0</v>
      </c>
      <c r="F162" s="17">
        <v>0</v>
      </c>
      <c r="G162" s="17">
        <v>0</v>
      </c>
      <c r="H162" s="38">
        <v>0</v>
      </c>
      <c r="I162" s="17" t="str">
        <v/>
      </c>
      <c r="J162" s="17">
        <v>0</v>
      </c>
      <c r="K162" s="38">
        <v>0</v>
      </c>
      <c r="L162" s="17" t="str">
        <v/>
      </c>
      <c r="M162" s="17">
        <v>0</v>
      </c>
      <c r="N162" s="17">
        <v>0</v>
      </c>
      <c r="O162" s="17" t="str">
        <v/>
      </c>
      <c r="P162" s="17" t="str">
        <v/>
      </c>
      <c r="Q162" s="17">
        <v>0</v>
      </c>
      <c r="R162" s="17">
        <v>0</v>
      </c>
      <c r="S162" s="17">
        <v>0</v>
      </c>
      <c r="T162" s="22">
        <v>0</v>
      </c>
    </row>
    <row r="163" spans="2:20" x14ac:dyDescent="0.25">
      <c r="B163" s="21">
        <v>0</v>
      </c>
      <c r="C163" s="17">
        <v>0</v>
      </c>
      <c r="D163" s="17">
        <v>0</v>
      </c>
      <c r="E163" s="17">
        <v>0</v>
      </c>
      <c r="F163" s="17">
        <v>0</v>
      </c>
      <c r="G163" s="17">
        <v>0</v>
      </c>
      <c r="H163" s="38">
        <v>0</v>
      </c>
      <c r="I163" s="17" t="str">
        <v/>
      </c>
      <c r="J163" s="17">
        <v>0</v>
      </c>
      <c r="K163" s="38">
        <v>0</v>
      </c>
      <c r="L163" s="17" t="str">
        <v/>
      </c>
      <c r="M163" s="17">
        <v>0</v>
      </c>
      <c r="N163" s="17">
        <v>0</v>
      </c>
      <c r="O163" s="17" t="str">
        <v/>
      </c>
      <c r="P163" s="17" t="str">
        <v/>
      </c>
      <c r="Q163" s="17">
        <v>0</v>
      </c>
      <c r="R163" s="17">
        <v>0</v>
      </c>
      <c r="S163" s="17">
        <v>0</v>
      </c>
      <c r="T163" s="22">
        <v>0</v>
      </c>
    </row>
    <row r="164" spans="2:20" x14ac:dyDescent="0.25">
      <c r="B164" s="21">
        <v>0</v>
      </c>
      <c r="C164" s="17">
        <v>0</v>
      </c>
      <c r="D164" s="17">
        <v>0</v>
      </c>
      <c r="E164" s="17">
        <v>0</v>
      </c>
      <c r="F164" s="17">
        <v>0</v>
      </c>
      <c r="G164" s="17">
        <v>0</v>
      </c>
      <c r="H164" s="38">
        <v>0</v>
      </c>
      <c r="I164" s="17" t="str">
        <v/>
      </c>
      <c r="J164" s="17">
        <v>0</v>
      </c>
      <c r="K164" s="38">
        <v>0</v>
      </c>
      <c r="L164" s="17" t="str">
        <v/>
      </c>
      <c r="M164" s="17">
        <v>0</v>
      </c>
      <c r="N164" s="17">
        <v>0</v>
      </c>
      <c r="O164" s="17" t="str">
        <v/>
      </c>
      <c r="P164" s="17" t="str">
        <v/>
      </c>
      <c r="Q164" s="17">
        <v>0</v>
      </c>
      <c r="R164" s="17">
        <v>0</v>
      </c>
      <c r="S164" s="17">
        <v>0</v>
      </c>
      <c r="T164" s="22">
        <v>0</v>
      </c>
    </row>
    <row r="165" spans="2:20" x14ac:dyDescent="0.25">
      <c r="B165" s="21">
        <v>0</v>
      </c>
      <c r="C165" s="17">
        <v>0</v>
      </c>
      <c r="D165" s="17">
        <v>0</v>
      </c>
      <c r="E165" s="17">
        <v>0</v>
      </c>
      <c r="F165" s="17">
        <v>0</v>
      </c>
      <c r="G165" s="17">
        <v>0</v>
      </c>
      <c r="H165" s="38">
        <v>0</v>
      </c>
      <c r="I165" s="17" t="str">
        <v/>
      </c>
      <c r="J165" s="17">
        <v>0</v>
      </c>
      <c r="K165" s="38">
        <v>0</v>
      </c>
      <c r="L165" s="17" t="str">
        <v/>
      </c>
      <c r="M165" s="17">
        <v>0</v>
      </c>
      <c r="N165" s="17">
        <v>0</v>
      </c>
      <c r="O165" s="17" t="str">
        <v/>
      </c>
      <c r="P165" s="17" t="str">
        <v/>
      </c>
      <c r="Q165" s="17">
        <v>0</v>
      </c>
      <c r="R165" s="17">
        <v>0</v>
      </c>
      <c r="S165" s="17">
        <v>0</v>
      </c>
      <c r="T165" s="22">
        <v>0</v>
      </c>
    </row>
    <row r="166" spans="2:20" x14ac:dyDescent="0.25">
      <c r="B166" s="21">
        <v>0</v>
      </c>
      <c r="C166" s="17">
        <v>0</v>
      </c>
      <c r="D166" s="17">
        <v>0</v>
      </c>
      <c r="E166" s="17">
        <v>0</v>
      </c>
      <c r="F166" s="17">
        <v>0</v>
      </c>
      <c r="G166" s="17">
        <v>0</v>
      </c>
      <c r="H166" s="38">
        <v>0</v>
      </c>
      <c r="I166" s="17" t="str">
        <v/>
      </c>
      <c r="J166" s="17">
        <v>0</v>
      </c>
      <c r="K166" s="38">
        <v>0</v>
      </c>
      <c r="L166" s="17" t="str">
        <v/>
      </c>
      <c r="M166" s="17">
        <v>0</v>
      </c>
      <c r="N166" s="17">
        <v>0</v>
      </c>
      <c r="O166" s="17" t="str">
        <v/>
      </c>
      <c r="P166" s="17" t="str">
        <v/>
      </c>
      <c r="Q166" s="17">
        <v>0</v>
      </c>
      <c r="R166" s="17">
        <v>0</v>
      </c>
      <c r="S166" s="17">
        <v>0</v>
      </c>
      <c r="T166" s="22">
        <v>0</v>
      </c>
    </row>
    <row r="167" spans="2:20" x14ac:dyDescent="0.25">
      <c r="B167" s="21">
        <v>0</v>
      </c>
      <c r="C167" s="17">
        <v>0</v>
      </c>
      <c r="D167" s="17">
        <v>0</v>
      </c>
      <c r="E167" s="17">
        <v>0</v>
      </c>
      <c r="F167" s="17">
        <v>0</v>
      </c>
      <c r="G167" s="17">
        <v>0</v>
      </c>
      <c r="H167" s="38">
        <v>0</v>
      </c>
      <c r="I167" s="17" t="str">
        <v/>
      </c>
      <c r="J167" s="17">
        <v>0</v>
      </c>
      <c r="K167" s="38">
        <v>0</v>
      </c>
      <c r="L167" s="17" t="str">
        <v/>
      </c>
      <c r="M167" s="17">
        <v>0</v>
      </c>
      <c r="N167" s="17">
        <v>0</v>
      </c>
      <c r="O167" s="17" t="str">
        <v/>
      </c>
      <c r="P167" s="17" t="str">
        <v/>
      </c>
      <c r="Q167" s="17">
        <v>0</v>
      </c>
      <c r="R167" s="17">
        <v>0</v>
      </c>
      <c r="S167" s="17">
        <v>0</v>
      </c>
      <c r="T167" s="22">
        <v>0</v>
      </c>
    </row>
    <row r="168" spans="2:20" x14ac:dyDescent="0.25">
      <c r="B168" s="21">
        <v>0</v>
      </c>
      <c r="C168" s="17">
        <v>0</v>
      </c>
      <c r="D168" s="17">
        <v>0</v>
      </c>
      <c r="E168" s="17">
        <v>0</v>
      </c>
      <c r="F168" s="17">
        <v>0</v>
      </c>
      <c r="G168" s="17">
        <v>0</v>
      </c>
      <c r="H168" s="38">
        <v>0</v>
      </c>
      <c r="I168" s="17" t="str">
        <v/>
      </c>
      <c r="J168" s="17">
        <v>0</v>
      </c>
      <c r="K168" s="38">
        <v>0</v>
      </c>
      <c r="L168" s="17" t="str">
        <v/>
      </c>
      <c r="M168" s="17">
        <v>0</v>
      </c>
      <c r="N168" s="17">
        <v>0</v>
      </c>
      <c r="O168" s="17" t="str">
        <v/>
      </c>
      <c r="P168" s="17" t="str">
        <v/>
      </c>
      <c r="Q168" s="17">
        <v>0</v>
      </c>
      <c r="R168" s="17">
        <v>0</v>
      </c>
      <c r="S168" s="17">
        <v>0</v>
      </c>
      <c r="T168" s="22">
        <v>0</v>
      </c>
    </row>
    <row r="169" spans="2:20" x14ac:dyDescent="0.25">
      <c r="B169" s="21">
        <v>0</v>
      </c>
      <c r="C169" s="17">
        <v>0</v>
      </c>
      <c r="D169" s="17">
        <v>0</v>
      </c>
      <c r="E169" s="17">
        <v>0</v>
      </c>
      <c r="F169" s="17">
        <v>0</v>
      </c>
      <c r="G169" s="17">
        <v>0</v>
      </c>
      <c r="H169" s="38">
        <v>0</v>
      </c>
      <c r="I169" s="17" t="str">
        <v/>
      </c>
      <c r="J169" s="17">
        <v>0</v>
      </c>
      <c r="K169" s="38">
        <v>0</v>
      </c>
      <c r="L169" s="17" t="str">
        <v/>
      </c>
      <c r="M169" s="17">
        <v>0</v>
      </c>
      <c r="N169" s="17">
        <v>0</v>
      </c>
      <c r="O169" s="17" t="str">
        <v/>
      </c>
      <c r="P169" s="17" t="str">
        <v/>
      </c>
      <c r="Q169" s="17">
        <v>0</v>
      </c>
      <c r="R169" s="17">
        <v>0</v>
      </c>
      <c r="S169" s="17">
        <v>0</v>
      </c>
      <c r="T169" s="22">
        <v>0</v>
      </c>
    </row>
    <row r="170" spans="2:20" x14ac:dyDescent="0.25">
      <c r="B170" s="21">
        <v>0</v>
      </c>
      <c r="C170" s="17">
        <v>0</v>
      </c>
      <c r="D170" s="17">
        <v>0</v>
      </c>
      <c r="E170" s="17">
        <v>0</v>
      </c>
      <c r="F170" s="17">
        <v>0</v>
      </c>
      <c r="G170" s="17">
        <v>0</v>
      </c>
      <c r="H170" s="38">
        <v>0</v>
      </c>
      <c r="I170" s="17" t="str">
        <v/>
      </c>
      <c r="J170" s="17">
        <v>0</v>
      </c>
      <c r="K170" s="38">
        <v>0</v>
      </c>
      <c r="L170" s="17" t="str">
        <v/>
      </c>
      <c r="M170" s="17">
        <v>0</v>
      </c>
      <c r="N170" s="17">
        <v>0</v>
      </c>
      <c r="O170" s="17" t="str">
        <v/>
      </c>
      <c r="P170" s="17" t="str">
        <v/>
      </c>
      <c r="Q170" s="17">
        <v>0</v>
      </c>
      <c r="R170" s="17">
        <v>0</v>
      </c>
      <c r="S170" s="17">
        <v>0</v>
      </c>
      <c r="T170" s="22">
        <v>0</v>
      </c>
    </row>
    <row r="171" spans="2:20" x14ac:dyDescent="0.25">
      <c r="B171" s="21">
        <v>0</v>
      </c>
      <c r="C171" s="17">
        <v>0</v>
      </c>
      <c r="D171" s="17">
        <v>0</v>
      </c>
      <c r="E171" s="17">
        <v>0</v>
      </c>
      <c r="F171" s="17">
        <v>0</v>
      </c>
      <c r="G171" s="17">
        <v>0</v>
      </c>
      <c r="H171" s="38">
        <v>0</v>
      </c>
      <c r="I171" s="17" t="str">
        <v/>
      </c>
      <c r="J171" s="17">
        <v>0</v>
      </c>
      <c r="K171" s="38">
        <v>0</v>
      </c>
      <c r="L171" s="17" t="str">
        <v/>
      </c>
      <c r="M171" s="17">
        <v>0</v>
      </c>
      <c r="N171" s="17">
        <v>0</v>
      </c>
      <c r="O171" s="17" t="str">
        <v/>
      </c>
      <c r="P171" s="17" t="str">
        <v/>
      </c>
      <c r="Q171" s="17">
        <v>0</v>
      </c>
      <c r="R171" s="17">
        <v>0</v>
      </c>
      <c r="S171" s="17">
        <v>0</v>
      </c>
      <c r="T171" s="22">
        <v>0</v>
      </c>
    </row>
    <row r="172" spans="2:20" x14ac:dyDescent="0.25">
      <c r="B172" s="21">
        <v>0</v>
      </c>
      <c r="C172" s="17">
        <v>0</v>
      </c>
      <c r="D172" s="17">
        <v>0</v>
      </c>
      <c r="E172" s="17">
        <v>0</v>
      </c>
      <c r="F172" s="17">
        <v>0</v>
      </c>
      <c r="G172" s="17">
        <v>0</v>
      </c>
      <c r="H172" s="38">
        <v>0</v>
      </c>
      <c r="I172" s="17" t="str">
        <v/>
      </c>
      <c r="J172" s="17">
        <v>0</v>
      </c>
      <c r="K172" s="38">
        <v>0</v>
      </c>
      <c r="L172" s="17" t="str">
        <v/>
      </c>
      <c r="M172" s="17">
        <v>0</v>
      </c>
      <c r="N172" s="17">
        <v>0</v>
      </c>
      <c r="O172" s="17" t="str">
        <v/>
      </c>
      <c r="P172" s="17" t="str">
        <v/>
      </c>
      <c r="Q172" s="17">
        <v>0</v>
      </c>
      <c r="R172" s="17">
        <v>0</v>
      </c>
      <c r="S172" s="17">
        <v>0</v>
      </c>
      <c r="T172" s="22">
        <v>0</v>
      </c>
    </row>
    <row r="173" spans="2:20" x14ac:dyDescent="0.25">
      <c r="B173" s="21">
        <v>0</v>
      </c>
      <c r="C173" s="17">
        <v>0</v>
      </c>
      <c r="D173" s="17">
        <v>0</v>
      </c>
      <c r="E173" s="17">
        <v>0</v>
      </c>
      <c r="F173" s="17">
        <v>0</v>
      </c>
      <c r="G173" s="17">
        <v>0</v>
      </c>
      <c r="H173" s="38">
        <v>0</v>
      </c>
      <c r="I173" s="17" t="str">
        <v/>
      </c>
      <c r="J173" s="17">
        <v>0</v>
      </c>
      <c r="K173" s="38">
        <v>0</v>
      </c>
      <c r="L173" s="17" t="str">
        <v/>
      </c>
      <c r="M173" s="17">
        <v>0</v>
      </c>
      <c r="N173" s="17">
        <v>0</v>
      </c>
      <c r="O173" s="17" t="str">
        <v/>
      </c>
      <c r="P173" s="17" t="str">
        <v/>
      </c>
      <c r="Q173" s="17">
        <v>0</v>
      </c>
      <c r="R173" s="17">
        <v>0</v>
      </c>
      <c r="S173" s="17">
        <v>0</v>
      </c>
      <c r="T173" s="22">
        <v>0</v>
      </c>
    </row>
    <row r="174" spans="2:20" x14ac:dyDescent="0.25">
      <c r="B174" s="21">
        <v>0</v>
      </c>
      <c r="C174" s="17">
        <v>0</v>
      </c>
      <c r="D174" s="17">
        <v>0</v>
      </c>
      <c r="E174" s="17">
        <v>0</v>
      </c>
      <c r="F174" s="17">
        <v>0</v>
      </c>
      <c r="G174" s="17">
        <v>0</v>
      </c>
      <c r="H174" s="38">
        <v>0</v>
      </c>
      <c r="I174" s="17" t="str">
        <v/>
      </c>
      <c r="J174" s="17">
        <v>0</v>
      </c>
      <c r="K174" s="38">
        <v>0</v>
      </c>
      <c r="L174" s="17" t="str">
        <v/>
      </c>
      <c r="M174" s="17">
        <v>0</v>
      </c>
      <c r="N174" s="17">
        <v>0</v>
      </c>
      <c r="O174" s="17" t="str">
        <v/>
      </c>
      <c r="P174" s="17" t="str">
        <v/>
      </c>
      <c r="Q174" s="17">
        <v>0</v>
      </c>
      <c r="R174" s="17">
        <v>0</v>
      </c>
      <c r="S174" s="17">
        <v>0</v>
      </c>
      <c r="T174" s="22">
        <v>0</v>
      </c>
    </row>
    <row r="175" spans="2:20" x14ac:dyDescent="0.25">
      <c r="B175" s="21">
        <v>0</v>
      </c>
      <c r="C175" s="17">
        <v>0</v>
      </c>
      <c r="D175" s="17">
        <v>0</v>
      </c>
      <c r="E175" s="17">
        <v>0</v>
      </c>
      <c r="F175" s="17">
        <v>0</v>
      </c>
      <c r="G175" s="17">
        <v>0</v>
      </c>
      <c r="H175" s="38">
        <v>0</v>
      </c>
      <c r="I175" s="17" t="str">
        <v/>
      </c>
      <c r="J175" s="17">
        <v>0</v>
      </c>
      <c r="K175" s="38">
        <v>0</v>
      </c>
      <c r="L175" s="17" t="str">
        <v/>
      </c>
      <c r="M175" s="17">
        <v>0</v>
      </c>
      <c r="N175" s="17">
        <v>0</v>
      </c>
      <c r="O175" s="17" t="str">
        <v/>
      </c>
      <c r="P175" s="17" t="str">
        <v/>
      </c>
      <c r="Q175" s="17">
        <v>0</v>
      </c>
      <c r="R175" s="17">
        <v>0</v>
      </c>
      <c r="S175" s="17">
        <v>0</v>
      </c>
      <c r="T175" s="22">
        <v>0</v>
      </c>
    </row>
    <row r="176" spans="2:20" x14ac:dyDescent="0.25">
      <c r="B176" s="21">
        <v>0</v>
      </c>
      <c r="C176" s="17">
        <v>0</v>
      </c>
      <c r="D176" s="17">
        <v>0</v>
      </c>
      <c r="E176" s="17">
        <v>0</v>
      </c>
      <c r="F176" s="17">
        <v>0</v>
      </c>
      <c r="G176" s="17">
        <v>0</v>
      </c>
      <c r="H176" s="38">
        <v>0</v>
      </c>
      <c r="I176" s="17" t="str">
        <v/>
      </c>
      <c r="J176" s="17">
        <v>0</v>
      </c>
      <c r="K176" s="38">
        <v>0</v>
      </c>
      <c r="L176" s="17" t="str">
        <v/>
      </c>
      <c r="M176" s="17">
        <v>0</v>
      </c>
      <c r="N176" s="17">
        <v>0</v>
      </c>
      <c r="O176" s="17" t="str">
        <v/>
      </c>
      <c r="P176" s="17" t="str">
        <v/>
      </c>
      <c r="Q176" s="17">
        <v>0</v>
      </c>
      <c r="R176" s="17">
        <v>0</v>
      </c>
      <c r="S176" s="17">
        <v>0</v>
      </c>
      <c r="T176" s="22">
        <v>0</v>
      </c>
    </row>
    <row r="177" spans="2:20" x14ac:dyDescent="0.25">
      <c r="B177" s="21">
        <v>0</v>
      </c>
      <c r="C177" s="17">
        <v>0</v>
      </c>
      <c r="D177" s="17">
        <v>0</v>
      </c>
      <c r="E177" s="17">
        <v>0</v>
      </c>
      <c r="F177" s="17">
        <v>0</v>
      </c>
      <c r="G177" s="17">
        <v>0</v>
      </c>
      <c r="H177" s="38">
        <v>0</v>
      </c>
      <c r="I177" s="17" t="str">
        <v/>
      </c>
      <c r="J177" s="17">
        <v>0</v>
      </c>
      <c r="K177" s="38">
        <v>0</v>
      </c>
      <c r="L177" s="17" t="str">
        <v/>
      </c>
      <c r="M177" s="17">
        <v>0</v>
      </c>
      <c r="N177" s="17">
        <v>0</v>
      </c>
      <c r="O177" s="17" t="str">
        <v/>
      </c>
      <c r="P177" s="17" t="str">
        <v/>
      </c>
      <c r="Q177" s="17">
        <v>0</v>
      </c>
      <c r="R177" s="17">
        <v>0</v>
      </c>
      <c r="S177" s="17">
        <v>0</v>
      </c>
      <c r="T177" s="22">
        <v>0</v>
      </c>
    </row>
    <row r="178" spans="2:20" x14ac:dyDescent="0.25">
      <c r="B178" s="21">
        <v>0</v>
      </c>
      <c r="C178" s="17">
        <v>0</v>
      </c>
      <c r="D178" s="17">
        <v>0</v>
      </c>
      <c r="E178" s="17">
        <v>0</v>
      </c>
      <c r="F178" s="17">
        <v>0</v>
      </c>
      <c r="G178" s="17">
        <v>0</v>
      </c>
      <c r="H178" s="38">
        <v>0</v>
      </c>
      <c r="I178" s="17" t="str">
        <v/>
      </c>
      <c r="J178" s="17">
        <v>0</v>
      </c>
      <c r="K178" s="38">
        <v>0</v>
      </c>
      <c r="L178" s="17" t="str">
        <v/>
      </c>
      <c r="M178" s="17">
        <v>0</v>
      </c>
      <c r="N178" s="17">
        <v>0</v>
      </c>
      <c r="O178" s="17" t="str">
        <v/>
      </c>
      <c r="P178" s="17" t="str">
        <v/>
      </c>
      <c r="Q178" s="17">
        <v>0</v>
      </c>
      <c r="R178" s="17">
        <v>0</v>
      </c>
      <c r="S178" s="17">
        <v>0</v>
      </c>
      <c r="T178" s="22">
        <v>0</v>
      </c>
    </row>
    <row r="179" spans="2:20" x14ac:dyDescent="0.25">
      <c r="B179" s="21">
        <v>0</v>
      </c>
      <c r="C179" s="17">
        <v>0</v>
      </c>
      <c r="D179" s="17">
        <v>0</v>
      </c>
      <c r="E179" s="17">
        <v>0</v>
      </c>
      <c r="F179" s="17">
        <v>0</v>
      </c>
      <c r="G179" s="17">
        <v>0</v>
      </c>
      <c r="H179" s="38">
        <v>0</v>
      </c>
      <c r="I179" s="17" t="str">
        <v/>
      </c>
      <c r="J179" s="17">
        <v>0</v>
      </c>
      <c r="K179" s="38">
        <v>0</v>
      </c>
      <c r="L179" s="17" t="str">
        <v/>
      </c>
      <c r="M179" s="17">
        <v>0</v>
      </c>
      <c r="N179" s="17">
        <v>0</v>
      </c>
      <c r="O179" s="17" t="str">
        <v/>
      </c>
      <c r="P179" s="17" t="str">
        <v/>
      </c>
      <c r="Q179" s="17">
        <v>0</v>
      </c>
      <c r="R179" s="17">
        <v>0</v>
      </c>
      <c r="S179" s="17">
        <v>0</v>
      </c>
      <c r="T179" s="22">
        <v>0</v>
      </c>
    </row>
    <row r="180" spans="2:20" x14ac:dyDescent="0.25">
      <c r="B180" s="21">
        <v>0</v>
      </c>
      <c r="C180" s="17">
        <v>0</v>
      </c>
      <c r="D180" s="17">
        <v>0</v>
      </c>
      <c r="E180" s="17">
        <v>0</v>
      </c>
      <c r="F180" s="17">
        <v>0</v>
      </c>
      <c r="G180" s="17">
        <v>0</v>
      </c>
      <c r="H180" s="38">
        <v>0</v>
      </c>
      <c r="I180" s="17" t="str">
        <v/>
      </c>
      <c r="J180" s="17">
        <v>0</v>
      </c>
      <c r="K180" s="38">
        <v>0</v>
      </c>
      <c r="L180" s="17" t="str">
        <v/>
      </c>
      <c r="M180" s="17">
        <v>0</v>
      </c>
      <c r="N180" s="17">
        <v>0</v>
      </c>
      <c r="O180" s="17" t="str">
        <v/>
      </c>
      <c r="P180" s="17" t="str">
        <v/>
      </c>
      <c r="Q180" s="17">
        <v>0</v>
      </c>
      <c r="R180" s="17">
        <v>0</v>
      </c>
      <c r="S180" s="17">
        <v>0</v>
      </c>
      <c r="T180" s="22">
        <v>0</v>
      </c>
    </row>
    <row r="181" spans="2:20" x14ac:dyDescent="0.25">
      <c r="B181" s="21">
        <v>0</v>
      </c>
      <c r="C181" s="17">
        <v>0</v>
      </c>
      <c r="D181" s="17">
        <v>0</v>
      </c>
      <c r="E181" s="17">
        <v>0</v>
      </c>
      <c r="F181" s="17">
        <v>0</v>
      </c>
      <c r="G181" s="17">
        <v>0</v>
      </c>
      <c r="H181" s="38">
        <v>0</v>
      </c>
      <c r="I181" s="17" t="str">
        <v/>
      </c>
      <c r="J181" s="17">
        <v>0</v>
      </c>
      <c r="K181" s="38">
        <v>0</v>
      </c>
      <c r="L181" s="17" t="str">
        <v/>
      </c>
      <c r="M181" s="17">
        <v>0</v>
      </c>
      <c r="N181" s="17">
        <v>0</v>
      </c>
      <c r="O181" s="17" t="str">
        <v/>
      </c>
      <c r="P181" s="17" t="str">
        <v/>
      </c>
      <c r="Q181" s="17">
        <v>0</v>
      </c>
      <c r="R181" s="17">
        <v>0</v>
      </c>
      <c r="S181" s="17">
        <v>0</v>
      </c>
      <c r="T181" s="22">
        <v>0</v>
      </c>
    </row>
    <row r="182" spans="2:20" x14ac:dyDescent="0.25">
      <c r="B182" s="21">
        <v>0</v>
      </c>
      <c r="C182" s="17">
        <v>0</v>
      </c>
      <c r="D182" s="17">
        <v>0</v>
      </c>
      <c r="E182" s="17">
        <v>0</v>
      </c>
      <c r="F182" s="17">
        <v>0</v>
      </c>
      <c r="G182" s="17">
        <v>0</v>
      </c>
      <c r="H182" s="38">
        <v>0</v>
      </c>
      <c r="I182" s="17" t="str">
        <v/>
      </c>
      <c r="J182" s="17">
        <v>0</v>
      </c>
      <c r="K182" s="38">
        <v>0</v>
      </c>
      <c r="L182" s="17" t="str">
        <v/>
      </c>
      <c r="M182" s="17">
        <v>0</v>
      </c>
      <c r="N182" s="17">
        <v>0</v>
      </c>
      <c r="O182" s="17" t="str">
        <v/>
      </c>
      <c r="P182" s="17" t="str">
        <v/>
      </c>
      <c r="Q182" s="17">
        <v>0</v>
      </c>
      <c r="R182" s="17">
        <v>0</v>
      </c>
      <c r="S182" s="17">
        <v>0</v>
      </c>
      <c r="T182" s="22">
        <v>0</v>
      </c>
    </row>
    <row r="183" spans="2:20" x14ac:dyDescent="0.25">
      <c r="B183" s="21">
        <v>0</v>
      </c>
      <c r="C183" s="17">
        <v>0</v>
      </c>
      <c r="D183" s="17">
        <v>0</v>
      </c>
      <c r="E183" s="17">
        <v>0</v>
      </c>
      <c r="F183" s="17">
        <v>0</v>
      </c>
      <c r="G183" s="17">
        <v>0</v>
      </c>
      <c r="H183" s="38">
        <v>0</v>
      </c>
      <c r="I183" s="17" t="str">
        <v/>
      </c>
      <c r="J183" s="17">
        <v>0</v>
      </c>
      <c r="K183" s="38">
        <v>0</v>
      </c>
      <c r="L183" s="17" t="str">
        <v/>
      </c>
      <c r="M183" s="17">
        <v>0</v>
      </c>
      <c r="N183" s="17">
        <v>0</v>
      </c>
      <c r="O183" s="17" t="str">
        <v/>
      </c>
      <c r="P183" s="17" t="str">
        <v/>
      </c>
      <c r="Q183" s="17">
        <v>0</v>
      </c>
      <c r="R183" s="17">
        <v>0</v>
      </c>
      <c r="S183" s="17">
        <v>0</v>
      </c>
      <c r="T183" s="22">
        <v>0</v>
      </c>
    </row>
    <row r="184" spans="2:20" x14ac:dyDescent="0.25">
      <c r="B184" s="21">
        <v>0</v>
      </c>
      <c r="C184" s="17">
        <v>0</v>
      </c>
      <c r="D184" s="17">
        <v>0</v>
      </c>
      <c r="E184" s="17">
        <v>0</v>
      </c>
      <c r="F184" s="17">
        <v>0</v>
      </c>
      <c r="G184" s="17">
        <v>0</v>
      </c>
      <c r="H184" s="38">
        <v>0</v>
      </c>
      <c r="I184" s="17" t="str">
        <v/>
      </c>
      <c r="J184" s="17">
        <v>0</v>
      </c>
      <c r="K184" s="38">
        <v>0</v>
      </c>
      <c r="L184" s="17" t="str">
        <v/>
      </c>
      <c r="M184" s="17">
        <v>0</v>
      </c>
      <c r="N184" s="17">
        <v>0</v>
      </c>
      <c r="O184" s="17" t="str">
        <v/>
      </c>
      <c r="P184" s="17" t="str">
        <v/>
      </c>
      <c r="Q184" s="17">
        <v>0</v>
      </c>
      <c r="R184" s="17">
        <v>0</v>
      </c>
      <c r="S184" s="17">
        <v>0</v>
      </c>
      <c r="T184" s="22">
        <v>0</v>
      </c>
    </row>
    <row r="185" spans="2:20" x14ac:dyDescent="0.25">
      <c r="B185" s="21">
        <v>0</v>
      </c>
      <c r="C185" s="17">
        <v>0</v>
      </c>
      <c r="D185" s="17">
        <v>0</v>
      </c>
      <c r="E185" s="17">
        <v>0</v>
      </c>
      <c r="F185" s="17">
        <v>0</v>
      </c>
      <c r="G185" s="17">
        <v>0</v>
      </c>
      <c r="H185" s="38">
        <v>0</v>
      </c>
      <c r="I185" s="17" t="str">
        <v/>
      </c>
      <c r="J185" s="17">
        <v>0</v>
      </c>
      <c r="K185" s="38">
        <v>0</v>
      </c>
      <c r="L185" s="17" t="str">
        <v/>
      </c>
      <c r="M185" s="17">
        <v>0</v>
      </c>
      <c r="N185" s="17">
        <v>0</v>
      </c>
      <c r="O185" s="17" t="str">
        <v/>
      </c>
      <c r="P185" s="17" t="str">
        <v/>
      </c>
      <c r="Q185" s="17">
        <v>0</v>
      </c>
      <c r="R185" s="17">
        <v>0</v>
      </c>
      <c r="S185" s="17">
        <v>0</v>
      </c>
      <c r="T185" s="22">
        <v>0</v>
      </c>
    </row>
    <row r="186" spans="2:20" x14ac:dyDescent="0.25">
      <c r="B186" s="21">
        <v>0</v>
      </c>
      <c r="C186" s="17">
        <v>0</v>
      </c>
      <c r="D186" s="17">
        <v>0</v>
      </c>
      <c r="E186" s="17">
        <v>0</v>
      </c>
      <c r="F186" s="17">
        <v>0</v>
      </c>
      <c r="G186" s="17">
        <v>0</v>
      </c>
      <c r="H186" s="38">
        <v>0</v>
      </c>
      <c r="I186" s="17" t="str">
        <v/>
      </c>
      <c r="J186" s="17">
        <v>0</v>
      </c>
      <c r="K186" s="38">
        <v>0</v>
      </c>
      <c r="L186" s="17" t="str">
        <v/>
      </c>
      <c r="M186" s="17">
        <v>0</v>
      </c>
      <c r="N186" s="17">
        <v>0</v>
      </c>
      <c r="O186" s="17" t="str">
        <v/>
      </c>
      <c r="P186" s="17" t="str">
        <v/>
      </c>
      <c r="Q186" s="17">
        <v>0</v>
      </c>
      <c r="R186" s="17">
        <v>0</v>
      </c>
      <c r="S186" s="17">
        <v>0</v>
      </c>
      <c r="T186" s="22">
        <v>0</v>
      </c>
    </row>
    <row r="187" spans="2:20" x14ac:dyDescent="0.25">
      <c r="B187" s="21">
        <v>0</v>
      </c>
      <c r="C187" s="17">
        <v>0</v>
      </c>
      <c r="D187" s="17">
        <v>0</v>
      </c>
      <c r="E187" s="17">
        <v>0</v>
      </c>
      <c r="F187" s="17">
        <v>0</v>
      </c>
      <c r="G187" s="17">
        <v>0</v>
      </c>
      <c r="H187" s="38">
        <v>0</v>
      </c>
      <c r="I187" s="17" t="str">
        <v/>
      </c>
      <c r="J187" s="17">
        <v>0</v>
      </c>
      <c r="K187" s="38">
        <v>0</v>
      </c>
      <c r="L187" s="17" t="str">
        <v/>
      </c>
      <c r="M187" s="17">
        <v>0</v>
      </c>
      <c r="N187" s="17">
        <v>0</v>
      </c>
      <c r="O187" s="17" t="str">
        <v/>
      </c>
      <c r="P187" s="17" t="str">
        <v/>
      </c>
      <c r="Q187" s="17">
        <v>0</v>
      </c>
      <c r="R187" s="17">
        <v>0</v>
      </c>
      <c r="S187" s="17">
        <v>0</v>
      </c>
      <c r="T187" s="22">
        <v>0</v>
      </c>
    </row>
    <row r="188" spans="2:20" x14ac:dyDescent="0.25">
      <c r="B188" s="21">
        <v>0</v>
      </c>
      <c r="C188" s="17">
        <v>0</v>
      </c>
      <c r="D188" s="17">
        <v>0</v>
      </c>
      <c r="E188" s="17">
        <v>0</v>
      </c>
      <c r="F188" s="17">
        <v>0</v>
      </c>
      <c r="G188" s="17">
        <v>0</v>
      </c>
      <c r="H188" s="38">
        <v>0</v>
      </c>
      <c r="I188" s="17" t="str">
        <v/>
      </c>
      <c r="J188" s="17">
        <v>0</v>
      </c>
      <c r="K188" s="38">
        <v>0</v>
      </c>
      <c r="L188" s="17" t="str">
        <v/>
      </c>
      <c r="M188" s="17">
        <v>0</v>
      </c>
      <c r="N188" s="17">
        <v>0</v>
      </c>
      <c r="O188" s="17" t="str">
        <v/>
      </c>
      <c r="P188" s="17" t="str">
        <v/>
      </c>
      <c r="Q188" s="17">
        <v>0</v>
      </c>
      <c r="R188" s="17">
        <v>0</v>
      </c>
      <c r="S188" s="17">
        <v>0</v>
      </c>
      <c r="T188" s="22">
        <v>0</v>
      </c>
    </row>
    <row r="189" spans="2:20" x14ac:dyDescent="0.25">
      <c r="B189" s="21">
        <v>0</v>
      </c>
      <c r="C189" s="17">
        <v>0</v>
      </c>
      <c r="D189" s="17">
        <v>0</v>
      </c>
      <c r="E189" s="17">
        <v>0</v>
      </c>
      <c r="F189" s="17">
        <v>0</v>
      </c>
      <c r="G189" s="17">
        <v>0</v>
      </c>
      <c r="H189" s="38">
        <v>0</v>
      </c>
      <c r="I189" s="17" t="str">
        <v/>
      </c>
      <c r="J189" s="17">
        <v>0</v>
      </c>
      <c r="K189" s="38">
        <v>0</v>
      </c>
      <c r="L189" s="17" t="str">
        <v/>
      </c>
      <c r="M189" s="17">
        <v>0</v>
      </c>
      <c r="N189" s="17">
        <v>0</v>
      </c>
      <c r="O189" s="17" t="str">
        <v/>
      </c>
      <c r="P189" s="17" t="str">
        <v/>
      </c>
      <c r="Q189" s="17">
        <v>0</v>
      </c>
      <c r="R189" s="17">
        <v>0</v>
      </c>
      <c r="S189" s="17">
        <v>0</v>
      </c>
      <c r="T189" s="22">
        <v>0</v>
      </c>
    </row>
    <row r="190" spans="2:20" x14ac:dyDescent="0.25">
      <c r="B190" s="21">
        <v>0</v>
      </c>
      <c r="C190" s="17">
        <v>0</v>
      </c>
      <c r="D190" s="17">
        <v>0</v>
      </c>
      <c r="E190" s="17">
        <v>0</v>
      </c>
      <c r="F190" s="17">
        <v>0</v>
      </c>
      <c r="G190" s="17">
        <v>0</v>
      </c>
      <c r="H190" s="38">
        <v>0</v>
      </c>
      <c r="I190" s="17" t="str">
        <v/>
      </c>
      <c r="J190" s="17">
        <v>0</v>
      </c>
      <c r="K190" s="38">
        <v>0</v>
      </c>
      <c r="L190" s="17" t="str">
        <v/>
      </c>
      <c r="M190" s="17">
        <v>0</v>
      </c>
      <c r="N190" s="17">
        <v>0</v>
      </c>
      <c r="O190" s="17" t="str">
        <v/>
      </c>
      <c r="P190" s="17" t="str">
        <v/>
      </c>
      <c r="Q190" s="17">
        <v>0</v>
      </c>
      <c r="R190" s="17">
        <v>0</v>
      </c>
      <c r="S190" s="17">
        <v>0</v>
      </c>
      <c r="T190" s="22">
        <v>0</v>
      </c>
    </row>
    <row r="191" spans="2:20" x14ac:dyDescent="0.25">
      <c r="B191" s="21">
        <v>0</v>
      </c>
      <c r="C191" s="17">
        <v>0</v>
      </c>
      <c r="D191" s="17">
        <v>0</v>
      </c>
      <c r="E191" s="17">
        <v>0</v>
      </c>
      <c r="F191" s="17">
        <v>0</v>
      </c>
      <c r="G191" s="17">
        <v>0</v>
      </c>
      <c r="H191" s="38">
        <v>0</v>
      </c>
      <c r="I191" s="17" t="str">
        <v/>
      </c>
      <c r="J191" s="17">
        <v>0</v>
      </c>
      <c r="K191" s="38">
        <v>0</v>
      </c>
      <c r="L191" s="17" t="str">
        <v/>
      </c>
      <c r="M191" s="17">
        <v>0</v>
      </c>
      <c r="N191" s="17">
        <v>0</v>
      </c>
      <c r="O191" s="17" t="str">
        <v/>
      </c>
      <c r="P191" s="17" t="str">
        <v/>
      </c>
      <c r="Q191" s="17">
        <v>0</v>
      </c>
      <c r="R191" s="17">
        <v>0</v>
      </c>
      <c r="S191" s="17">
        <v>0</v>
      </c>
      <c r="T191" s="22">
        <v>0</v>
      </c>
    </row>
    <row r="192" spans="2:20" x14ac:dyDescent="0.25">
      <c r="B192" s="21">
        <v>0</v>
      </c>
      <c r="C192" s="17">
        <v>0</v>
      </c>
      <c r="D192" s="17">
        <v>0</v>
      </c>
      <c r="E192" s="17">
        <v>0</v>
      </c>
      <c r="F192" s="17">
        <v>0</v>
      </c>
      <c r="G192" s="17">
        <v>0</v>
      </c>
      <c r="H192" s="38">
        <v>0</v>
      </c>
      <c r="I192" s="17" t="str">
        <v/>
      </c>
      <c r="J192" s="17">
        <v>0</v>
      </c>
      <c r="K192" s="38">
        <v>0</v>
      </c>
      <c r="L192" s="17" t="str">
        <v/>
      </c>
      <c r="M192" s="17">
        <v>0</v>
      </c>
      <c r="N192" s="17">
        <v>0</v>
      </c>
      <c r="O192" s="17" t="str">
        <v/>
      </c>
      <c r="P192" s="17" t="str">
        <v/>
      </c>
      <c r="Q192" s="17">
        <v>0</v>
      </c>
      <c r="R192" s="17">
        <v>0</v>
      </c>
      <c r="S192" s="17">
        <v>0</v>
      </c>
      <c r="T192" s="22">
        <v>0</v>
      </c>
    </row>
    <row r="193" spans="2:20" x14ac:dyDescent="0.25">
      <c r="B193" s="21">
        <v>0</v>
      </c>
      <c r="C193" s="17">
        <v>0</v>
      </c>
      <c r="D193" s="17">
        <v>0</v>
      </c>
      <c r="E193" s="17">
        <v>0</v>
      </c>
      <c r="F193" s="17">
        <v>0</v>
      </c>
      <c r="G193" s="17">
        <v>0</v>
      </c>
      <c r="H193" s="38">
        <v>0</v>
      </c>
      <c r="I193" s="17" t="str">
        <v/>
      </c>
      <c r="J193" s="17">
        <v>0</v>
      </c>
      <c r="K193" s="38">
        <v>0</v>
      </c>
      <c r="L193" s="17" t="str">
        <v/>
      </c>
      <c r="M193" s="17">
        <v>0</v>
      </c>
      <c r="N193" s="17">
        <v>0</v>
      </c>
      <c r="O193" s="17" t="str">
        <v/>
      </c>
      <c r="P193" s="17" t="str">
        <v/>
      </c>
      <c r="Q193" s="17">
        <v>0</v>
      </c>
      <c r="R193" s="17">
        <v>0</v>
      </c>
      <c r="S193" s="17">
        <v>0</v>
      </c>
      <c r="T193" s="22">
        <v>0</v>
      </c>
    </row>
    <row r="194" spans="2:20" x14ac:dyDescent="0.25">
      <c r="B194" s="21">
        <v>0</v>
      </c>
      <c r="C194" s="17">
        <v>0</v>
      </c>
      <c r="D194" s="17">
        <v>0</v>
      </c>
      <c r="E194" s="17">
        <v>0</v>
      </c>
      <c r="F194" s="17">
        <v>0</v>
      </c>
      <c r="G194" s="17">
        <v>0</v>
      </c>
      <c r="H194" s="38">
        <v>0</v>
      </c>
      <c r="I194" s="17" t="str">
        <v/>
      </c>
      <c r="J194" s="17">
        <v>0</v>
      </c>
      <c r="K194" s="38">
        <v>0</v>
      </c>
      <c r="L194" s="17" t="str">
        <v/>
      </c>
      <c r="M194" s="17">
        <v>0</v>
      </c>
      <c r="N194" s="17">
        <v>0</v>
      </c>
      <c r="O194" s="17" t="str">
        <v/>
      </c>
      <c r="P194" s="17" t="str">
        <v/>
      </c>
      <c r="Q194" s="17">
        <v>0</v>
      </c>
      <c r="R194" s="17">
        <v>0</v>
      </c>
      <c r="S194" s="17">
        <v>0</v>
      </c>
      <c r="T194" s="22">
        <v>0</v>
      </c>
    </row>
    <row r="195" spans="2:20" x14ac:dyDescent="0.25">
      <c r="B195" s="21">
        <v>0</v>
      </c>
      <c r="C195" s="17">
        <v>0</v>
      </c>
      <c r="D195" s="17">
        <v>0</v>
      </c>
      <c r="E195" s="17">
        <v>0</v>
      </c>
      <c r="F195" s="17">
        <v>0</v>
      </c>
      <c r="G195" s="17">
        <v>0</v>
      </c>
      <c r="H195" s="38">
        <v>0</v>
      </c>
      <c r="I195" s="17" t="str">
        <v/>
      </c>
      <c r="J195" s="17">
        <v>0</v>
      </c>
      <c r="K195" s="38">
        <v>0</v>
      </c>
      <c r="L195" s="17" t="str">
        <v/>
      </c>
      <c r="M195" s="17">
        <v>0</v>
      </c>
      <c r="N195" s="17">
        <v>0</v>
      </c>
      <c r="O195" s="17" t="str">
        <v/>
      </c>
      <c r="P195" s="17" t="str">
        <v/>
      </c>
      <c r="Q195" s="17">
        <v>0</v>
      </c>
      <c r="R195" s="17">
        <v>0</v>
      </c>
      <c r="S195" s="17">
        <v>0</v>
      </c>
      <c r="T195" s="22">
        <v>0</v>
      </c>
    </row>
    <row r="196" spans="2:20" x14ac:dyDescent="0.25">
      <c r="B196" s="21">
        <v>0</v>
      </c>
      <c r="C196" s="17">
        <v>0</v>
      </c>
      <c r="D196" s="17">
        <v>0</v>
      </c>
      <c r="E196" s="17">
        <v>0</v>
      </c>
      <c r="F196" s="17">
        <v>0</v>
      </c>
      <c r="G196" s="17">
        <v>0</v>
      </c>
      <c r="H196" s="38">
        <v>0</v>
      </c>
      <c r="I196" s="17" t="str">
        <v/>
      </c>
      <c r="J196" s="17">
        <v>0</v>
      </c>
      <c r="K196" s="38">
        <v>0</v>
      </c>
      <c r="L196" s="17" t="str">
        <v/>
      </c>
      <c r="M196" s="17">
        <v>0</v>
      </c>
      <c r="N196" s="17">
        <v>0</v>
      </c>
      <c r="O196" s="17" t="str">
        <v/>
      </c>
      <c r="P196" s="17" t="str">
        <v/>
      </c>
      <c r="Q196" s="17">
        <v>0</v>
      </c>
      <c r="R196" s="17">
        <v>0</v>
      </c>
      <c r="S196" s="17">
        <v>0</v>
      </c>
      <c r="T196" s="22">
        <v>0</v>
      </c>
    </row>
    <row r="197" spans="2:20" x14ac:dyDescent="0.25">
      <c r="B197" s="21">
        <v>0</v>
      </c>
      <c r="C197" s="17">
        <v>0</v>
      </c>
      <c r="D197" s="17">
        <v>0</v>
      </c>
      <c r="E197" s="17">
        <v>0</v>
      </c>
      <c r="F197" s="17">
        <v>0</v>
      </c>
      <c r="G197" s="17">
        <v>0</v>
      </c>
      <c r="H197" s="38">
        <v>0</v>
      </c>
      <c r="I197" s="17" t="str">
        <v/>
      </c>
      <c r="J197" s="17">
        <v>0</v>
      </c>
      <c r="K197" s="38">
        <v>0</v>
      </c>
      <c r="L197" s="17" t="str">
        <v/>
      </c>
      <c r="M197" s="17">
        <v>0</v>
      </c>
      <c r="N197" s="17">
        <v>0</v>
      </c>
      <c r="O197" s="17" t="str">
        <v/>
      </c>
      <c r="P197" s="17" t="str">
        <v/>
      </c>
      <c r="Q197" s="17">
        <v>0</v>
      </c>
      <c r="R197" s="17">
        <v>0</v>
      </c>
      <c r="S197" s="17">
        <v>0</v>
      </c>
      <c r="T197" s="22">
        <v>0</v>
      </c>
    </row>
    <row r="198" spans="2:20" x14ac:dyDescent="0.25">
      <c r="B198" s="21">
        <v>0</v>
      </c>
      <c r="C198" s="17">
        <v>0</v>
      </c>
      <c r="D198" s="17">
        <v>0</v>
      </c>
      <c r="E198" s="17">
        <v>0</v>
      </c>
      <c r="F198" s="17">
        <v>0</v>
      </c>
      <c r="G198" s="17">
        <v>0</v>
      </c>
      <c r="H198" s="38">
        <v>0</v>
      </c>
      <c r="I198" s="17" t="str">
        <v/>
      </c>
      <c r="J198" s="17">
        <v>0</v>
      </c>
      <c r="K198" s="38">
        <v>0</v>
      </c>
      <c r="L198" s="17" t="str">
        <v/>
      </c>
      <c r="M198" s="17">
        <v>0</v>
      </c>
      <c r="N198" s="17">
        <v>0</v>
      </c>
      <c r="O198" s="17" t="str">
        <v/>
      </c>
      <c r="P198" s="17" t="str">
        <v/>
      </c>
      <c r="Q198" s="17">
        <v>0</v>
      </c>
      <c r="R198" s="17">
        <v>0</v>
      </c>
      <c r="S198" s="17">
        <v>0</v>
      </c>
      <c r="T198" s="22">
        <v>0</v>
      </c>
    </row>
    <row r="199" spans="2:20" x14ac:dyDescent="0.25">
      <c r="B199" s="21">
        <v>0</v>
      </c>
      <c r="C199" s="17">
        <v>0</v>
      </c>
      <c r="D199" s="17">
        <v>0</v>
      </c>
      <c r="E199" s="17">
        <v>0</v>
      </c>
      <c r="F199" s="17">
        <v>0</v>
      </c>
      <c r="G199" s="17">
        <v>0</v>
      </c>
      <c r="H199" s="38">
        <v>0</v>
      </c>
      <c r="I199" s="17" t="str">
        <v/>
      </c>
      <c r="J199" s="17">
        <v>0</v>
      </c>
      <c r="K199" s="38">
        <v>0</v>
      </c>
      <c r="L199" s="17" t="str">
        <v/>
      </c>
      <c r="M199" s="17">
        <v>0</v>
      </c>
      <c r="N199" s="17">
        <v>0</v>
      </c>
      <c r="O199" s="17" t="str">
        <v/>
      </c>
      <c r="P199" s="17" t="str">
        <v/>
      </c>
      <c r="Q199" s="17">
        <v>0</v>
      </c>
      <c r="R199" s="17">
        <v>0</v>
      </c>
      <c r="S199" s="17">
        <v>0</v>
      </c>
      <c r="T199" s="22">
        <v>0</v>
      </c>
    </row>
    <row r="200" spans="2:20" x14ac:dyDescent="0.25">
      <c r="B200" s="21">
        <v>0</v>
      </c>
      <c r="C200" s="17">
        <v>0</v>
      </c>
      <c r="D200" s="17">
        <v>0</v>
      </c>
      <c r="E200" s="17">
        <v>0</v>
      </c>
      <c r="F200" s="17">
        <v>0</v>
      </c>
      <c r="G200" s="17">
        <v>0</v>
      </c>
      <c r="H200" s="38">
        <v>0</v>
      </c>
      <c r="I200" s="17" t="str">
        <v/>
      </c>
      <c r="J200" s="17">
        <v>0</v>
      </c>
      <c r="K200" s="38">
        <v>0</v>
      </c>
      <c r="L200" s="17" t="str">
        <v/>
      </c>
      <c r="M200" s="17">
        <v>0</v>
      </c>
      <c r="N200" s="17">
        <v>0</v>
      </c>
      <c r="O200" s="17" t="str">
        <v/>
      </c>
      <c r="P200" s="17" t="str">
        <v/>
      </c>
      <c r="Q200" s="17">
        <v>0</v>
      </c>
      <c r="R200" s="17">
        <v>0</v>
      </c>
      <c r="S200" s="17">
        <v>0</v>
      </c>
      <c r="T200" s="22">
        <v>0</v>
      </c>
    </row>
    <row r="201" spans="2:20" x14ac:dyDescent="0.25">
      <c r="B201" s="21">
        <v>0</v>
      </c>
      <c r="C201" s="17">
        <v>0</v>
      </c>
      <c r="D201" s="17">
        <v>0</v>
      </c>
      <c r="E201" s="17">
        <v>0</v>
      </c>
      <c r="F201" s="17">
        <v>0</v>
      </c>
      <c r="G201" s="17">
        <v>0</v>
      </c>
      <c r="H201" s="38">
        <v>0</v>
      </c>
      <c r="I201" s="17" t="str">
        <v/>
      </c>
      <c r="J201" s="17">
        <v>0</v>
      </c>
      <c r="K201" s="38">
        <v>0</v>
      </c>
      <c r="L201" s="17" t="str">
        <v/>
      </c>
      <c r="M201" s="17">
        <v>0</v>
      </c>
      <c r="N201" s="17">
        <v>0</v>
      </c>
      <c r="O201" s="17" t="str">
        <v/>
      </c>
      <c r="P201" s="17" t="str">
        <v/>
      </c>
      <c r="Q201" s="17">
        <v>0</v>
      </c>
      <c r="R201" s="17">
        <v>0</v>
      </c>
      <c r="S201" s="17">
        <v>0</v>
      </c>
      <c r="T201" s="22">
        <v>0</v>
      </c>
    </row>
    <row r="202" spans="2:20" x14ac:dyDescent="0.25">
      <c r="B202" s="21">
        <v>0</v>
      </c>
      <c r="C202" s="17">
        <v>0</v>
      </c>
      <c r="D202" s="17">
        <v>0</v>
      </c>
      <c r="E202" s="17">
        <v>0</v>
      </c>
      <c r="F202" s="17">
        <v>0</v>
      </c>
      <c r="G202" s="17">
        <v>0</v>
      </c>
      <c r="H202" s="38">
        <v>0</v>
      </c>
      <c r="I202" s="17" t="str">
        <v/>
      </c>
      <c r="J202" s="17">
        <v>0</v>
      </c>
      <c r="K202" s="38">
        <v>0</v>
      </c>
      <c r="L202" s="17" t="str">
        <v/>
      </c>
      <c r="M202" s="17">
        <v>0</v>
      </c>
      <c r="N202" s="17">
        <v>0</v>
      </c>
      <c r="O202" s="17" t="str">
        <v/>
      </c>
      <c r="P202" s="17" t="str">
        <v/>
      </c>
      <c r="Q202" s="17">
        <v>0</v>
      </c>
      <c r="R202" s="17">
        <v>0</v>
      </c>
      <c r="S202" s="17">
        <v>0</v>
      </c>
      <c r="T202" s="22">
        <v>0</v>
      </c>
    </row>
    <row r="203" spans="2:20" x14ac:dyDescent="0.25">
      <c r="B203" s="21">
        <v>0</v>
      </c>
      <c r="C203" s="17">
        <v>0</v>
      </c>
      <c r="D203" s="17">
        <v>0</v>
      </c>
      <c r="E203" s="17">
        <v>0</v>
      </c>
      <c r="F203" s="17">
        <v>0</v>
      </c>
      <c r="G203" s="17">
        <v>0</v>
      </c>
      <c r="H203" s="38">
        <v>0</v>
      </c>
      <c r="I203" s="17" t="str">
        <v/>
      </c>
      <c r="J203" s="17">
        <v>0</v>
      </c>
      <c r="K203" s="38">
        <v>0</v>
      </c>
      <c r="L203" s="17" t="str">
        <v/>
      </c>
      <c r="M203" s="17">
        <v>0</v>
      </c>
      <c r="N203" s="17">
        <v>0</v>
      </c>
      <c r="O203" s="17" t="str">
        <v/>
      </c>
      <c r="P203" s="17" t="str">
        <v/>
      </c>
      <c r="Q203" s="17">
        <v>0</v>
      </c>
      <c r="R203" s="17">
        <v>0</v>
      </c>
      <c r="S203" s="17">
        <v>0</v>
      </c>
      <c r="T203" s="22">
        <v>0</v>
      </c>
    </row>
    <row r="204" spans="2:20" x14ac:dyDescent="0.25">
      <c r="B204" s="21">
        <v>0</v>
      </c>
      <c r="C204" s="17">
        <v>0</v>
      </c>
      <c r="D204" s="17">
        <v>0</v>
      </c>
      <c r="E204" s="17">
        <v>0</v>
      </c>
      <c r="F204" s="17">
        <v>0</v>
      </c>
      <c r="G204" s="17">
        <v>0</v>
      </c>
      <c r="H204" s="38">
        <v>0</v>
      </c>
      <c r="I204" s="17" t="str">
        <v/>
      </c>
      <c r="J204" s="17">
        <v>0</v>
      </c>
      <c r="K204" s="38">
        <v>0</v>
      </c>
      <c r="L204" s="17" t="str">
        <v/>
      </c>
      <c r="M204" s="17">
        <v>0</v>
      </c>
      <c r="N204" s="17">
        <v>0</v>
      </c>
      <c r="O204" s="17" t="str">
        <v/>
      </c>
      <c r="P204" s="17" t="str">
        <v/>
      </c>
      <c r="Q204" s="17">
        <v>0</v>
      </c>
      <c r="R204" s="17">
        <v>0</v>
      </c>
      <c r="S204" s="17">
        <v>0</v>
      </c>
      <c r="T204" s="22">
        <v>0</v>
      </c>
    </row>
    <row r="205" spans="2:20" x14ac:dyDescent="0.25">
      <c r="B205" s="21">
        <v>0</v>
      </c>
      <c r="C205" s="17">
        <v>0</v>
      </c>
      <c r="D205" s="17">
        <v>0</v>
      </c>
      <c r="E205" s="17">
        <v>0</v>
      </c>
      <c r="F205" s="17">
        <v>0</v>
      </c>
      <c r="G205" s="17">
        <v>0</v>
      </c>
      <c r="H205" s="38">
        <v>0</v>
      </c>
      <c r="I205" s="17" t="str">
        <v/>
      </c>
      <c r="J205" s="17">
        <v>0</v>
      </c>
      <c r="K205" s="38">
        <v>0</v>
      </c>
      <c r="L205" s="17" t="str">
        <v/>
      </c>
      <c r="M205" s="17">
        <v>0</v>
      </c>
      <c r="N205" s="17">
        <v>0</v>
      </c>
      <c r="O205" s="17" t="str">
        <v/>
      </c>
      <c r="P205" s="17" t="str">
        <v/>
      </c>
      <c r="Q205" s="17">
        <v>0</v>
      </c>
      <c r="R205" s="17">
        <v>0</v>
      </c>
      <c r="S205" s="17">
        <v>0</v>
      </c>
      <c r="T205" s="22">
        <v>0</v>
      </c>
    </row>
    <row r="206" spans="2:20" x14ac:dyDescent="0.25">
      <c r="B206" s="21">
        <v>0</v>
      </c>
      <c r="C206" s="17">
        <v>0</v>
      </c>
      <c r="D206" s="17">
        <v>0</v>
      </c>
      <c r="E206" s="17">
        <v>0</v>
      </c>
      <c r="F206" s="17">
        <v>0</v>
      </c>
      <c r="G206" s="17">
        <v>0</v>
      </c>
      <c r="H206" s="38">
        <v>0</v>
      </c>
      <c r="I206" s="17" t="str">
        <v/>
      </c>
      <c r="J206" s="17">
        <v>0</v>
      </c>
      <c r="K206" s="38">
        <v>0</v>
      </c>
      <c r="L206" s="17" t="str">
        <v/>
      </c>
      <c r="M206" s="17">
        <v>0</v>
      </c>
      <c r="N206" s="17">
        <v>0</v>
      </c>
      <c r="O206" s="17" t="str">
        <v/>
      </c>
      <c r="P206" s="17" t="str">
        <v/>
      </c>
      <c r="Q206" s="17">
        <v>0</v>
      </c>
      <c r="R206" s="17">
        <v>0</v>
      </c>
      <c r="S206" s="17">
        <v>0</v>
      </c>
      <c r="T206" s="22">
        <v>0</v>
      </c>
    </row>
    <row r="207" spans="2:20" x14ac:dyDescent="0.25">
      <c r="B207" s="21">
        <v>0</v>
      </c>
      <c r="C207" s="17">
        <v>0</v>
      </c>
      <c r="D207" s="17">
        <v>0</v>
      </c>
      <c r="E207" s="17">
        <v>0</v>
      </c>
      <c r="F207" s="17">
        <v>0</v>
      </c>
      <c r="G207" s="17">
        <v>0</v>
      </c>
      <c r="H207" s="38">
        <v>0</v>
      </c>
      <c r="I207" s="17" t="str">
        <v/>
      </c>
      <c r="J207" s="17">
        <v>0</v>
      </c>
      <c r="K207" s="38">
        <v>0</v>
      </c>
      <c r="L207" s="17" t="str">
        <v/>
      </c>
      <c r="M207" s="17">
        <v>0</v>
      </c>
      <c r="N207" s="17">
        <v>0</v>
      </c>
      <c r="O207" s="17" t="str">
        <v/>
      </c>
      <c r="P207" s="17" t="str">
        <v/>
      </c>
      <c r="Q207" s="17">
        <v>0</v>
      </c>
      <c r="R207" s="17">
        <v>0</v>
      </c>
      <c r="S207" s="17">
        <v>0</v>
      </c>
      <c r="T207" s="22">
        <v>0</v>
      </c>
    </row>
    <row r="208" spans="2:20" x14ac:dyDescent="0.25">
      <c r="B208" s="21">
        <v>0</v>
      </c>
      <c r="C208" s="17">
        <v>0</v>
      </c>
      <c r="D208" s="17">
        <v>0</v>
      </c>
      <c r="E208" s="17">
        <v>0</v>
      </c>
      <c r="F208" s="17">
        <v>0</v>
      </c>
      <c r="G208" s="17">
        <v>0</v>
      </c>
      <c r="H208" s="38">
        <v>0</v>
      </c>
      <c r="I208" s="17" t="str">
        <v/>
      </c>
      <c r="J208" s="17">
        <v>0</v>
      </c>
      <c r="K208" s="38">
        <v>0</v>
      </c>
      <c r="L208" s="17" t="str">
        <v/>
      </c>
      <c r="M208" s="17">
        <v>0</v>
      </c>
      <c r="N208" s="17">
        <v>0</v>
      </c>
      <c r="O208" s="17" t="str">
        <v/>
      </c>
      <c r="P208" s="17" t="str">
        <v/>
      </c>
      <c r="Q208" s="17">
        <v>0</v>
      </c>
      <c r="R208" s="17">
        <v>0</v>
      </c>
      <c r="S208" s="17">
        <v>0</v>
      </c>
      <c r="T208" s="22">
        <v>0</v>
      </c>
    </row>
    <row r="209" spans="2:20" x14ac:dyDescent="0.25">
      <c r="B209" s="21">
        <v>0</v>
      </c>
      <c r="C209" s="17">
        <v>0</v>
      </c>
      <c r="D209" s="17">
        <v>0</v>
      </c>
      <c r="E209" s="17">
        <v>0</v>
      </c>
      <c r="F209" s="17">
        <v>0</v>
      </c>
      <c r="G209" s="17">
        <v>0</v>
      </c>
      <c r="H209" s="38">
        <v>0</v>
      </c>
      <c r="I209" s="17" t="str">
        <v/>
      </c>
      <c r="J209" s="17">
        <v>0</v>
      </c>
      <c r="K209" s="38">
        <v>0</v>
      </c>
      <c r="L209" s="17" t="str">
        <v/>
      </c>
      <c r="M209" s="17">
        <v>0</v>
      </c>
      <c r="N209" s="17">
        <v>0</v>
      </c>
      <c r="O209" s="17" t="str">
        <v/>
      </c>
      <c r="P209" s="17" t="str">
        <v/>
      </c>
      <c r="Q209" s="17">
        <v>0</v>
      </c>
      <c r="R209" s="17">
        <v>0</v>
      </c>
      <c r="S209" s="17">
        <v>0</v>
      </c>
      <c r="T209" s="22">
        <v>0</v>
      </c>
    </row>
    <row r="210" spans="2:20" x14ac:dyDescent="0.25">
      <c r="B210" s="21">
        <v>0</v>
      </c>
      <c r="C210" s="17">
        <v>0</v>
      </c>
      <c r="D210" s="17">
        <v>0</v>
      </c>
      <c r="E210" s="17">
        <v>0</v>
      </c>
      <c r="F210" s="17">
        <v>0</v>
      </c>
      <c r="G210" s="17">
        <v>0</v>
      </c>
      <c r="H210" s="38">
        <v>0</v>
      </c>
      <c r="I210" s="17" t="str">
        <v/>
      </c>
      <c r="J210" s="17">
        <v>0</v>
      </c>
      <c r="K210" s="38">
        <v>0</v>
      </c>
      <c r="L210" s="17" t="str">
        <v/>
      </c>
      <c r="M210" s="17">
        <v>0</v>
      </c>
      <c r="N210" s="17">
        <v>0</v>
      </c>
      <c r="O210" s="17" t="str">
        <v/>
      </c>
      <c r="P210" s="17" t="str">
        <v/>
      </c>
      <c r="Q210" s="17">
        <v>0</v>
      </c>
      <c r="R210" s="17">
        <v>0</v>
      </c>
      <c r="S210" s="17">
        <v>0</v>
      </c>
      <c r="T210" s="22">
        <v>0</v>
      </c>
    </row>
    <row r="211" spans="2:20" x14ac:dyDescent="0.25">
      <c r="B211" s="21">
        <v>0</v>
      </c>
      <c r="C211" s="17">
        <v>0</v>
      </c>
      <c r="D211" s="17">
        <v>0</v>
      </c>
      <c r="E211" s="17">
        <v>0</v>
      </c>
      <c r="F211" s="17">
        <v>0</v>
      </c>
      <c r="G211" s="17">
        <v>0</v>
      </c>
      <c r="H211" s="38">
        <v>0</v>
      </c>
      <c r="I211" s="17" t="str">
        <v/>
      </c>
      <c r="J211" s="17">
        <v>0</v>
      </c>
      <c r="K211" s="38">
        <v>0</v>
      </c>
      <c r="L211" s="17" t="str">
        <v/>
      </c>
      <c r="M211" s="17">
        <v>0</v>
      </c>
      <c r="N211" s="17">
        <v>0</v>
      </c>
      <c r="O211" s="17" t="str">
        <v/>
      </c>
      <c r="P211" s="17" t="str">
        <v/>
      </c>
      <c r="Q211" s="17">
        <v>0</v>
      </c>
      <c r="R211" s="17">
        <v>0</v>
      </c>
      <c r="S211" s="17">
        <v>0</v>
      </c>
      <c r="T211" s="22">
        <v>0</v>
      </c>
    </row>
    <row r="212" spans="2:20" x14ac:dyDescent="0.25">
      <c r="B212" s="21">
        <v>0</v>
      </c>
      <c r="C212" s="17">
        <v>0</v>
      </c>
      <c r="D212" s="17">
        <v>0</v>
      </c>
      <c r="E212" s="17">
        <v>0</v>
      </c>
      <c r="F212" s="17">
        <v>0</v>
      </c>
      <c r="G212" s="17">
        <v>0</v>
      </c>
      <c r="H212" s="38">
        <v>0</v>
      </c>
      <c r="I212" s="17" t="str">
        <v/>
      </c>
      <c r="J212" s="17">
        <v>0</v>
      </c>
      <c r="K212" s="38">
        <v>0</v>
      </c>
      <c r="L212" s="17" t="str">
        <v/>
      </c>
      <c r="M212" s="17">
        <v>0</v>
      </c>
      <c r="N212" s="17">
        <v>0</v>
      </c>
      <c r="O212" s="17" t="str">
        <v/>
      </c>
      <c r="P212" s="17" t="str">
        <v/>
      </c>
      <c r="Q212" s="17">
        <v>0</v>
      </c>
      <c r="R212" s="17">
        <v>0</v>
      </c>
      <c r="S212" s="17">
        <v>0</v>
      </c>
      <c r="T212" s="22">
        <v>0</v>
      </c>
    </row>
    <row r="213" spans="2:20" x14ac:dyDescent="0.25">
      <c r="B213" s="21">
        <v>0</v>
      </c>
      <c r="C213" s="17">
        <v>0</v>
      </c>
      <c r="D213" s="17">
        <v>0</v>
      </c>
      <c r="E213" s="17">
        <v>0</v>
      </c>
      <c r="F213" s="17">
        <v>0</v>
      </c>
      <c r="G213" s="17">
        <v>0</v>
      </c>
      <c r="H213" s="38">
        <v>0</v>
      </c>
      <c r="I213" s="17" t="str">
        <v/>
      </c>
      <c r="J213" s="17">
        <v>0</v>
      </c>
      <c r="K213" s="38">
        <v>0</v>
      </c>
      <c r="L213" s="17" t="str">
        <v/>
      </c>
      <c r="M213" s="17">
        <v>0</v>
      </c>
      <c r="N213" s="17">
        <v>0</v>
      </c>
      <c r="O213" s="17" t="str">
        <v/>
      </c>
      <c r="P213" s="17" t="str">
        <v/>
      </c>
      <c r="Q213" s="17">
        <v>0</v>
      </c>
      <c r="R213" s="17">
        <v>0</v>
      </c>
      <c r="S213" s="17">
        <v>0</v>
      </c>
      <c r="T213" s="22">
        <v>0</v>
      </c>
    </row>
    <row r="214" spans="2:20" x14ac:dyDescent="0.25">
      <c r="B214" s="21">
        <v>0</v>
      </c>
      <c r="C214" s="17">
        <v>0</v>
      </c>
      <c r="D214" s="17">
        <v>0</v>
      </c>
      <c r="E214" s="17">
        <v>0</v>
      </c>
      <c r="F214" s="17">
        <v>0</v>
      </c>
      <c r="G214" s="17">
        <v>0</v>
      </c>
      <c r="H214" s="38">
        <v>0</v>
      </c>
      <c r="I214" s="17" t="str">
        <v/>
      </c>
      <c r="J214" s="17">
        <v>0</v>
      </c>
      <c r="K214" s="38">
        <v>0</v>
      </c>
      <c r="L214" s="17" t="str">
        <v/>
      </c>
      <c r="M214" s="17">
        <v>0</v>
      </c>
      <c r="N214" s="17">
        <v>0</v>
      </c>
      <c r="O214" s="17" t="str">
        <v/>
      </c>
      <c r="P214" s="17" t="str">
        <v/>
      </c>
      <c r="Q214" s="17">
        <v>0</v>
      </c>
      <c r="R214" s="17">
        <v>0</v>
      </c>
      <c r="S214" s="17">
        <v>0</v>
      </c>
      <c r="T214" s="22">
        <v>0</v>
      </c>
    </row>
    <row r="215" spans="2:20" x14ac:dyDescent="0.25">
      <c r="B215" s="21">
        <v>0</v>
      </c>
      <c r="C215" s="17">
        <v>0</v>
      </c>
      <c r="D215" s="17">
        <v>0</v>
      </c>
      <c r="E215" s="17">
        <v>0</v>
      </c>
      <c r="F215" s="17">
        <v>0</v>
      </c>
      <c r="G215" s="17">
        <v>0</v>
      </c>
      <c r="H215" s="38">
        <v>0</v>
      </c>
      <c r="I215" s="17" t="str">
        <v/>
      </c>
      <c r="J215" s="17">
        <v>0</v>
      </c>
      <c r="K215" s="38">
        <v>0</v>
      </c>
      <c r="L215" s="17" t="str">
        <v/>
      </c>
      <c r="M215" s="17">
        <v>0</v>
      </c>
      <c r="N215" s="17">
        <v>0</v>
      </c>
      <c r="O215" s="17" t="str">
        <v/>
      </c>
      <c r="P215" s="17" t="str">
        <v/>
      </c>
      <c r="Q215" s="17">
        <v>0</v>
      </c>
      <c r="R215" s="17">
        <v>0</v>
      </c>
      <c r="S215" s="17">
        <v>0</v>
      </c>
      <c r="T215" s="22">
        <v>0</v>
      </c>
    </row>
    <row r="216" spans="2:20" x14ac:dyDescent="0.25">
      <c r="B216" s="21">
        <v>0</v>
      </c>
      <c r="C216" s="17">
        <v>0</v>
      </c>
      <c r="D216" s="17">
        <v>0</v>
      </c>
      <c r="E216" s="17">
        <v>0</v>
      </c>
      <c r="F216" s="17">
        <v>0</v>
      </c>
      <c r="G216" s="17">
        <v>0</v>
      </c>
      <c r="H216" s="38">
        <v>0</v>
      </c>
      <c r="I216" s="17" t="str">
        <v/>
      </c>
      <c r="J216" s="17">
        <v>0</v>
      </c>
      <c r="K216" s="38">
        <v>0</v>
      </c>
      <c r="L216" s="17" t="str">
        <v/>
      </c>
      <c r="M216" s="17">
        <v>0</v>
      </c>
      <c r="N216" s="17">
        <v>0</v>
      </c>
      <c r="O216" s="17" t="str">
        <v/>
      </c>
      <c r="P216" s="17" t="str">
        <v/>
      </c>
      <c r="Q216" s="17">
        <v>0</v>
      </c>
      <c r="R216" s="17">
        <v>0</v>
      </c>
      <c r="S216" s="17">
        <v>0</v>
      </c>
      <c r="T216" s="22">
        <v>0</v>
      </c>
    </row>
    <row r="217" spans="2:20" x14ac:dyDescent="0.25">
      <c r="B217" s="21">
        <v>0</v>
      </c>
      <c r="C217" s="17">
        <v>0</v>
      </c>
      <c r="D217" s="17">
        <v>0</v>
      </c>
      <c r="E217" s="17">
        <v>0</v>
      </c>
      <c r="F217" s="17">
        <v>0</v>
      </c>
      <c r="G217" s="17">
        <v>0</v>
      </c>
      <c r="H217" s="38">
        <v>0</v>
      </c>
      <c r="I217" s="17" t="str">
        <v/>
      </c>
      <c r="J217" s="17">
        <v>0</v>
      </c>
      <c r="K217" s="38">
        <v>0</v>
      </c>
      <c r="L217" s="17" t="str">
        <v/>
      </c>
      <c r="M217" s="17">
        <v>0</v>
      </c>
      <c r="N217" s="17">
        <v>0</v>
      </c>
      <c r="O217" s="17" t="str">
        <v/>
      </c>
      <c r="P217" s="17" t="str">
        <v/>
      </c>
      <c r="Q217" s="17">
        <v>0</v>
      </c>
      <c r="R217" s="17">
        <v>0</v>
      </c>
      <c r="S217" s="17">
        <v>0</v>
      </c>
      <c r="T217" s="22">
        <v>0</v>
      </c>
    </row>
    <row r="218" spans="2:20" x14ac:dyDescent="0.25">
      <c r="B218" s="21">
        <v>0</v>
      </c>
      <c r="C218" s="17">
        <v>0</v>
      </c>
      <c r="D218" s="17">
        <v>0</v>
      </c>
      <c r="E218" s="17">
        <v>0</v>
      </c>
      <c r="F218" s="17">
        <v>0</v>
      </c>
      <c r="G218" s="17">
        <v>0</v>
      </c>
      <c r="H218" s="38">
        <v>0</v>
      </c>
      <c r="I218" s="17" t="str">
        <v/>
      </c>
      <c r="J218" s="17">
        <v>0</v>
      </c>
      <c r="K218" s="38">
        <v>0</v>
      </c>
      <c r="L218" s="17" t="str">
        <v/>
      </c>
      <c r="M218" s="17">
        <v>0</v>
      </c>
      <c r="N218" s="17">
        <v>0</v>
      </c>
      <c r="O218" s="17" t="str">
        <v/>
      </c>
      <c r="P218" s="17" t="str">
        <v/>
      </c>
      <c r="Q218" s="17">
        <v>0</v>
      </c>
      <c r="R218" s="17">
        <v>0</v>
      </c>
      <c r="S218" s="17">
        <v>0</v>
      </c>
      <c r="T218" s="22">
        <v>0</v>
      </c>
    </row>
    <row r="219" spans="2:20" x14ac:dyDescent="0.25">
      <c r="B219" s="21">
        <v>0</v>
      </c>
      <c r="C219" s="17">
        <v>0</v>
      </c>
      <c r="D219" s="17">
        <v>0</v>
      </c>
      <c r="E219" s="17">
        <v>0</v>
      </c>
      <c r="F219" s="17">
        <v>0</v>
      </c>
      <c r="G219" s="17">
        <v>0</v>
      </c>
      <c r="H219" s="38">
        <v>0</v>
      </c>
      <c r="I219" s="17" t="str">
        <v/>
      </c>
      <c r="J219" s="17">
        <v>0</v>
      </c>
      <c r="K219" s="38">
        <v>0</v>
      </c>
      <c r="L219" s="17" t="str">
        <v/>
      </c>
      <c r="M219" s="17">
        <v>0</v>
      </c>
      <c r="N219" s="17">
        <v>0</v>
      </c>
      <c r="O219" s="17" t="str">
        <v/>
      </c>
      <c r="P219" s="17" t="str">
        <v/>
      </c>
      <c r="Q219" s="17">
        <v>0</v>
      </c>
      <c r="R219" s="17">
        <v>0</v>
      </c>
      <c r="S219" s="17">
        <v>0</v>
      </c>
      <c r="T219" s="22">
        <v>0</v>
      </c>
    </row>
    <row r="220" spans="2:20" x14ac:dyDescent="0.25">
      <c r="B220" s="21">
        <v>0</v>
      </c>
      <c r="C220" s="17">
        <v>0</v>
      </c>
      <c r="D220" s="17">
        <v>0</v>
      </c>
      <c r="E220" s="17">
        <v>0</v>
      </c>
      <c r="F220" s="17">
        <v>0</v>
      </c>
      <c r="G220" s="17">
        <v>0</v>
      </c>
      <c r="H220" s="38">
        <v>0</v>
      </c>
      <c r="I220" s="17" t="str">
        <v/>
      </c>
      <c r="J220" s="17">
        <v>0</v>
      </c>
      <c r="K220" s="38">
        <v>0</v>
      </c>
      <c r="L220" s="17" t="str">
        <v/>
      </c>
      <c r="M220" s="17">
        <v>0</v>
      </c>
      <c r="N220" s="17">
        <v>0</v>
      </c>
      <c r="O220" s="17" t="str">
        <v/>
      </c>
      <c r="P220" s="17" t="str">
        <v/>
      </c>
      <c r="Q220" s="17">
        <v>0</v>
      </c>
      <c r="R220" s="17">
        <v>0</v>
      </c>
      <c r="S220" s="17">
        <v>0</v>
      </c>
      <c r="T220" s="22">
        <v>0</v>
      </c>
    </row>
    <row r="221" spans="2:20" x14ac:dyDescent="0.25">
      <c r="B221" s="21">
        <v>0</v>
      </c>
      <c r="C221" s="17">
        <v>0</v>
      </c>
      <c r="D221" s="17">
        <v>0</v>
      </c>
      <c r="E221" s="17">
        <v>0</v>
      </c>
      <c r="F221" s="17">
        <v>0</v>
      </c>
      <c r="G221" s="17">
        <v>0</v>
      </c>
      <c r="H221" s="38">
        <v>0</v>
      </c>
      <c r="I221" s="17" t="str">
        <v/>
      </c>
      <c r="J221" s="17">
        <v>0</v>
      </c>
      <c r="K221" s="38">
        <v>0</v>
      </c>
      <c r="L221" s="17" t="str">
        <v/>
      </c>
      <c r="M221" s="17">
        <v>0</v>
      </c>
      <c r="N221" s="17">
        <v>0</v>
      </c>
      <c r="O221" s="17" t="str">
        <v/>
      </c>
      <c r="P221" s="17" t="str">
        <v/>
      </c>
      <c r="Q221" s="17">
        <v>0</v>
      </c>
      <c r="R221" s="17">
        <v>0</v>
      </c>
      <c r="S221" s="17">
        <v>0</v>
      </c>
      <c r="T221" s="22">
        <v>0</v>
      </c>
    </row>
    <row r="222" spans="2:20" x14ac:dyDescent="0.25">
      <c r="B222" s="21">
        <v>0</v>
      </c>
      <c r="C222" s="17">
        <v>0</v>
      </c>
      <c r="D222" s="17">
        <v>0</v>
      </c>
      <c r="E222" s="17">
        <v>0</v>
      </c>
      <c r="F222" s="17">
        <v>0</v>
      </c>
      <c r="G222" s="17">
        <v>0</v>
      </c>
      <c r="H222" s="38">
        <v>0</v>
      </c>
      <c r="I222" s="17" t="str">
        <v/>
      </c>
      <c r="J222" s="17">
        <v>0</v>
      </c>
      <c r="K222" s="38">
        <v>0</v>
      </c>
      <c r="L222" s="17" t="str">
        <v/>
      </c>
      <c r="M222" s="17">
        <v>0</v>
      </c>
      <c r="N222" s="17">
        <v>0</v>
      </c>
      <c r="O222" s="17" t="str">
        <v/>
      </c>
      <c r="P222" s="17" t="str">
        <v/>
      </c>
      <c r="Q222" s="17">
        <v>0</v>
      </c>
      <c r="R222" s="17">
        <v>0</v>
      </c>
      <c r="S222" s="17">
        <v>0</v>
      </c>
      <c r="T222" s="22">
        <v>0</v>
      </c>
    </row>
    <row r="223" spans="2:20" x14ac:dyDescent="0.25">
      <c r="B223" s="21">
        <v>0</v>
      </c>
      <c r="C223" s="17">
        <v>0</v>
      </c>
      <c r="D223" s="17">
        <v>0</v>
      </c>
      <c r="E223" s="17">
        <v>0</v>
      </c>
      <c r="F223" s="17">
        <v>0</v>
      </c>
      <c r="G223" s="17">
        <v>0</v>
      </c>
      <c r="H223" s="38">
        <v>0</v>
      </c>
      <c r="I223" s="17" t="str">
        <v/>
      </c>
      <c r="J223" s="17">
        <v>0</v>
      </c>
      <c r="K223" s="38">
        <v>0</v>
      </c>
      <c r="L223" s="17" t="str">
        <v/>
      </c>
      <c r="M223" s="17">
        <v>0</v>
      </c>
      <c r="N223" s="17">
        <v>0</v>
      </c>
      <c r="O223" s="17" t="str">
        <v/>
      </c>
      <c r="P223" s="17" t="str">
        <v/>
      </c>
      <c r="Q223" s="17">
        <v>0</v>
      </c>
      <c r="R223" s="17">
        <v>0</v>
      </c>
      <c r="S223" s="17">
        <v>0</v>
      </c>
      <c r="T223" s="22">
        <v>0</v>
      </c>
    </row>
    <row r="224" spans="2:20" x14ac:dyDescent="0.25">
      <c r="B224" s="21">
        <v>0</v>
      </c>
      <c r="C224" s="17">
        <v>0</v>
      </c>
      <c r="D224" s="17">
        <v>0</v>
      </c>
      <c r="E224" s="17">
        <v>0</v>
      </c>
      <c r="F224" s="17">
        <v>0</v>
      </c>
      <c r="G224" s="17">
        <v>0</v>
      </c>
      <c r="H224" s="38">
        <v>0</v>
      </c>
      <c r="I224" s="17" t="str">
        <v/>
      </c>
      <c r="J224" s="17">
        <v>0</v>
      </c>
      <c r="K224" s="38">
        <v>0</v>
      </c>
      <c r="L224" s="17" t="str">
        <v/>
      </c>
      <c r="M224" s="17">
        <v>0</v>
      </c>
      <c r="N224" s="17">
        <v>0</v>
      </c>
      <c r="O224" s="17" t="str">
        <v/>
      </c>
      <c r="P224" s="17" t="str">
        <v/>
      </c>
      <c r="Q224" s="17">
        <v>0</v>
      </c>
      <c r="R224" s="17">
        <v>0</v>
      </c>
      <c r="S224" s="17">
        <v>0</v>
      </c>
      <c r="T224" s="22">
        <v>0</v>
      </c>
    </row>
    <row r="225" spans="2:20" x14ac:dyDescent="0.25">
      <c r="B225" s="21">
        <v>0</v>
      </c>
      <c r="C225" s="17">
        <v>0</v>
      </c>
      <c r="D225" s="17">
        <v>0</v>
      </c>
      <c r="E225" s="17">
        <v>0</v>
      </c>
      <c r="F225" s="17">
        <v>0</v>
      </c>
      <c r="G225" s="17">
        <v>0</v>
      </c>
      <c r="H225" s="38">
        <v>0</v>
      </c>
      <c r="I225" s="17" t="str">
        <v/>
      </c>
      <c r="J225" s="17">
        <v>0</v>
      </c>
      <c r="K225" s="38">
        <v>0</v>
      </c>
      <c r="L225" s="17" t="str">
        <v/>
      </c>
      <c r="M225" s="17">
        <v>0</v>
      </c>
      <c r="N225" s="17">
        <v>0</v>
      </c>
      <c r="O225" s="17" t="str">
        <v/>
      </c>
      <c r="P225" s="17" t="str">
        <v/>
      </c>
      <c r="Q225" s="17">
        <v>0</v>
      </c>
      <c r="R225" s="17">
        <v>0</v>
      </c>
      <c r="S225" s="17">
        <v>0</v>
      </c>
      <c r="T225" s="22">
        <v>0</v>
      </c>
    </row>
    <row r="226" spans="2:20" x14ac:dyDescent="0.25">
      <c r="B226" s="21">
        <v>0</v>
      </c>
      <c r="C226" s="17">
        <v>0</v>
      </c>
      <c r="D226" s="17">
        <v>0</v>
      </c>
      <c r="E226" s="17">
        <v>0</v>
      </c>
      <c r="F226" s="17">
        <v>0</v>
      </c>
      <c r="G226" s="17">
        <v>0</v>
      </c>
      <c r="H226" s="38">
        <v>0</v>
      </c>
      <c r="I226" s="17" t="str">
        <v/>
      </c>
      <c r="J226" s="17">
        <v>0</v>
      </c>
      <c r="K226" s="38">
        <v>0</v>
      </c>
      <c r="L226" s="17" t="str">
        <v/>
      </c>
      <c r="M226" s="17">
        <v>0</v>
      </c>
      <c r="N226" s="17">
        <v>0</v>
      </c>
      <c r="O226" s="17" t="str">
        <v/>
      </c>
      <c r="P226" s="17" t="str">
        <v/>
      </c>
      <c r="Q226" s="17">
        <v>0</v>
      </c>
      <c r="R226" s="17">
        <v>0</v>
      </c>
      <c r="S226" s="17">
        <v>0</v>
      </c>
      <c r="T226" s="22">
        <v>0</v>
      </c>
    </row>
    <row r="227" spans="2:20" x14ac:dyDescent="0.25">
      <c r="B227" s="21">
        <v>0</v>
      </c>
      <c r="C227" s="17">
        <v>0</v>
      </c>
      <c r="D227" s="17">
        <v>0</v>
      </c>
      <c r="E227" s="17">
        <v>0</v>
      </c>
      <c r="F227" s="17">
        <v>0</v>
      </c>
      <c r="G227" s="17">
        <v>0</v>
      </c>
      <c r="H227" s="38">
        <v>0</v>
      </c>
      <c r="I227" s="17" t="str">
        <v/>
      </c>
      <c r="J227" s="17">
        <v>0</v>
      </c>
      <c r="K227" s="38">
        <v>0</v>
      </c>
      <c r="L227" s="17" t="str">
        <v/>
      </c>
      <c r="M227" s="17">
        <v>0</v>
      </c>
      <c r="N227" s="17">
        <v>0</v>
      </c>
      <c r="O227" s="17" t="str">
        <v/>
      </c>
      <c r="P227" s="17" t="str">
        <v/>
      </c>
      <c r="Q227" s="17">
        <v>0</v>
      </c>
      <c r="R227" s="17">
        <v>0</v>
      </c>
      <c r="S227" s="17">
        <v>0</v>
      </c>
      <c r="T227" s="22">
        <v>0</v>
      </c>
    </row>
    <row r="228" spans="2:20" x14ac:dyDescent="0.25">
      <c r="B228" s="21">
        <v>0</v>
      </c>
      <c r="C228" s="17">
        <v>0</v>
      </c>
      <c r="D228" s="17">
        <v>0</v>
      </c>
      <c r="E228" s="17">
        <v>0</v>
      </c>
      <c r="F228" s="17">
        <v>0</v>
      </c>
      <c r="G228" s="17">
        <v>0</v>
      </c>
      <c r="H228" s="38">
        <v>0</v>
      </c>
      <c r="I228" s="17" t="str">
        <v/>
      </c>
      <c r="J228" s="17">
        <v>0</v>
      </c>
      <c r="K228" s="38">
        <v>0</v>
      </c>
      <c r="L228" s="17" t="str">
        <v/>
      </c>
      <c r="M228" s="17">
        <v>0</v>
      </c>
      <c r="N228" s="17">
        <v>0</v>
      </c>
      <c r="O228" s="17" t="str">
        <v/>
      </c>
      <c r="P228" s="17" t="str">
        <v/>
      </c>
      <c r="Q228" s="17">
        <v>0</v>
      </c>
      <c r="R228" s="17">
        <v>0</v>
      </c>
      <c r="S228" s="17">
        <v>0</v>
      </c>
      <c r="T228" s="22">
        <v>0</v>
      </c>
    </row>
    <row r="229" spans="2:20" x14ac:dyDescent="0.25">
      <c r="B229" s="21">
        <v>0</v>
      </c>
      <c r="C229" s="17">
        <v>0</v>
      </c>
      <c r="D229" s="17">
        <v>0</v>
      </c>
      <c r="E229" s="17">
        <v>0</v>
      </c>
      <c r="F229" s="17">
        <v>0</v>
      </c>
      <c r="G229" s="17">
        <v>0</v>
      </c>
      <c r="H229" s="38">
        <v>0</v>
      </c>
      <c r="I229" s="17" t="str">
        <v/>
      </c>
      <c r="J229" s="17">
        <v>0</v>
      </c>
      <c r="K229" s="38">
        <v>0</v>
      </c>
      <c r="L229" s="17" t="str">
        <v/>
      </c>
      <c r="M229" s="17">
        <v>0</v>
      </c>
      <c r="N229" s="17">
        <v>0</v>
      </c>
      <c r="O229" s="17" t="str">
        <v/>
      </c>
      <c r="P229" s="17" t="str">
        <v/>
      </c>
      <c r="Q229" s="17">
        <v>0</v>
      </c>
      <c r="R229" s="17">
        <v>0</v>
      </c>
      <c r="S229" s="17">
        <v>0</v>
      </c>
      <c r="T229" s="22">
        <v>0</v>
      </c>
    </row>
    <row r="230" spans="2:20" x14ac:dyDescent="0.25">
      <c r="B230" s="21">
        <v>0</v>
      </c>
      <c r="C230" s="17">
        <v>0</v>
      </c>
      <c r="D230" s="17">
        <v>0</v>
      </c>
      <c r="E230" s="17">
        <v>0</v>
      </c>
      <c r="F230" s="17">
        <v>0</v>
      </c>
      <c r="G230" s="17">
        <v>0</v>
      </c>
      <c r="H230" s="38">
        <v>0</v>
      </c>
      <c r="I230" s="17" t="str">
        <v/>
      </c>
      <c r="J230" s="17">
        <v>0</v>
      </c>
      <c r="K230" s="38">
        <v>0</v>
      </c>
      <c r="L230" s="17" t="str">
        <v/>
      </c>
      <c r="M230" s="17">
        <v>0</v>
      </c>
      <c r="N230" s="17">
        <v>0</v>
      </c>
      <c r="O230" s="17" t="str">
        <v/>
      </c>
      <c r="P230" s="17" t="str">
        <v/>
      </c>
      <c r="Q230" s="17">
        <v>0</v>
      </c>
      <c r="R230" s="17">
        <v>0</v>
      </c>
      <c r="S230" s="17">
        <v>0</v>
      </c>
      <c r="T230" s="22">
        <v>0</v>
      </c>
    </row>
    <row r="231" spans="2:20" x14ac:dyDescent="0.25">
      <c r="B231" s="21">
        <v>0</v>
      </c>
      <c r="C231" s="17">
        <v>0</v>
      </c>
      <c r="D231" s="17">
        <v>0</v>
      </c>
      <c r="E231" s="17">
        <v>0</v>
      </c>
      <c r="F231" s="17">
        <v>0</v>
      </c>
      <c r="G231" s="17">
        <v>0</v>
      </c>
      <c r="H231" s="38">
        <v>0</v>
      </c>
      <c r="I231" s="17" t="str">
        <v/>
      </c>
      <c r="J231" s="17">
        <v>0</v>
      </c>
      <c r="K231" s="38">
        <v>0</v>
      </c>
      <c r="L231" s="17" t="str">
        <v/>
      </c>
      <c r="M231" s="17">
        <v>0</v>
      </c>
      <c r="N231" s="17">
        <v>0</v>
      </c>
      <c r="O231" s="17" t="str">
        <v/>
      </c>
      <c r="P231" s="17" t="str">
        <v/>
      </c>
      <c r="Q231" s="17">
        <v>0</v>
      </c>
      <c r="R231" s="17">
        <v>0</v>
      </c>
      <c r="S231" s="17">
        <v>0</v>
      </c>
      <c r="T231" s="22">
        <v>0</v>
      </c>
    </row>
    <row r="232" spans="2:20" x14ac:dyDescent="0.25">
      <c r="B232" s="21">
        <v>0</v>
      </c>
      <c r="C232" s="17">
        <v>0</v>
      </c>
      <c r="D232" s="17">
        <v>0</v>
      </c>
      <c r="E232" s="17">
        <v>0</v>
      </c>
      <c r="F232" s="17">
        <v>0</v>
      </c>
      <c r="G232" s="17">
        <v>0</v>
      </c>
      <c r="H232" s="38">
        <v>0</v>
      </c>
      <c r="I232" s="17" t="str">
        <v/>
      </c>
      <c r="J232" s="17">
        <v>0</v>
      </c>
      <c r="K232" s="38">
        <v>0</v>
      </c>
      <c r="L232" s="17" t="str">
        <v/>
      </c>
      <c r="M232" s="17">
        <v>0</v>
      </c>
      <c r="N232" s="17">
        <v>0</v>
      </c>
      <c r="O232" s="17" t="str">
        <v/>
      </c>
      <c r="P232" s="17" t="str">
        <v/>
      </c>
      <c r="Q232" s="17">
        <v>0</v>
      </c>
      <c r="R232" s="17">
        <v>0</v>
      </c>
      <c r="S232" s="17">
        <v>0</v>
      </c>
      <c r="T232" s="22">
        <v>0</v>
      </c>
    </row>
    <row r="233" spans="2:20" x14ac:dyDescent="0.25">
      <c r="B233" s="21">
        <v>0</v>
      </c>
      <c r="C233" s="17">
        <v>0</v>
      </c>
      <c r="D233" s="17">
        <v>0</v>
      </c>
      <c r="E233" s="17">
        <v>0</v>
      </c>
      <c r="F233" s="17">
        <v>0</v>
      </c>
      <c r="G233" s="17">
        <v>0</v>
      </c>
      <c r="H233" s="38">
        <v>0</v>
      </c>
      <c r="I233" s="17" t="str">
        <v/>
      </c>
      <c r="J233" s="17">
        <v>0</v>
      </c>
      <c r="K233" s="38">
        <v>0</v>
      </c>
      <c r="L233" s="17" t="str">
        <v/>
      </c>
      <c r="M233" s="17">
        <v>0</v>
      </c>
      <c r="N233" s="17">
        <v>0</v>
      </c>
      <c r="O233" s="17" t="str">
        <v/>
      </c>
      <c r="P233" s="17" t="str">
        <v/>
      </c>
      <c r="Q233" s="17">
        <v>0</v>
      </c>
      <c r="R233" s="17">
        <v>0</v>
      </c>
      <c r="S233" s="17">
        <v>0</v>
      </c>
      <c r="T233" s="22">
        <v>0</v>
      </c>
    </row>
    <row r="234" spans="2:20" x14ac:dyDescent="0.25">
      <c r="B234" s="21">
        <v>0</v>
      </c>
      <c r="C234" s="17">
        <v>0</v>
      </c>
      <c r="D234" s="17">
        <v>0</v>
      </c>
      <c r="E234" s="17">
        <v>0</v>
      </c>
      <c r="F234" s="17">
        <v>0</v>
      </c>
      <c r="G234" s="17">
        <v>0</v>
      </c>
      <c r="H234" s="38">
        <v>0</v>
      </c>
      <c r="I234" s="17" t="str">
        <v/>
      </c>
      <c r="J234" s="17">
        <v>0</v>
      </c>
      <c r="K234" s="38">
        <v>0</v>
      </c>
      <c r="L234" s="17" t="str">
        <v/>
      </c>
      <c r="M234" s="17">
        <v>0</v>
      </c>
      <c r="N234" s="17">
        <v>0</v>
      </c>
      <c r="O234" s="17" t="str">
        <v/>
      </c>
      <c r="P234" s="17" t="str">
        <v/>
      </c>
      <c r="Q234" s="17">
        <v>0</v>
      </c>
      <c r="R234" s="17">
        <v>0</v>
      </c>
      <c r="S234" s="17">
        <v>0</v>
      </c>
      <c r="T234" s="22">
        <v>0</v>
      </c>
    </row>
    <row r="235" spans="2:20" x14ac:dyDescent="0.25">
      <c r="B235" s="21">
        <v>0</v>
      </c>
      <c r="C235" s="17">
        <v>0</v>
      </c>
      <c r="D235" s="17">
        <v>0</v>
      </c>
      <c r="E235" s="17">
        <v>0</v>
      </c>
      <c r="F235" s="17">
        <v>0</v>
      </c>
      <c r="G235" s="17">
        <v>0</v>
      </c>
      <c r="H235" s="38">
        <v>0</v>
      </c>
      <c r="I235" s="17" t="str">
        <v/>
      </c>
      <c r="J235" s="17">
        <v>0</v>
      </c>
      <c r="K235" s="38">
        <v>0</v>
      </c>
      <c r="L235" s="17" t="str">
        <v/>
      </c>
      <c r="M235" s="17">
        <v>0</v>
      </c>
      <c r="N235" s="17">
        <v>0</v>
      </c>
      <c r="O235" s="17" t="str">
        <v/>
      </c>
      <c r="P235" s="17" t="str">
        <v/>
      </c>
      <c r="Q235" s="17">
        <v>0</v>
      </c>
      <c r="R235" s="17">
        <v>0</v>
      </c>
      <c r="S235" s="17">
        <v>0</v>
      </c>
      <c r="T235" s="22">
        <v>0</v>
      </c>
    </row>
    <row r="236" spans="2:20" x14ac:dyDescent="0.25">
      <c r="B236" s="21">
        <v>0</v>
      </c>
      <c r="C236" s="17">
        <v>0</v>
      </c>
      <c r="D236" s="17">
        <v>0</v>
      </c>
      <c r="E236" s="17">
        <v>0</v>
      </c>
      <c r="F236" s="17">
        <v>0</v>
      </c>
      <c r="G236" s="17">
        <v>0</v>
      </c>
      <c r="H236" s="38">
        <v>0</v>
      </c>
      <c r="I236" s="17" t="str">
        <v/>
      </c>
      <c r="J236" s="17">
        <v>0</v>
      </c>
      <c r="K236" s="38">
        <v>0</v>
      </c>
      <c r="L236" s="17" t="str">
        <v/>
      </c>
      <c r="M236" s="17">
        <v>0</v>
      </c>
      <c r="N236" s="17">
        <v>0</v>
      </c>
      <c r="O236" s="17" t="str">
        <v/>
      </c>
      <c r="P236" s="17" t="str">
        <v/>
      </c>
      <c r="Q236" s="17">
        <v>0</v>
      </c>
      <c r="R236" s="17">
        <v>0</v>
      </c>
      <c r="S236" s="17">
        <v>0</v>
      </c>
      <c r="T236" s="22">
        <v>0</v>
      </c>
    </row>
    <row r="237" spans="2:20" x14ac:dyDescent="0.25">
      <c r="B237" s="21">
        <v>0</v>
      </c>
      <c r="C237" s="17">
        <v>0</v>
      </c>
      <c r="D237" s="17">
        <v>0</v>
      </c>
      <c r="E237" s="17">
        <v>0</v>
      </c>
      <c r="F237" s="17">
        <v>0</v>
      </c>
      <c r="G237" s="17">
        <v>0</v>
      </c>
      <c r="H237" s="38">
        <v>0</v>
      </c>
      <c r="I237" s="17" t="str">
        <v/>
      </c>
      <c r="J237" s="17">
        <v>0</v>
      </c>
      <c r="K237" s="38">
        <v>0</v>
      </c>
      <c r="L237" s="17" t="str">
        <v/>
      </c>
      <c r="M237" s="17">
        <v>0</v>
      </c>
      <c r="N237" s="17">
        <v>0</v>
      </c>
      <c r="O237" s="17" t="str">
        <v/>
      </c>
      <c r="P237" s="17" t="str">
        <v/>
      </c>
      <c r="Q237" s="17">
        <v>0</v>
      </c>
      <c r="R237" s="17">
        <v>0</v>
      </c>
      <c r="S237" s="17">
        <v>0</v>
      </c>
      <c r="T237" s="22">
        <v>0</v>
      </c>
    </row>
    <row r="238" spans="2:20" x14ac:dyDescent="0.25">
      <c r="B238" s="21">
        <v>0</v>
      </c>
      <c r="C238" s="17">
        <v>0</v>
      </c>
      <c r="D238" s="17">
        <v>0</v>
      </c>
      <c r="E238" s="17">
        <v>0</v>
      </c>
      <c r="F238" s="17">
        <v>0</v>
      </c>
      <c r="G238" s="17">
        <v>0</v>
      </c>
      <c r="H238" s="38">
        <v>0</v>
      </c>
      <c r="I238" s="17" t="str">
        <v/>
      </c>
      <c r="J238" s="17">
        <v>0</v>
      </c>
      <c r="K238" s="38">
        <v>0</v>
      </c>
      <c r="L238" s="17" t="str">
        <v/>
      </c>
      <c r="M238" s="17">
        <v>0</v>
      </c>
      <c r="N238" s="17">
        <v>0</v>
      </c>
      <c r="O238" s="17" t="str">
        <v/>
      </c>
      <c r="P238" s="17" t="str">
        <v/>
      </c>
      <c r="Q238" s="17">
        <v>0</v>
      </c>
      <c r="R238" s="17">
        <v>0</v>
      </c>
      <c r="S238" s="17">
        <v>0</v>
      </c>
      <c r="T238" s="22">
        <v>0</v>
      </c>
    </row>
    <row r="239" spans="2:20" x14ac:dyDescent="0.25">
      <c r="B239" s="21">
        <v>0</v>
      </c>
      <c r="C239" s="17">
        <v>0</v>
      </c>
      <c r="D239" s="17">
        <v>0</v>
      </c>
      <c r="E239" s="17">
        <v>0</v>
      </c>
      <c r="F239" s="17">
        <v>0</v>
      </c>
      <c r="G239" s="17">
        <v>0</v>
      </c>
      <c r="H239" s="38">
        <v>0</v>
      </c>
      <c r="I239" s="17" t="str">
        <v/>
      </c>
      <c r="J239" s="17">
        <v>0</v>
      </c>
      <c r="K239" s="38">
        <v>0</v>
      </c>
      <c r="L239" s="17" t="str">
        <v/>
      </c>
      <c r="M239" s="17">
        <v>0</v>
      </c>
      <c r="N239" s="17">
        <v>0</v>
      </c>
      <c r="O239" s="17" t="str">
        <v/>
      </c>
      <c r="P239" s="17" t="str">
        <v/>
      </c>
      <c r="Q239" s="17">
        <v>0</v>
      </c>
      <c r="R239" s="17">
        <v>0</v>
      </c>
      <c r="S239" s="17">
        <v>0</v>
      </c>
      <c r="T239" s="22">
        <v>0</v>
      </c>
    </row>
    <row r="240" spans="2:20" x14ac:dyDescent="0.25">
      <c r="B240" s="21">
        <v>0</v>
      </c>
      <c r="C240" s="17">
        <v>0</v>
      </c>
      <c r="D240" s="17">
        <v>0</v>
      </c>
      <c r="E240" s="17">
        <v>0</v>
      </c>
      <c r="F240" s="17">
        <v>0</v>
      </c>
      <c r="G240" s="17">
        <v>0</v>
      </c>
      <c r="H240" s="38">
        <v>0</v>
      </c>
      <c r="I240" s="17" t="str">
        <v/>
      </c>
      <c r="J240" s="17">
        <v>0</v>
      </c>
      <c r="K240" s="38">
        <v>0</v>
      </c>
      <c r="L240" s="17" t="str">
        <v/>
      </c>
      <c r="M240" s="17">
        <v>0</v>
      </c>
      <c r="N240" s="17">
        <v>0</v>
      </c>
      <c r="O240" s="17" t="str">
        <v/>
      </c>
      <c r="P240" s="17" t="str">
        <v/>
      </c>
      <c r="Q240" s="17">
        <v>0</v>
      </c>
      <c r="R240" s="17">
        <v>0</v>
      </c>
      <c r="S240" s="17">
        <v>0</v>
      </c>
      <c r="T240" s="22">
        <v>0</v>
      </c>
    </row>
    <row r="241" spans="2:20" x14ac:dyDescent="0.25">
      <c r="B241" s="21">
        <v>0</v>
      </c>
      <c r="C241" s="17">
        <v>0</v>
      </c>
      <c r="D241" s="17">
        <v>0</v>
      </c>
      <c r="E241" s="17">
        <v>0</v>
      </c>
      <c r="F241" s="17">
        <v>0</v>
      </c>
      <c r="G241" s="17">
        <v>0</v>
      </c>
      <c r="H241" s="38">
        <v>0</v>
      </c>
      <c r="I241" s="17" t="str">
        <v/>
      </c>
      <c r="J241" s="17">
        <v>0</v>
      </c>
      <c r="K241" s="38">
        <v>0</v>
      </c>
      <c r="L241" s="17" t="str">
        <v/>
      </c>
      <c r="M241" s="17">
        <v>0</v>
      </c>
      <c r="N241" s="17">
        <v>0</v>
      </c>
      <c r="O241" s="17" t="str">
        <v/>
      </c>
      <c r="P241" s="17" t="str">
        <v/>
      </c>
      <c r="Q241" s="17">
        <v>0</v>
      </c>
      <c r="R241" s="17">
        <v>0</v>
      </c>
      <c r="S241" s="17">
        <v>0</v>
      </c>
      <c r="T241" s="22">
        <v>0</v>
      </c>
    </row>
    <row r="242" spans="2:20" x14ac:dyDescent="0.25">
      <c r="B242" s="21">
        <v>0</v>
      </c>
      <c r="C242" s="17">
        <v>0</v>
      </c>
      <c r="D242" s="17">
        <v>0</v>
      </c>
      <c r="E242" s="17">
        <v>0</v>
      </c>
      <c r="F242" s="17">
        <v>0</v>
      </c>
      <c r="G242" s="17">
        <v>0</v>
      </c>
      <c r="H242" s="38">
        <v>0</v>
      </c>
      <c r="I242" s="17" t="str">
        <v/>
      </c>
      <c r="J242" s="17">
        <v>0</v>
      </c>
      <c r="K242" s="38">
        <v>0</v>
      </c>
      <c r="L242" s="17" t="str">
        <v/>
      </c>
      <c r="M242" s="17">
        <v>0</v>
      </c>
      <c r="N242" s="17">
        <v>0</v>
      </c>
      <c r="O242" s="17" t="str">
        <v/>
      </c>
      <c r="P242" s="17" t="str">
        <v/>
      </c>
      <c r="Q242" s="17">
        <v>0</v>
      </c>
      <c r="R242" s="17">
        <v>0</v>
      </c>
      <c r="S242" s="17">
        <v>0</v>
      </c>
      <c r="T242" s="22">
        <v>0</v>
      </c>
    </row>
    <row r="243" spans="2:20" x14ac:dyDescent="0.25">
      <c r="B243" s="21">
        <v>0</v>
      </c>
      <c r="C243" s="17">
        <v>0</v>
      </c>
      <c r="D243" s="17">
        <v>0</v>
      </c>
      <c r="E243" s="17">
        <v>0</v>
      </c>
      <c r="F243" s="17">
        <v>0</v>
      </c>
      <c r="G243" s="17">
        <v>0</v>
      </c>
      <c r="H243" s="38">
        <v>0</v>
      </c>
      <c r="I243" s="17" t="str">
        <v/>
      </c>
      <c r="J243" s="17">
        <v>0</v>
      </c>
      <c r="K243" s="38">
        <v>0</v>
      </c>
      <c r="L243" s="17" t="str">
        <v/>
      </c>
      <c r="M243" s="17">
        <v>0</v>
      </c>
      <c r="N243" s="17">
        <v>0</v>
      </c>
      <c r="O243" s="17" t="str">
        <v/>
      </c>
      <c r="P243" s="17" t="str">
        <v/>
      </c>
      <c r="Q243" s="17">
        <v>0</v>
      </c>
      <c r="R243" s="17">
        <v>0</v>
      </c>
      <c r="S243" s="17">
        <v>0</v>
      </c>
      <c r="T243" s="22">
        <v>0</v>
      </c>
    </row>
    <row r="244" spans="2:20" x14ac:dyDescent="0.25">
      <c r="B244" s="21">
        <v>0</v>
      </c>
      <c r="C244" s="17">
        <v>0</v>
      </c>
      <c r="D244" s="17">
        <v>0</v>
      </c>
      <c r="E244" s="17">
        <v>0</v>
      </c>
      <c r="F244" s="17">
        <v>0</v>
      </c>
      <c r="G244" s="17">
        <v>0</v>
      </c>
      <c r="H244" s="38">
        <v>0</v>
      </c>
      <c r="I244" s="17" t="str">
        <v/>
      </c>
      <c r="J244" s="17">
        <v>0</v>
      </c>
      <c r="K244" s="38">
        <v>0</v>
      </c>
      <c r="L244" s="17" t="str">
        <v/>
      </c>
      <c r="M244" s="17">
        <v>0</v>
      </c>
      <c r="N244" s="17">
        <v>0</v>
      </c>
      <c r="O244" s="17" t="str">
        <v/>
      </c>
      <c r="P244" s="17" t="str">
        <v/>
      </c>
      <c r="Q244" s="17">
        <v>0</v>
      </c>
      <c r="R244" s="17">
        <v>0</v>
      </c>
      <c r="S244" s="17">
        <v>0</v>
      </c>
      <c r="T244" s="22">
        <v>0</v>
      </c>
    </row>
    <row r="245" spans="2:20" x14ac:dyDescent="0.25">
      <c r="B245" s="21">
        <v>0</v>
      </c>
      <c r="C245" s="17">
        <v>0</v>
      </c>
      <c r="D245" s="17">
        <v>0</v>
      </c>
      <c r="E245" s="17">
        <v>0</v>
      </c>
      <c r="F245" s="17">
        <v>0</v>
      </c>
      <c r="G245" s="17">
        <v>0</v>
      </c>
      <c r="H245" s="38">
        <v>0</v>
      </c>
      <c r="I245" s="17" t="str">
        <v/>
      </c>
      <c r="J245" s="17">
        <v>0</v>
      </c>
      <c r="K245" s="38">
        <v>0</v>
      </c>
      <c r="L245" s="17" t="str">
        <v/>
      </c>
      <c r="M245" s="17">
        <v>0</v>
      </c>
      <c r="N245" s="17">
        <v>0</v>
      </c>
      <c r="O245" s="17" t="str">
        <v/>
      </c>
      <c r="P245" s="17" t="str">
        <v/>
      </c>
      <c r="Q245" s="17">
        <v>0</v>
      </c>
      <c r="R245" s="17">
        <v>0</v>
      </c>
      <c r="S245" s="17">
        <v>0</v>
      </c>
      <c r="T245" s="22">
        <v>0</v>
      </c>
    </row>
    <row r="246" spans="2:20" x14ac:dyDescent="0.25">
      <c r="B246" s="21">
        <v>0</v>
      </c>
      <c r="C246" s="17">
        <v>0</v>
      </c>
      <c r="D246" s="17">
        <v>0</v>
      </c>
      <c r="E246" s="17">
        <v>0</v>
      </c>
      <c r="F246" s="17">
        <v>0</v>
      </c>
      <c r="G246" s="17">
        <v>0</v>
      </c>
      <c r="H246" s="38">
        <v>0</v>
      </c>
      <c r="I246" s="17" t="str">
        <v/>
      </c>
      <c r="J246" s="17">
        <v>0</v>
      </c>
      <c r="K246" s="38">
        <v>0</v>
      </c>
      <c r="L246" s="17" t="str">
        <v/>
      </c>
      <c r="M246" s="17">
        <v>0</v>
      </c>
      <c r="N246" s="17">
        <v>0</v>
      </c>
      <c r="O246" s="17" t="str">
        <v/>
      </c>
      <c r="P246" s="17" t="str">
        <v/>
      </c>
      <c r="Q246" s="17">
        <v>0</v>
      </c>
      <c r="R246" s="17">
        <v>0</v>
      </c>
      <c r="S246" s="17">
        <v>0</v>
      </c>
      <c r="T246" s="22">
        <v>0</v>
      </c>
    </row>
    <row r="247" spans="2:20" x14ac:dyDescent="0.25">
      <c r="B247" s="21">
        <v>0</v>
      </c>
      <c r="C247" s="17">
        <v>0</v>
      </c>
      <c r="D247" s="17">
        <v>0</v>
      </c>
      <c r="E247" s="17">
        <v>0</v>
      </c>
      <c r="F247" s="17">
        <v>0</v>
      </c>
      <c r="G247" s="17">
        <v>0</v>
      </c>
      <c r="H247" s="38">
        <v>0</v>
      </c>
      <c r="I247" s="17" t="str">
        <v/>
      </c>
      <c r="J247" s="17">
        <v>0</v>
      </c>
      <c r="K247" s="38">
        <v>0</v>
      </c>
      <c r="L247" s="17" t="str">
        <v/>
      </c>
      <c r="M247" s="17">
        <v>0</v>
      </c>
      <c r="N247" s="17">
        <v>0</v>
      </c>
      <c r="O247" s="17" t="str">
        <v/>
      </c>
      <c r="P247" s="17" t="str">
        <v/>
      </c>
      <c r="Q247" s="17">
        <v>0</v>
      </c>
      <c r="R247" s="17">
        <v>0</v>
      </c>
      <c r="S247" s="17">
        <v>0</v>
      </c>
      <c r="T247" s="22">
        <v>0</v>
      </c>
    </row>
    <row r="248" spans="2:20" x14ac:dyDescent="0.25">
      <c r="B248" s="21">
        <v>0</v>
      </c>
      <c r="C248" s="17">
        <v>0</v>
      </c>
      <c r="D248" s="17">
        <v>0</v>
      </c>
      <c r="E248" s="17">
        <v>0</v>
      </c>
      <c r="F248" s="17">
        <v>0</v>
      </c>
      <c r="G248" s="17">
        <v>0</v>
      </c>
      <c r="H248" s="38">
        <v>0</v>
      </c>
      <c r="I248" s="17" t="str">
        <v/>
      </c>
      <c r="J248" s="17">
        <v>0</v>
      </c>
      <c r="K248" s="38">
        <v>0</v>
      </c>
      <c r="L248" s="17" t="str">
        <v/>
      </c>
      <c r="M248" s="17">
        <v>0</v>
      </c>
      <c r="N248" s="17">
        <v>0</v>
      </c>
      <c r="O248" s="17" t="str">
        <v/>
      </c>
      <c r="P248" s="17" t="str">
        <v/>
      </c>
      <c r="Q248" s="17">
        <v>0</v>
      </c>
      <c r="R248" s="17">
        <v>0</v>
      </c>
      <c r="S248" s="17">
        <v>0</v>
      </c>
      <c r="T248" s="22">
        <v>0</v>
      </c>
    </row>
    <row r="249" spans="2:20" x14ac:dyDescent="0.25">
      <c r="B249" s="21">
        <v>0</v>
      </c>
      <c r="C249" s="17">
        <v>0</v>
      </c>
      <c r="D249" s="17">
        <v>0</v>
      </c>
      <c r="E249" s="17">
        <v>0</v>
      </c>
      <c r="F249" s="17">
        <v>0</v>
      </c>
      <c r="G249" s="17">
        <v>0</v>
      </c>
      <c r="H249" s="38">
        <v>0</v>
      </c>
      <c r="I249" s="17" t="str">
        <v/>
      </c>
      <c r="J249" s="17">
        <v>0</v>
      </c>
      <c r="K249" s="38">
        <v>0</v>
      </c>
      <c r="L249" s="17" t="str">
        <v/>
      </c>
      <c r="M249" s="17">
        <v>0</v>
      </c>
      <c r="N249" s="17">
        <v>0</v>
      </c>
      <c r="O249" s="17" t="str">
        <v/>
      </c>
      <c r="P249" s="17" t="str">
        <v/>
      </c>
      <c r="Q249" s="17">
        <v>0</v>
      </c>
      <c r="R249" s="17">
        <v>0</v>
      </c>
      <c r="S249" s="17">
        <v>0</v>
      </c>
      <c r="T249" s="22">
        <v>0</v>
      </c>
    </row>
    <row r="250" spans="2:20" x14ac:dyDescent="0.25">
      <c r="B250" s="21">
        <v>0</v>
      </c>
      <c r="C250" s="17">
        <v>0</v>
      </c>
      <c r="D250" s="17">
        <v>0</v>
      </c>
      <c r="E250" s="17">
        <v>0</v>
      </c>
      <c r="F250" s="17">
        <v>0</v>
      </c>
      <c r="G250" s="17">
        <v>0</v>
      </c>
      <c r="H250" s="38">
        <v>0</v>
      </c>
      <c r="I250" s="17" t="str">
        <v/>
      </c>
      <c r="J250" s="17">
        <v>0</v>
      </c>
      <c r="K250" s="38">
        <v>0</v>
      </c>
      <c r="L250" s="17" t="str">
        <v/>
      </c>
      <c r="M250" s="17">
        <v>0</v>
      </c>
      <c r="N250" s="17">
        <v>0</v>
      </c>
      <c r="O250" s="17" t="str">
        <v/>
      </c>
      <c r="P250" s="17" t="str">
        <v/>
      </c>
      <c r="Q250" s="17">
        <v>0</v>
      </c>
      <c r="R250" s="17">
        <v>0</v>
      </c>
      <c r="S250" s="17">
        <v>0</v>
      </c>
      <c r="T250" s="22">
        <v>0</v>
      </c>
    </row>
    <row r="251" spans="2:20" x14ac:dyDescent="0.25">
      <c r="B251" s="21">
        <v>0</v>
      </c>
      <c r="C251" s="17">
        <v>0</v>
      </c>
      <c r="D251" s="17">
        <v>0</v>
      </c>
      <c r="E251" s="17">
        <v>0</v>
      </c>
      <c r="F251" s="17">
        <v>0</v>
      </c>
      <c r="G251" s="17">
        <v>0</v>
      </c>
      <c r="H251" s="38">
        <v>0</v>
      </c>
      <c r="I251" s="17" t="str">
        <v/>
      </c>
      <c r="J251" s="17">
        <v>0</v>
      </c>
      <c r="K251" s="38">
        <v>0</v>
      </c>
      <c r="L251" s="17" t="str">
        <v/>
      </c>
      <c r="M251" s="17">
        <v>0</v>
      </c>
      <c r="N251" s="17">
        <v>0</v>
      </c>
      <c r="O251" s="17" t="str">
        <v/>
      </c>
      <c r="P251" s="17" t="str">
        <v/>
      </c>
      <c r="Q251" s="17">
        <v>0</v>
      </c>
      <c r="R251" s="17">
        <v>0</v>
      </c>
      <c r="S251" s="17">
        <v>0</v>
      </c>
      <c r="T251" s="22">
        <v>0</v>
      </c>
    </row>
    <row r="252" spans="2:20" x14ac:dyDescent="0.25">
      <c r="B252" s="21">
        <v>0</v>
      </c>
      <c r="C252" s="17">
        <v>0</v>
      </c>
      <c r="D252" s="17">
        <v>0</v>
      </c>
      <c r="E252" s="17">
        <v>0</v>
      </c>
      <c r="F252" s="17">
        <v>0</v>
      </c>
      <c r="G252" s="17">
        <v>0</v>
      </c>
      <c r="H252" s="38">
        <v>0</v>
      </c>
      <c r="I252" s="17" t="str">
        <v/>
      </c>
      <c r="J252" s="17">
        <v>0</v>
      </c>
      <c r="K252" s="38">
        <v>0</v>
      </c>
      <c r="L252" s="17" t="str">
        <v/>
      </c>
      <c r="M252" s="17">
        <v>0</v>
      </c>
      <c r="N252" s="17">
        <v>0</v>
      </c>
      <c r="O252" s="17" t="str">
        <v/>
      </c>
      <c r="P252" s="17" t="str">
        <v/>
      </c>
      <c r="Q252" s="17">
        <v>0</v>
      </c>
      <c r="R252" s="17">
        <v>0</v>
      </c>
      <c r="S252" s="17">
        <v>0</v>
      </c>
      <c r="T252" s="22">
        <v>0</v>
      </c>
    </row>
    <row r="253" spans="2:20" x14ac:dyDescent="0.25">
      <c r="B253" s="21">
        <v>0</v>
      </c>
      <c r="C253" s="17">
        <v>0</v>
      </c>
      <c r="D253" s="17">
        <v>0</v>
      </c>
      <c r="E253" s="17">
        <v>0</v>
      </c>
      <c r="F253" s="17">
        <v>0</v>
      </c>
      <c r="G253" s="17">
        <v>0</v>
      </c>
      <c r="H253" s="38">
        <v>0</v>
      </c>
      <c r="I253" s="17" t="str">
        <v/>
      </c>
      <c r="J253" s="17">
        <v>0</v>
      </c>
      <c r="K253" s="38">
        <v>0</v>
      </c>
      <c r="L253" s="17" t="str">
        <v/>
      </c>
      <c r="M253" s="17">
        <v>0</v>
      </c>
      <c r="N253" s="17">
        <v>0</v>
      </c>
      <c r="O253" s="17" t="str">
        <v/>
      </c>
      <c r="P253" s="17" t="str">
        <v/>
      </c>
      <c r="Q253" s="17">
        <v>0</v>
      </c>
      <c r="R253" s="17">
        <v>0</v>
      </c>
      <c r="S253" s="17">
        <v>0</v>
      </c>
      <c r="T253" s="22">
        <v>0</v>
      </c>
    </row>
    <row r="254" spans="2:20" x14ac:dyDescent="0.25">
      <c r="B254" s="21">
        <v>0</v>
      </c>
      <c r="C254" s="17">
        <v>0</v>
      </c>
      <c r="D254" s="17">
        <v>0</v>
      </c>
      <c r="E254" s="17">
        <v>0</v>
      </c>
      <c r="F254" s="17">
        <v>0</v>
      </c>
      <c r="G254" s="17">
        <v>0</v>
      </c>
      <c r="H254" s="38">
        <v>0</v>
      </c>
      <c r="I254" s="17" t="str">
        <v/>
      </c>
      <c r="J254" s="17">
        <v>0</v>
      </c>
      <c r="K254" s="38">
        <v>0</v>
      </c>
      <c r="L254" s="17" t="str">
        <v/>
      </c>
      <c r="M254" s="17">
        <v>0</v>
      </c>
      <c r="N254" s="17">
        <v>0</v>
      </c>
      <c r="O254" s="17" t="str">
        <v/>
      </c>
      <c r="P254" s="17" t="str">
        <v/>
      </c>
      <c r="Q254" s="17">
        <v>0</v>
      </c>
      <c r="R254" s="17">
        <v>0</v>
      </c>
      <c r="S254" s="17">
        <v>0</v>
      </c>
      <c r="T254" s="22">
        <v>0</v>
      </c>
    </row>
    <row r="255" spans="2:20" x14ac:dyDescent="0.25">
      <c r="B255" s="21">
        <v>0</v>
      </c>
      <c r="C255" s="17">
        <v>0</v>
      </c>
      <c r="D255" s="17">
        <v>0</v>
      </c>
      <c r="E255" s="17">
        <v>0</v>
      </c>
      <c r="F255" s="17">
        <v>0</v>
      </c>
      <c r="G255" s="17">
        <v>0</v>
      </c>
      <c r="H255" s="38">
        <v>0</v>
      </c>
      <c r="I255" s="17" t="str">
        <v/>
      </c>
      <c r="J255" s="17">
        <v>0</v>
      </c>
      <c r="K255" s="38">
        <v>0</v>
      </c>
      <c r="L255" s="17" t="str">
        <v/>
      </c>
      <c r="M255" s="17">
        <v>0</v>
      </c>
      <c r="N255" s="17">
        <v>0</v>
      </c>
      <c r="O255" s="17" t="str">
        <v/>
      </c>
      <c r="P255" s="17" t="str">
        <v/>
      </c>
      <c r="Q255" s="17">
        <v>0</v>
      </c>
      <c r="R255" s="17">
        <v>0</v>
      </c>
      <c r="S255" s="17">
        <v>0</v>
      </c>
      <c r="T255" s="22">
        <v>0</v>
      </c>
    </row>
    <row r="256" spans="2:20" x14ac:dyDescent="0.25">
      <c r="B256" s="21">
        <v>0</v>
      </c>
      <c r="C256" s="17">
        <v>0</v>
      </c>
      <c r="D256" s="17">
        <v>0</v>
      </c>
      <c r="E256" s="17">
        <v>0</v>
      </c>
      <c r="F256" s="17">
        <v>0</v>
      </c>
      <c r="G256" s="17">
        <v>0</v>
      </c>
      <c r="H256" s="38">
        <v>0</v>
      </c>
      <c r="I256" s="17" t="str">
        <v/>
      </c>
      <c r="J256" s="17">
        <v>0</v>
      </c>
      <c r="K256" s="38">
        <v>0</v>
      </c>
      <c r="L256" s="17" t="str">
        <v/>
      </c>
      <c r="M256" s="17">
        <v>0</v>
      </c>
      <c r="N256" s="17">
        <v>0</v>
      </c>
      <c r="O256" s="17" t="str">
        <v/>
      </c>
      <c r="P256" s="17" t="str">
        <v/>
      </c>
      <c r="Q256" s="17">
        <v>0</v>
      </c>
      <c r="R256" s="17">
        <v>0</v>
      </c>
      <c r="S256" s="17">
        <v>0</v>
      </c>
      <c r="T256" s="22">
        <v>0</v>
      </c>
    </row>
    <row r="257" spans="2:20" x14ac:dyDescent="0.25">
      <c r="B257" s="21">
        <v>0</v>
      </c>
      <c r="C257" s="17">
        <v>0</v>
      </c>
      <c r="D257" s="17">
        <v>0</v>
      </c>
      <c r="E257" s="17">
        <v>0</v>
      </c>
      <c r="F257" s="17">
        <v>0</v>
      </c>
      <c r="G257" s="17">
        <v>0</v>
      </c>
      <c r="H257" s="38">
        <v>0</v>
      </c>
      <c r="I257" s="17" t="str">
        <v/>
      </c>
      <c r="J257" s="17">
        <v>0</v>
      </c>
      <c r="K257" s="38">
        <v>0</v>
      </c>
      <c r="L257" s="17" t="str">
        <v/>
      </c>
      <c r="M257" s="17">
        <v>0</v>
      </c>
      <c r="N257" s="17">
        <v>0</v>
      </c>
      <c r="O257" s="17" t="str">
        <v/>
      </c>
      <c r="P257" s="17" t="str">
        <v/>
      </c>
      <c r="Q257" s="17">
        <v>0</v>
      </c>
      <c r="R257" s="17">
        <v>0</v>
      </c>
      <c r="S257" s="17">
        <v>0</v>
      </c>
      <c r="T257" s="22">
        <v>0</v>
      </c>
    </row>
    <row r="258" spans="2:20" x14ac:dyDescent="0.25">
      <c r="B258" s="21">
        <v>0</v>
      </c>
      <c r="C258" s="17">
        <v>0</v>
      </c>
      <c r="D258" s="17">
        <v>0</v>
      </c>
      <c r="E258" s="17">
        <v>0</v>
      </c>
      <c r="F258" s="17">
        <v>0</v>
      </c>
      <c r="G258" s="17">
        <v>0</v>
      </c>
      <c r="H258" s="38">
        <v>0</v>
      </c>
      <c r="I258" s="17" t="str">
        <v/>
      </c>
      <c r="J258" s="17">
        <v>0</v>
      </c>
      <c r="K258" s="38">
        <v>0</v>
      </c>
      <c r="L258" s="17" t="str">
        <v/>
      </c>
      <c r="M258" s="17">
        <v>0</v>
      </c>
      <c r="N258" s="17">
        <v>0</v>
      </c>
      <c r="O258" s="17" t="str">
        <v/>
      </c>
      <c r="P258" s="17" t="str">
        <v/>
      </c>
      <c r="Q258" s="17">
        <v>0</v>
      </c>
      <c r="R258" s="17">
        <v>0</v>
      </c>
      <c r="S258" s="17">
        <v>0</v>
      </c>
      <c r="T258" s="22">
        <v>0</v>
      </c>
    </row>
    <row r="259" spans="2:20" x14ac:dyDescent="0.25">
      <c r="B259" s="21">
        <v>0</v>
      </c>
      <c r="C259" s="17">
        <v>0</v>
      </c>
      <c r="D259" s="17">
        <v>0</v>
      </c>
      <c r="E259" s="17">
        <v>0</v>
      </c>
      <c r="F259" s="17">
        <v>0</v>
      </c>
      <c r="G259" s="17">
        <v>0</v>
      </c>
      <c r="H259" s="38">
        <v>0</v>
      </c>
      <c r="I259" s="17" t="str">
        <v/>
      </c>
      <c r="J259" s="17">
        <v>0</v>
      </c>
      <c r="K259" s="38">
        <v>0</v>
      </c>
      <c r="L259" s="17" t="str">
        <v/>
      </c>
      <c r="M259" s="17">
        <v>0</v>
      </c>
      <c r="N259" s="17">
        <v>0</v>
      </c>
      <c r="O259" s="17" t="str">
        <v/>
      </c>
      <c r="P259" s="17" t="str">
        <v/>
      </c>
      <c r="Q259" s="17">
        <v>0</v>
      </c>
      <c r="R259" s="17">
        <v>0</v>
      </c>
      <c r="S259" s="17">
        <v>0</v>
      </c>
      <c r="T259" s="22">
        <v>0</v>
      </c>
    </row>
    <row r="260" spans="2:20" x14ac:dyDescent="0.25">
      <c r="B260" s="21">
        <v>0</v>
      </c>
      <c r="C260" s="17">
        <v>0</v>
      </c>
      <c r="D260" s="17">
        <v>0</v>
      </c>
      <c r="E260" s="17">
        <v>0</v>
      </c>
      <c r="F260" s="17">
        <v>0</v>
      </c>
      <c r="G260" s="17">
        <v>0</v>
      </c>
      <c r="H260" s="38">
        <v>0</v>
      </c>
      <c r="I260" s="17" t="str">
        <v/>
      </c>
      <c r="J260" s="17">
        <v>0</v>
      </c>
      <c r="K260" s="38">
        <v>0</v>
      </c>
      <c r="L260" s="17" t="str">
        <v/>
      </c>
      <c r="M260" s="17">
        <v>0</v>
      </c>
      <c r="N260" s="17">
        <v>0</v>
      </c>
      <c r="O260" s="17" t="str">
        <v/>
      </c>
      <c r="P260" s="17" t="str">
        <v/>
      </c>
      <c r="Q260" s="17">
        <v>0</v>
      </c>
      <c r="R260" s="17">
        <v>0</v>
      </c>
      <c r="S260" s="17">
        <v>0</v>
      </c>
      <c r="T260" s="22">
        <v>0</v>
      </c>
    </row>
    <row r="261" spans="2:20" x14ac:dyDescent="0.25">
      <c r="B261" s="21">
        <v>0</v>
      </c>
      <c r="C261" s="17">
        <v>0</v>
      </c>
      <c r="D261" s="17">
        <v>0</v>
      </c>
      <c r="E261" s="17">
        <v>0</v>
      </c>
      <c r="F261" s="17">
        <v>0</v>
      </c>
      <c r="G261" s="17">
        <v>0</v>
      </c>
      <c r="H261" s="38">
        <v>0</v>
      </c>
      <c r="I261" s="17" t="str">
        <v/>
      </c>
      <c r="J261" s="17">
        <v>0</v>
      </c>
      <c r="K261" s="38">
        <v>0</v>
      </c>
      <c r="L261" s="17" t="str">
        <v/>
      </c>
      <c r="M261" s="17">
        <v>0</v>
      </c>
      <c r="N261" s="17">
        <v>0</v>
      </c>
      <c r="O261" s="17" t="str">
        <v/>
      </c>
      <c r="P261" s="17" t="str">
        <v/>
      </c>
      <c r="Q261" s="17">
        <v>0</v>
      </c>
      <c r="R261" s="17">
        <v>0</v>
      </c>
      <c r="S261" s="17">
        <v>0</v>
      </c>
      <c r="T261" s="22">
        <v>0</v>
      </c>
    </row>
    <row r="262" spans="2:20" x14ac:dyDescent="0.25">
      <c r="B262" s="21">
        <v>0</v>
      </c>
      <c r="C262" s="17">
        <v>0</v>
      </c>
      <c r="D262" s="17">
        <v>0</v>
      </c>
      <c r="E262" s="17">
        <v>0</v>
      </c>
      <c r="F262" s="17">
        <v>0</v>
      </c>
      <c r="G262" s="17">
        <v>0</v>
      </c>
      <c r="H262" s="38">
        <v>0</v>
      </c>
      <c r="I262" s="17" t="str">
        <v/>
      </c>
      <c r="J262" s="17">
        <v>0</v>
      </c>
      <c r="K262" s="38">
        <v>0</v>
      </c>
      <c r="L262" s="17" t="str">
        <v/>
      </c>
      <c r="M262" s="17">
        <v>0</v>
      </c>
      <c r="N262" s="17">
        <v>0</v>
      </c>
      <c r="O262" s="17" t="str">
        <v/>
      </c>
      <c r="P262" s="17" t="str">
        <v/>
      </c>
      <c r="Q262" s="17">
        <v>0</v>
      </c>
      <c r="R262" s="17">
        <v>0</v>
      </c>
      <c r="S262" s="17">
        <v>0</v>
      </c>
      <c r="T262" s="22">
        <v>0</v>
      </c>
    </row>
    <row r="263" spans="2:20" x14ac:dyDescent="0.25">
      <c r="B263" s="21">
        <v>0</v>
      </c>
      <c r="C263" s="17">
        <v>0</v>
      </c>
      <c r="D263" s="17">
        <v>0</v>
      </c>
      <c r="E263" s="17">
        <v>0</v>
      </c>
      <c r="F263" s="17">
        <v>0</v>
      </c>
      <c r="G263" s="17">
        <v>0</v>
      </c>
      <c r="H263" s="38">
        <v>0</v>
      </c>
      <c r="I263" s="17" t="str">
        <v/>
      </c>
      <c r="J263" s="17">
        <v>0</v>
      </c>
      <c r="K263" s="38">
        <v>0</v>
      </c>
      <c r="L263" s="17" t="str">
        <v/>
      </c>
      <c r="M263" s="17">
        <v>0</v>
      </c>
      <c r="N263" s="17">
        <v>0</v>
      </c>
      <c r="O263" s="17" t="str">
        <v/>
      </c>
      <c r="P263" s="17" t="str">
        <v/>
      </c>
      <c r="Q263" s="17">
        <v>0</v>
      </c>
      <c r="R263" s="17">
        <v>0</v>
      </c>
      <c r="S263" s="17">
        <v>0</v>
      </c>
      <c r="T263" s="22">
        <v>0</v>
      </c>
    </row>
    <row r="264" spans="2:20" x14ac:dyDescent="0.25">
      <c r="B264" s="21">
        <v>0</v>
      </c>
      <c r="C264" s="17">
        <v>0</v>
      </c>
      <c r="D264" s="17">
        <v>0</v>
      </c>
      <c r="E264" s="17">
        <v>0</v>
      </c>
      <c r="F264" s="17">
        <v>0</v>
      </c>
      <c r="G264" s="17">
        <v>0</v>
      </c>
      <c r="H264" s="38">
        <v>0</v>
      </c>
      <c r="I264" s="17" t="str">
        <v/>
      </c>
      <c r="J264" s="17">
        <v>0</v>
      </c>
      <c r="K264" s="38">
        <v>0</v>
      </c>
      <c r="L264" s="17" t="str">
        <v/>
      </c>
      <c r="M264" s="17">
        <v>0</v>
      </c>
      <c r="N264" s="17">
        <v>0</v>
      </c>
      <c r="O264" s="17" t="str">
        <v/>
      </c>
      <c r="P264" s="17" t="str">
        <v/>
      </c>
      <c r="Q264" s="17">
        <v>0</v>
      </c>
      <c r="R264" s="17">
        <v>0</v>
      </c>
      <c r="S264" s="17">
        <v>0</v>
      </c>
      <c r="T264" s="22">
        <v>0</v>
      </c>
    </row>
    <row r="265" spans="2:20" x14ac:dyDescent="0.25">
      <c r="B265" s="21">
        <v>0</v>
      </c>
      <c r="C265" s="17">
        <v>0</v>
      </c>
      <c r="D265" s="17">
        <v>0</v>
      </c>
      <c r="E265" s="17">
        <v>0</v>
      </c>
      <c r="F265" s="17">
        <v>0</v>
      </c>
      <c r="G265" s="17">
        <v>0</v>
      </c>
      <c r="H265" s="38">
        <v>0</v>
      </c>
      <c r="I265" s="17" t="str">
        <v/>
      </c>
      <c r="J265" s="17">
        <v>0</v>
      </c>
      <c r="K265" s="38">
        <v>0</v>
      </c>
      <c r="L265" s="17" t="str">
        <v/>
      </c>
      <c r="M265" s="17">
        <v>0</v>
      </c>
      <c r="N265" s="17">
        <v>0</v>
      </c>
      <c r="O265" s="17" t="str">
        <v/>
      </c>
      <c r="P265" s="17" t="str">
        <v/>
      </c>
      <c r="Q265" s="17">
        <v>0</v>
      </c>
      <c r="R265" s="17">
        <v>0</v>
      </c>
      <c r="S265" s="17">
        <v>0</v>
      </c>
      <c r="T265" s="22">
        <v>0</v>
      </c>
    </row>
    <row r="266" spans="2:20" x14ac:dyDescent="0.25">
      <c r="B266" s="21">
        <v>0</v>
      </c>
      <c r="C266" s="17">
        <v>0</v>
      </c>
      <c r="D266" s="17">
        <v>0</v>
      </c>
      <c r="E266" s="17">
        <v>0</v>
      </c>
      <c r="F266" s="17">
        <v>0</v>
      </c>
      <c r="G266" s="17">
        <v>0</v>
      </c>
      <c r="H266" s="38">
        <v>0</v>
      </c>
      <c r="I266" s="17" t="str">
        <v/>
      </c>
      <c r="J266" s="17">
        <v>0</v>
      </c>
      <c r="K266" s="38">
        <v>0</v>
      </c>
      <c r="L266" s="17" t="str">
        <v/>
      </c>
      <c r="M266" s="17">
        <v>0</v>
      </c>
      <c r="N266" s="17">
        <v>0</v>
      </c>
      <c r="O266" s="17" t="str">
        <v/>
      </c>
      <c r="P266" s="17" t="str">
        <v/>
      </c>
      <c r="Q266" s="17">
        <v>0</v>
      </c>
      <c r="R266" s="17">
        <v>0</v>
      </c>
      <c r="S266" s="17">
        <v>0</v>
      </c>
      <c r="T266" s="22">
        <v>0</v>
      </c>
    </row>
    <row r="267" spans="2:20" x14ac:dyDescent="0.25">
      <c r="B267" s="21">
        <v>0</v>
      </c>
      <c r="C267" s="17">
        <v>0</v>
      </c>
      <c r="D267" s="17">
        <v>0</v>
      </c>
      <c r="E267" s="17">
        <v>0</v>
      </c>
      <c r="F267" s="17">
        <v>0</v>
      </c>
      <c r="G267" s="17">
        <v>0</v>
      </c>
      <c r="H267" s="38">
        <v>0</v>
      </c>
      <c r="I267" s="17" t="str">
        <v/>
      </c>
      <c r="J267" s="17">
        <v>0</v>
      </c>
      <c r="K267" s="38">
        <v>0</v>
      </c>
      <c r="L267" s="17" t="str">
        <v/>
      </c>
      <c r="M267" s="17">
        <v>0</v>
      </c>
      <c r="N267" s="17">
        <v>0</v>
      </c>
      <c r="O267" s="17" t="str">
        <v/>
      </c>
      <c r="P267" s="17" t="str">
        <v/>
      </c>
      <c r="Q267" s="17">
        <v>0</v>
      </c>
      <c r="R267" s="17">
        <v>0</v>
      </c>
      <c r="S267" s="17">
        <v>0</v>
      </c>
      <c r="T267" s="22">
        <v>0</v>
      </c>
    </row>
    <row r="268" spans="2:20" x14ac:dyDescent="0.25">
      <c r="B268" s="21">
        <v>0</v>
      </c>
      <c r="C268" s="17">
        <v>0</v>
      </c>
      <c r="D268" s="17">
        <v>0</v>
      </c>
      <c r="E268" s="17">
        <v>0</v>
      </c>
      <c r="F268" s="17">
        <v>0</v>
      </c>
      <c r="G268" s="17">
        <v>0</v>
      </c>
      <c r="H268" s="38">
        <v>0</v>
      </c>
      <c r="I268" s="17" t="str">
        <v/>
      </c>
      <c r="J268" s="17">
        <v>0</v>
      </c>
      <c r="K268" s="38">
        <v>0</v>
      </c>
      <c r="L268" s="17" t="str">
        <v/>
      </c>
      <c r="M268" s="17">
        <v>0</v>
      </c>
      <c r="N268" s="17">
        <v>0</v>
      </c>
      <c r="O268" s="17" t="str">
        <v/>
      </c>
      <c r="P268" s="17" t="str">
        <v/>
      </c>
      <c r="Q268" s="17">
        <v>0</v>
      </c>
      <c r="R268" s="17">
        <v>0</v>
      </c>
      <c r="S268" s="17">
        <v>0</v>
      </c>
      <c r="T268" s="22">
        <v>0</v>
      </c>
    </row>
    <row r="269" spans="2:20" x14ac:dyDescent="0.25">
      <c r="B269" s="21">
        <v>0</v>
      </c>
      <c r="C269" s="17">
        <v>0</v>
      </c>
      <c r="D269" s="17">
        <v>0</v>
      </c>
      <c r="E269" s="17">
        <v>0</v>
      </c>
      <c r="F269" s="17">
        <v>0</v>
      </c>
      <c r="G269" s="17">
        <v>0</v>
      </c>
      <c r="H269" s="38">
        <v>0</v>
      </c>
      <c r="I269" s="17" t="str">
        <v/>
      </c>
      <c r="J269" s="17">
        <v>0</v>
      </c>
      <c r="K269" s="38">
        <v>0</v>
      </c>
      <c r="L269" s="17" t="str">
        <v/>
      </c>
      <c r="M269" s="17">
        <v>0</v>
      </c>
      <c r="N269" s="17">
        <v>0</v>
      </c>
      <c r="O269" s="17" t="str">
        <v/>
      </c>
      <c r="P269" s="17" t="str">
        <v/>
      </c>
      <c r="Q269" s="17">
        <v>0</v>
      </c>
      <c r="R269" s="17">
        <v>0</v>
      </c>
      <c r="S269" s="17">
        <v>0</v>
      </c>
      <c r="T269" s="22">
        <v>0</v>
      </c>
    </row>
    <row r="270" spans="2:20" x14ac:dyDescent="0.25">
      <c r="B270" s="21">
        <v>0</v>
      </c>
      <c r="C270" s="17">
        <v>0</v>
      </c>
      <c r="D270" s="17">
        <v>0</v>
      </c>
      <c r="E270" s="17">
        <v>0</v>
      </c>
      <c r="F270" s="17">
        <v>0</v>
      </c>
      <c r="G270" s="17">
        <v>0</v>
      </c>
      <c r="H270" s="38">
        <v>0</v>
      </c>
      <c r="I270" s="17" t="str">
        <v/>
      </c>
      <c r="J270" s="17">
        <v>0</v>
      </c>
      <c r="K270" s="38">
        <v>0</v>
      </c>
      <c r="L270" s="17" t="str">
        <v/>
      </c>
      <c r="M270" s="17">
        <v>0</v>
      </c>
      <c r="N270" s="17">
        <v>0</v>
      </c>
      <c r="O270" s="17" t="str">
        <v/>
      </c>
      <c r="P270" s="17" t="str">
        <v/>
      </c>
      <c r="Q270" s="17">
        <v>0</v>
      </c>
      <c r="R270" s="17">
        <v>0</v>
      </c>
      <c r="S270" s="17">
        <v>0</v>
      </c>
      <c r="T270" s="22">
        <v>0</v>
      </c>
    </row>
    <row r="271" spans="2:20" x14ac:dyDescent="0.25">
      <c r="B271" s="21">
        <v>0</v>
      </c>
      <c r="C271" s="17">
        <v>0</v>
      </c>
      <c r="D271" s="17">
        <v>0</v>
      </c>
      <c r="E271" s="17">
        <v>0</v>
      </c>
      <c r="F271" s="17">
        <v>0</v>
      </c>
      <c r="G271" s="17">
        <v>0</v>
      </c>
      <c r="H271" s="38">
        <v>0</v>
      </c>
      <c r="I271" s="17" t="str">
        <v/>
      </c>
      <c r="J271" s="17">
        <v>0</v>
      </c>
      <c r="K271" s="38">
        <v>0</v>
      </c>
      <c r="L271" s="17" t="str">
        <v/>
      </c>
      <c r="M271" s="17">
        <v>0</v>
      </c>
      <c r="N271" s="17">
        <v>0</v>
      </c>
      <c r="O271" s="17" t="str">
        <v/>
      </c>
      <c r="P271" s="17" t="str">
        <v/>
      </c>
      <c r="Q271" s="17">
        <v>0</v>
      </c>
      <c r="R271" s="17">
        <v>0</v>
      </c>
      <c r="S271" s="17">
        <v>0</v>
      </c>
      <c r="T271" s="22">
        <v>0</v>
      </c>
    </row>
    <row r="272" spans="2:20" x14ac:dyDescent="0.25">
      <c r="B272" s="21">
        <v>0</v>
      </c>
      <c r="C272" s="17">
        <v>0</v>
      </c>
      <c r="D272" s="17">
        <v>0</v>
      </c>
      <c r="E272" s="17">
        <v>0</v>
      </c>
      <c r="F272" s="17">
        <v>0</v>
      </c>
      <c r="G272" s="17">
        <v>0</v>
      </c>
      <c r="H272" s="38">
        <v>0</v>
      </c>
      <c r="I272" s="17" t="str">
        <v/>
      </c>
      <c r="J272" s="17">
        <v>0</v>
      </c>
      <c r="K272" s="38">
        <v>0</v>
      </c>
      <c r="L272" s="17" t="str">
        <v/>
      </c>
      <c r="M272" s="17">
        <v>0</v>
      </c>
      <c r="N272" s="17">
        <v>0</v>
      </c>
      <c r="O272" s="17" t="str">
        <v/>
      </c>
      <c r="P272" s="17" t="str">
        <v/>
      </c>
      <c r="Q272" s="17">
        <v>0</v>
      </c>
      <c r="R272" s="17">
        <v>0</v>
      </c>
      <c r="S272" s="17">
        <v>0</v>
      </c>
      <c r="T272" s="22">
        <v>0</v>
      </c>
    </row>
    <row r="273" spans="2:20" x14ac:dyDescent="0.25">
      <c r="B273" s="21">
        <v>0</v>
      </c>
      <c r="C273" s="17">
        <v>0</v>
      </c>
      <c r="D273" s="17">
        <v>0</v>
      </c>
      <c r="E273" s="17">
        <v>0</v>
      </c>
      <c r="F273" s="17">
        <v>0</v>
      </c>
      <c r="G273" s="17">
        <v>0</v>
      </c>
      <c r="H273" s="38">
        <v>0</v>
      </c>
      <c r="I273" s="17" t="str">
        <v/>
      </c>
      <c r="J273" s="17">
        <v>0</v>
      </c>
      <c r="K273" s="38">
        <v>0</v>
      </c>
      <c r="L273" s="17" t="str">
        <v/>
      </c>
      <c r="M273" s="17">
        <v>0</v>
      </c>
      <c r="N273" s="17">
        <v>0</v>
      </c>
      <c r="O273" s="17" t="str">
        <v/>
      </c>
      <c r="P273" s="17" t="str">
        <v/>
      </c>
      <c r="Q273" s="17">
        <v>0</v>
      </c>
      <c r="R273" s="17">
        <v>0</v>
      </c>
      <c r="S273" s="17">
        <v>0</v>
      </c>
      <c r="T273" s="22">
        <v>0</v>
      </c>
    </row>
    <row r="274" spans="2:20" x14ac:dyDescent="0.25">
      <c r="B274" s="21">
        <v>0</v>
      </c>
      <c r="C274" s="17">
        <v>0</v>
      </c>
      <c r="D274" s="17">
        <v>0</v>
      </c>
      <c r="E274" s="17">
        <v>0</v>
      </c>
      <c r="F274" s="17">
        <v>0</v>
      </c>
      <c r="G274" s="17">
        <v>0</v>
      </c>
      <c r="H274" s="38">
        <v>0</v>
      </c>
      <c r="I274" s="17" t="str">
        <v/>
      </c>
      <c r="J274" s="17">
        <v>0</v>
      </c>
      <c r="K274" s="38">
        <v>0</v>
      </c>
      <c r="L274" s="17" t="str">
        <v/>
      </c>
      <c r="M274" s="17">
        <v>0</v>
      </c>
      <c r="N274" s="17">
        <v>0</v>
      </c>
      <c r="O274" s="17" t="str">
        <v/>
      </c>
      <c r="P274" s="17" t="str">
        <v/>
      </c>
      <c r="Q274" s="17">
        <v>0</v>
      </c>
      <c r="R274" s="17">
        <v>0</v>
      </c>
      <c r="S274" s="17">
        <v>0</v>
      </c>
      <c r="T274" s="22">
        <v>0</v>
      </c>
    </row>
    <row r="275" spans="2:20" x14ac:dyDescent="0.25">
      <c r="B275" s="21">
        <v>0</v>
      </c>
      <c r="C275" s="17">
        <v>0</v>
      </c>
      <c r="D275" s="17">
        <v>0</v>
      </c>
      <c r="E275" s="17">
        <v>0</v>
      </c>
      <c r="F275" s="17">
        <v>0</v>
      </c>
      <c r="G275" s="17">
        <v>0</v>
      </c>
      <c r="H275" s="38">
        <v>0</v>
      </c>
      <c r="I275" s="17" t="str">
        <v/>
      </c>
      <c r="J275" s="17">
        <v>0</v>
      </c>
      <c r="K275" s="38">
        <v>0</v>
      </c>
      <c r="L275" s="17" t="str">
        <v/>
      </c>
      <c r="M275" s="17">
        <v>0</v>
      </c>
      <c r="N275" s="17">
        <v>0</v>
      </c>
      <c r="O275" s="17" t="str">
        <v/>
      </c>
      <c r="P275" s="17" t="str">
        <v/>
      </c>
      <c r="Q275" s="17">
        <v>0</v>
      </c>
      <c r="R275" s="17">
        <v>0</v>
      </c>
      <c r="S275" s="17">
        <v>0</v>
      </c>
      <c r="T275" s="22">
        <v>0</v>
      </c>
    </row>
    <row r="276" spans="2:20" x14ac:dyDescent="0.25">
      <c r="B276" s="21">
        <v>0</v>
      </c>
      <c r="C276" s="17">
        <v>0</v>
      </c>
      <c r="D276" s="17">
        <v>0</v>
      </c>
      <c r="E276" s="17">
        <v>0</v>
      </c>
      <c r="F276" s="17">
        <v>0</v>
      </c>
      <c r="G276" s="17">
        <v>0</v>
      </c>
      <c r="H276" s="38">
        <v>0</v>
      </c>
      <c r="I276" s="17" t="str">
        <v/>
      </c>
      <c r="J276" s="17">
        <v>0</v>
      </c>
      <c r="K276" s="38">
        <v>0</v>
      </c>
      <c r="L276" s="17" t="str">
        <v/>
      </c>
      <c r="M276" s="17">
        <v>0</v>
      </c>
      <c r="N276" s="17">
        <v>0</v>
      </c>
      <c r="O276" s="17" t="str">
        <v/>
      </c>
      <c r="P276" s="17" t="str">
        <v/>
      </c>
      <c r="Q276" s="17">
        <v>0</v>
      </c>
      <c r="R276" s="17">
        <v>0</v>
      </c>
      <c r="S276" s="17">
        <v>0</v>
      </c>
      <c r="T276" s="22">
        <v>0</v>
      </c>
    </row>
    <row r="277" spans="2:20" x14ac:dyDescent="0.25">
      <c r="B277" s="21">
        <v>0</v>
      </c>
      <c r="C277" s="17">
        <v>0</v>
      </c>
      <c r="D277" s="17">
        <v>0</v>
      </c>
      <c r="E277" s="17">
        <v>0</v>
      </c>
      <c r="F277" s="17">
        <v>0</v>
      </c>
      <c r="G277" s="17">
        <v>0</v>
      </c>
      <c r="H277" s="38">
        <v>0</v>
      </c>
      <c r="I277" s="17" t="str">
        <v/>
      </c>
      <c r="J277" s="17">
        <v>0</v>
      </c>
      <c r="K277" s="38">
        <v>0</v>
      </c>
      <c r="L277" s="17" t="str">
        <v/>
      </c>
      <c r="M277" s="17">
        <v>0</v>
      </c>
      <c r="N277" s="17">
        <v>0</v>
      </c>
      <c r="O277" s="17" t="str">
        <v/>
      </c>
      <c r="P277" s="17" t="str">
        <v/>
      </c>
      <c r="Q277" s="17">
        <v>0</v>
      </c>
      <c r="R277" s="17">
        <v>0</v>
      </c>
      <c r="S277" s="17">
        <v>0</v>
      </c>
      <c r="T277" s="22">
        <v>0</v>
      </c>
    </row>
    <row r="278" spans="2:20" x14ac:dyDescent="0.25">
      <c r="B278" s="21">
        <v>0</v>
      </c>
      <c r="C278" s="17">
        <v>0</v>
      </c>
      <c r="D278" s="17">
        <v>0</v>
      </c>
      <c r="E278" s="17">
        <v>0</v>
      </c>
      <c r="F278" s="17">
        <v>0</v>
      </c>
      <c r="G278" s="17">
        <v>0</v>
      </c>
      <c r="H278" s="38">
        <v>0</v>
      </c>
      <c r="I278" s="17" t="str">
        <v/>
      </c>
      <c r="J278" s="17">
        <v>0</v>
      </c>
      <c r="K278" s="38">
        <v>0</v>
      </c>
      <c r="L278" s="17" t="str">
        <v/>
      </c>
      <c r="M278" s="17">
        <v>0</v>
      </c>
      <c r="N278" s="17">
        <v>0</v>
      </c>
      <c r="O278" s="17" t="str">
        <v/>
      </c>
      <c r="P278" s="17" t="str">
        <v/>
      </c>
      <c r="Q278" s="17">
        <v>0</v>
      </c>
      <c r="R278" s="17">
        <v>0</v>
      </c>
      <c r="S278" s="17">
        <v>0</v>
      </c>
      <c r="T278" s="22">
        <v>0</v>
      </c>
    </row>
    <row r="279" spans="2:20" x14ac:dyDescent="0.25">
      <c r="B279" s="21">
        <v>0</v>
      </c>
      <c r="C279" s="17">
        <v>0</v>
      </c>
      <c r="D279" s="17">
        <v>0</v>
      </c>
      <c r="E279" s="17">
        <v>0</v>
      </c>
      <c r="F279" s="17">
        <v>0</v>
      </c>
      <c r="G279" s="17">
        <v>0</v>
      </c>
      <c r="H279" s="38">
        <v>0</v>
      </c>
      <c r="I279" s="17" t="str">
        <v/>
      </c>
      <c r="J279" s="17">
        <v>0</v>
      </c>
      <c r="K279" s="38">
        <v>0</v>
      </c>
      <c r="L279" s="17" t="str">
        <v/>
      </c>
      <c r="M279" s="17">
        <v>0</v>
      </c>
      <c r="N279" s="17">
        <v>0</v>
      </c>
      <c r="O279" s="17" t="str">
        <v/>
      </c>
      <c r="P279" s="17" t="str">
        <v/>
      </c>
      <c r="Q279" s="17">
        <v>0</v>
      </c>
      <c r="R279" s="17">
        <v>0</v>
      </c>
      <c r="S279" s="17">
        <v>0</v>
      </c>
      <c r="T279" s="22">
        <v>0</v>
      </c>
    </row>
    <row r="280" spans="2:20" x14ac:dyDescent="0.25">
      <c r="B280" s="21">
        <v>0</v>
      </c>
      <c r="C280" s="17">
        <v>0</v>
      </c>
      <c r="D280" s="17">
        <v>0</v>
      </c>
      <c r="E280" s="17">
        <v>0</v>
      </c>
      <c r="F280" s="17">
        <v>0</v>
      </c>
      <c r="G280" s="17">
        <v>0</v>
      </c>
      <c r="H280" s="38">
        <v>0</v>
      </c>
      <c r="I280" s="17" t="str">
        <v/>
      </c>
      <c r="J280" s="17">
        <v>0</v>
      </c>
      <c r="K280" s="38">
        <v>0</v>
      </c>
      <c r="L280" s="17" t="str">
        <v/>
      </c>
      <c r="M280" s="17">
        <v>0</v>
      </c>
      <c r="N280" s="17">
        <v>0</v>
      </c>
      <c r="O280" s="17" t="str">
        <v/>
      </c>
      <c r="P280" s="17" t="str">
        <v/>
      </c>
      <c r="Q280" s="17">
        <v>0</v>
      </c>
      <c r="R280" s="17">
        <v>0</v>
      </c>
      <c r="S280" s="17">
        <v>0</v>
      </c>
      <c r="T280" s="22">
        <v>0</v>
      </c>
    </row>
    <row r="281" spans="2:20" x14ac:dyDescent="0.25">
      <c r="B281" s="21">
        <v>0</v>
      </c>
      <c r="C281" s="17">
        <v>0</v>
      </c>
      <c r="D281" s="17">
        <v>0</v>
      </c>
      <c r="E281" s="17">
        <v>0</v>
      </c>
      <c r="F281" s="17">
        <v>0</v>
      </c>
      <c r="G281" s="17">
        <v>0</v>
      </c>
      <c r="H281" s="38">
        <v>0</v>
      </c>
      <c r="I281" s="17" t="str">
        <v/>
      </c>
      <c r="J281" s="17">
        <v>0</v>
      </c>
      <c r="K281" s="38">
        <v>0</v>
      </c>
      <c r="L281" s="17" t="str">
        <v/>
      </c>
      <c r="M281" s="17">
        <v>0</v>
      </c>
      <c r="N281" s="17">
        <v>0</v>
      </c>
      <c r="O281" s="17" t="str">
        <v/>
      </c>
      <c r="P281" s="17" t="str">
        <v/>
      </c>
      <c r="Q281" s="17">
        <v>0</v>
      </c>
      <c r="R281" s="17">
        <v>0</v>
      </c>
      <c r="S281" s="17">
        <v>0</v>
      </c>
      <c r="T281" s="22">
        <v>0</v>
      </c>
    </row>
    <row r="282" spans="2:20" x14ac:dyDescent="0.25">
      <c r="B282" s="21">
        <v>0</v>
      </c>
      <c r="C282" s="17">
        <v>0</v>
      </c>
      <c r="D282" s="17">
        <v>0</v>
      </c>
      <c r="E282" s="17">
        <v>0</v>
      </c>
      <c r="F282" s="17">
        <v>0</v>
      </c>
      <c r="G282" s="17">
        <v>0</v>
      </c>
      <c r="H282" s="38">
        <v>0</v>
      </c>
      <c r="I282" s="17" t="str">
        <v/>
      </c>
      <c r="J282" s="17">
        <v>0</v>
      </c>
      <c r="K282" s="38">
        <v>0</v>
      </c>
      <c r="L282" s="17" t="str">
        <v/>
      </c>
      <c r="M282" s="17">
        <v>0</v>
      </c>
      <c r="N282" s="17">
        <v>0</v>
      </c>
      <c r="O282" s="17" t="str">
        <v/>
      </c>
      <c r="P282" s="17" t="str">
        <v/>
      </c>
      <c r="Q282" s="17">
        <v>0</v>
      </c>
      <c r="R282" s="17">
        <v>0</v>
      </c>
      <c r="S282" s="17">
        <v>0</v>
      </c>
      <c r="T282" s="22">
        <v>0</v>
      </c>
    </row>
    <row r="283" spans="2:20" x14ac:dyDescent="0.25">
      <c r="B283" s="21">
        <v>0</v>
      </c>
      <c r="C283" s="17">
        <v>0</v>
      </c>
      <c r="D283" s="17">
        <v>0</v>
      </c>
      <c r="E283" s="17">
        <v>0</v>
      </c>
      <c r="F283" s="17">
        <v>0</v>
      </c>
      <c r="G283" s="17">
        <v>0</v>
      </c>
      <c r="H283" s="38">
        <v>0</v>
      </c>
      <c r="I283" s="17" t="str">
        <v/>
      </c>
      <c r="J283" s="17">
        <v>0</v>
      </c>
      <c r="K283" s="38">
        <v>0</v>
      </c>
      <c r="L283" s="17" t="str">
        <v/>
      </c>
      <c r="M283" s="17">
        <v>0</v>
      </c>
      <c r="N283" s="17">
        <v>0</v>
      </c>
      <c r="O283" s="17" t="str">
        <v/>
      </c>
      <c r="P283" s="17" t="str">
        <v/>
      </c>
      <c r="Q283" s="17">
        <v>0</v>
      </c>
      <c r="R283" s="17">
        <v>0</v>
      </c>
      <c r="S283" s="17">
        <v>0</v>
      </c>
      <c r="T283" s="22">
        <v>0</v>
      </c>
    </row>
    <row r="284" spans="2:20" x14ac:dyDescent="0.25">
      <c r="B284" s="21">
        <v>0</v>
      </c>
      <c r="C284" s="17">
        <v>0</v>
      </c>
      <c r="D284" s="17">
        <v>0</v>
      </c>
      <c r="E284" s="17">
        <v>0</v>
      </c>
      <c r="F284" s="17">
        <v>0</v>
      </c>
      <c r="G284" s="17">
        <v>0</v>
      </c>
      <c r="H284" s="38">
        <v>0</v>
      </c>
      <c r="I284" s="17" t="str">
        <v/>
      </c>
      <c r="J284" s="17">
        <v>0</v>
      </c>
      <c r="K284" s="38">
        <v>0</v>
      </c>
      <c r="L284" s="17" t="str">
        <v/>
      </c>
      <c r="M284" s="17">
        <v>0</v>
      </c>
      <c r="N284" s="17">
        <v>0</v>
      </c>
      <c r="O284" s="17" t="str">
        <v/>
      </c>
      <c r="P284" s="17" t="str">
        <v/>
      </c>
      <c r="Q284" s="17">
        <v>0</v>
      </c>
      <c r="R284" s="17">
        <v>0</v>
      </c>
      <c r="S284" s="17">
        <v>0</v>
      </c>
      <c r="T284" s="22">
        <v>0</v>
      </c>
    </row>
    <row r="285" spans="2:20" x14ac:dyDescent="0.25">
      <c r="B285" s="21">
        <v>0</v>
      </c>
      <c r="C285" s="17">
        <v>0</v>
      </c>
      <c r="D285" s="17">
        <v>0</v>
      </c>
      <c r="E285" s="17">
        <v>0</v>
      </c>
      <c r="F285" s="17">
        <v>0</v>
      </c>
      <c r="G285" s="17">
        <v>0</v>
      </c>
      <c r="H285" s="38">
        <v>0</v>
      </c>
      <c r="I285" s="17" t="str">
        <v/>
      </c>
      <c r="J285" s="17">
        <v>0</v>
      </c>
      <c r="K285" s="38">
        <v>0</v>
      </c>
      <c r="L285" s="17" t="str">
        <v/>
      </c>
      <c r="M285" s="17">
        <v>0</v>
      </c>
      <c r="N285" s="17">
        <v>0</v>
      </c>
      <c r="O285" s="17" t="str">
        <v/>
      </c>
      <c r="P285" s="17" t="str">
        <v/>
      </c>
      <c r="Q285" s="17">
        <v>0</v>
      </c>
      <c r="R285" s="17">
        <v>0</v>
      </c>
      <c r="S285" s="17">
        <v>0</v>
      </c>
      <c r="T285" s="22">
        <v>0</v>
      </c>
    </row>
    <row r="286" spans="2:20" x14ac:dyDescent="0.25">
      <c r="B286" s="21">
        <v>0</v>
      </c>
      <c r="C286" s="17">
        <v>0</v>
      </c>
      <c r="D286" s="17">
        <v>0</v>
      </c>
      <c r="E286" s="17">
        <v>0</v>
      </c>
      <c r="F286" s="17">
        <v>0</v>
      </c>
      <c r="G286" s="17">
        <v>0</v>
      </c>
      <c r="H286" s="38">
        <v>0</v>
      </c>
      <c r="I286" s="17" t="str">
        <v/>
      </c>
      <c r="J286" s="17">
        <v>0</v>
      </c>
      <c r="K286" s="38">
        <v>0</v>
      </c>
      <c r="L286" s="17" t="str">
        <v/>
      </c>
      <c r="M286" s="17">
        <v>0</v>
      </c>
      <c r="N286" s="17">
        <v>0</v>
      </c>
      <c r="O286" s="17" t="str">
        <v/>
      </c>
      <c r="P286" s="17" t="str">
        <v/>
      </c>
      <c r="Q286" s="17">
        <v>0</v>
      </c>
      <c r="R286" s="17">
        <v>0</v>
      </c>
      <c r="S286" s="17">
        <v>0</v>
      </c>
      <c r="T286" s="22">
        <v>0</v>
      </c>
    </row>
    <row r="287" spans="2:20" x14ac:dyDescent="0.25">
      <c r="B287" s="21">
        <v>0</v>
      </c>
      <c r="C287" s="17">
        <v>0</v>
      </c>
      <c r="D287" s="17">
        <v>0</v>
      </c>
      <c r="E287" s="17">
        <v>0</v>
      </c>
      <c r="F287" s="17">
        <v>0</v>
      </c>
      <c r="G287" s="17">
        <v>0</v>
      </c>
      <c r="H287" s="38">
        <v>0</v>
      </c>
      <c r="I287" s="17" t="str">
        <v/>
      </c>
      <c r="J287" s="17">
        <v>0</v>
      </c>
      <c r="K287" s="38">
        <v>0</v>
      </c>
      <c r="L287" s="17" t="str">
        <v/>
      </c>
      <c r="M287" s="17">
        <v>0</v>
      </c>
      <c r="N287" s="17">
        <v>0</v>
      </c>
      <c r="O287" s="17" t="str">
        <v/>
      </c>
      <c r="P287" s="17" t="str">
        <v/>
      </c>
      <c r="Q287" s="17">
        <v>0</v>
      </c>
      <c r="R287" s="17">
        <v>0</v>
      </c>
      <c r="S287" s="17">
        <v>0</v>
      </c>
      <c r="T287" s="22">
        <v>0</v>
      </c>
    </row>
    <row r="288" spans="2:20" x14ac:dyDescent="0.25">
      <c r="B288" s="21">
        <v>0</v>
      </c>
      <c r="C288" s="17">
        <v>0</v>
      </c>
      <c r="D288" s="17">
        <v>0</v>
      </c>
      <c r="E288" s="17">
        <v>0</v>
      </c>
      <c r="F288" s="17">
        <v>0</v>
      </c>
      <c r="G288" s="17">
        <v>0</v>
      </c>
      <c r="H288" s="38">
        <v>0</v>
      </c>
      <c r="I288" s="17" t="str">
        <v/>
      </c>
      <c r="J288" s="17">
        <v>0</v>
      </c>
      <c r="K288" s="38">
        <v>0</v>
      </c>
      <c r="L288" s="17" t="str">
        <v/>
      </c>
      <c r="M288" s="17">
        <v>0</v>
      </c>
      <c r="N288" s="17">
        <v>0</v>
      </c>
      <c r="O288" s="17" t="str">
        <v/>
      </c>
      <c r="P288" s="17" t="str">
        <v/>
      </c>
      <c r="Q288" s="17">
        <v>0</v>
      </c>
      <c r="R288" s="17">
        <v>0</v>
      </c>
      <c r="S288" s="17">
        <v>0</v>
      </c>
      <c r="T288" s="22">
        <v>0</v>
      </c>
    </row>
    <row r="289" spans="2:20" x14ac:dyDescent="0.25">
      <c r="B289" s="21">
        <v>0</v>
      </c>
      <c r="C289" s="17">
        <v>0</v>
      </c>
      <c r="D289" s="17">
        <v>0</v>
      </c>
      <c r="E289" s="17">
        <v>0</v>
      </c>
      <c r="F289" s="17">
        <v>0</v>
      </c>
      <c r="G289" s="17">
        <v>0</v>
      </c>
      <c r="H289" s="38">
        <v>0</v>
      </c>
      <c r="I289" s="17" t="str">
        <v/>
      </c>
      <c r="J289" s="17">
        <v>0</v>
      </c>
      <c r="K289" s="38">
        <v>0</v>
      </c>
      <c r="L289" s="17" t="str">
        <v/>
      </c>
      <c r="M289" s="17">
        <v>0</v>
      </c>
      <c r="N289" s="17">
        <v>0</v>
      </c>
      <c r="O289" s="17" t="str">
        <v/>
      </c>
      <c r="P289" s="17" t="str">
        <v/>
      </c>
      <c r="Q289" s="17">
        <v>0</v>
      </c>
      <c r="R289" s="17">
        <v>0</v>
      </c>
      <c r="S289" s="17">
        <v>0</v>
      </c>
      <c r="T289" s="22">
        <v>0</v>
      </c>
    </row>
    <row r="290" spans="2:20" x14ac:dyDescent="0.25">
      <c r="B290" s="21">
        <v>0</v>
      </c>
      <c r="C290" s="17">
        <v>0</v>
      </c>
      <c r="D290" s="17">
        <v>0</v>
      </c>
      <c r="E290" s="17">
        <v>0</v>
      </c>
      <c r="F290" s="17">
        <v>0</v>
      </c>
      <c r="G290" s="17">
        <v>0</v>
      </c>
      <c r="H290" s="38">
        <v>0</v>
      </c>
      <c r="I290" s="17" t="str">
        <v/>
      </c>
      <c r="J290" s="17">
        <v>0</v>
      </c>
      <c r="K290" s="38">
        <v>0</v>
      </c>
      <c r="L290" s="17" t="str">
        <v/>
      </c>
      <c r="M290" s="17">
        <v>0</v>
      </c>
      <c r="N290" s="17">
        <v>0</v>
      </c>
      <c r="O290" s="17" t="str">
        <v/>
      </c>
      <c r="P290" s="17" t="str">
        <v/>
      </c>
      <c r="Q290" s="17">
        <v>0</v>
      </c>
      <c r="R290" s="17">
        <v>0</v>
      </c>
      <c r="S290" s="17">
        <v>0</v>
      </c>
      <c r="T290" s="22">
        <v>0</v>
      </c>
    </row>
    <row r="291" spans="2:20" x14ac:dyDescent="0.25">
      <c r="B291" s="21">
        <v>0</v>
      </c>
      <c r="C291" s="17">
        <v>0</v>
      </c>
      <c r="D291" s="17">
        <v>0</v>
      </c>
      <c r="E291" s="17">
        <v>0</v>
      </c>
      <c r="F291" s="17">
        <v>0</v>
      </c>
      <c r="G291" s="17">
        <v>0</v>
      </c>
      <c r="H291" s="38">
        <v>0</v>
      </c>
      <c r="I291" s="17" t="str">
        <v/>
      </c>
      <c r="J291" s="17">
        <v>0</v>
      </c>
      <c r="K291" s="38">
        <v>0</v>
      </c>
      <c r="L291" s="17" t="str">
        <v/>
      </c>
      <c r="M291" s="17">
        <v>0</v>
      </c>
      <c r="N291" s="17">
        <v>0</v>
      </c>
      <c r="O291" s="17" t="str">
        <v/>
      </c>
      <c r="P291" s="17" t="str">
        <v/>
      </c>
      <c r="Q291" s="17">
        <v>0</v>
      </c>
      <c r="R291" s="17">
        <v>0</v>
      </c>
      <c r="S291" s="17">
        <v>0</v>
      </c>
      <c r="T291" s="22">
        <v>0</v>
      </c>
    </row>
    <row r="292" spans="2:20" x14ac:dyDescent="0.25">
      <c r="B292" s="21">
        <v>0</v>
      </c>
      <c r="C292" s="17">
        <v>0</v>
      </c>
      <c r="D292" s="17">
        <v>0</v>
      </c>
      <c r="E292" s="17">
        <v>0</v>
      </c>
      <c r="F292" s="17">
        <v>0</v>
      </c>
      <c r="G292" s="17">
        <v>0</v>
      </c>
      <c r="H292" s="38">
        <v>0</v>
      </c>
      <c r="I292" s="17" t="str">
        <v/>
      </c>
      <c r="J292" s="17">
        <v>0</v>
      </c>
      <c r="K292" s="38">
        <v>0</v>
      </c>
      <c r="L292" s="17" t="str">
        <v/>
      </c>
      <c r="M292" s="17">
        <v>0</v>
      </c>
      <c r="N292" s="17">
        <v>0</v>
      </c>
      <c r="O292" s="17" t="str">
        <v/>
      </c>
      <c r="P292" s="17" t="str">
        <v/>
      </c>
      <c r="Q292" s="17">
        <v>0</v>
      </c>
      <c r="R292" s="17">
        <v>0</v>
      </c>
      <c r="S292" s="17">
        <v>0</v>
      </c>
      <c r="T292" s="22">
        <v>0</v>
      </c>
    </row>
    <row r="293" spans="2:20" x14ac:dyDescent="0.25">
      <c r="B293" s="21">
        <v>0</v>
      </c>
      <c r="C293" s="17">
        <v>0</v>
      </c>
      <c r="D293" s="17">
        <v>0</v>
      </c>
      <c r="E293" s="17">
        <v>0</v>
      </c>
      <c r="F293" s="17">
        <v>0</v>
      </c>
      <c r="G293" s="17">
        <v>0</v>
      </c>
      <c r="H293" s="38">
        <v>0</v>
      </c>
      <c r="I293" s="17" t="str">
        <v/>
      </c>
      <c r="J293" s="17">
        <v>0</v>
      </c>
      <c r="K293" s="38">
        <v>0</v>
      </c>
      <c r="L293" s="17" t="str">
        <v/>
      </c>
      <c r="M293" s="17">
        <v>0</v>
      </c>
      <c r="N293" s="17">
        <v>0</v>
      </c>
      <c r="O293" s="17" t="str">
        <v/>
      </c>
      <c r="P293" s="17" t="str">
        <v/>
      </c>
      <c r="Q293" s="17">
        <v>0</v>
      </c>
      <c r="R293" s="17">
        <v>0</v>
      </c>
      <c r="S293" s="17">
        <v>0</v>
      </c>
      <c r="T293" s="22">
        <v>0</v>
      </c>
    </row>
    <row r="294" spans="2:20" x14ac:dyDescent="0.25">
      <c r="B294" s="21">
        <v>0</v>
      </c>
      <c r="C294" s="17">
        <v>0</v>
      </c>
      <c r="D294" s="17">
        <v>0</v>
      </c>
      <c r="E294" s="17">
        <v>0</v>
      </c>
      <c r="F294" s="17">
        <v>0</v>
      </c>
      <c r="G294" s="17">
        <v>0</v>
      </c>
      <c r="H294" s="38">
        <v>0</v>
      </c>
      <c r="I294" s="17" t="str">
        <v/>
      </c>
      <c r="J294" s="17">
        <v>0</v>
      </c>
      <c r="K294" s="38">
        <v>0</v>
      </c>
      <c r="L294" s="17" t="str">
        <v/>
      </c>
      <c r="M294" s="17">
        <v>0</v>
      </c>
      <c r="N294" s="17">
        <v>0</v>
      </c>
      <c r="O294" s="17" t="str">
        <v/>
      </c>
      <c r="P294" s="17" t="str">
        <v/>
      </c>
      <c r="Q294" s="17">
        <v>0</v>
      </c>
      <c r="R294" s="17">
        <v>0</v>
      </c>
      <c r="S294" s="17">
        <v>0</v>
      </c>
      <c r="T294" s="22">
        <v>0</v>
      </c>
    </row>
    <row r="295" spans="2:20" x14ac:dyDescent="0.25">
      <c r="B295" s="21">
        <v>0</v>
      </c>
      <c r="C295" s="17">
        <v>0</v>
      </c>
      <c r="D295" s="17">
        <v>0</v>
      </c>
      <c r="E295" s="17">
        <v>0</v>
      </c>
      <c r="F295" s="17">
        <v>0</v>
      </c>
      <c r="G295" s="17">
        <v>0</v>
      </c>
      <c r="H295" s="38">
        <v>0</v>
      </c>
      <c r="I295" s="17" t="str">
        <v/>
      </c>
      <c r="J295" s="17">
        <v>0</v>
      </c>
      <c r="K295" s="38">
        <v>0</v>
      </c>
      <c r="L295" s="17" t="str">
        <v/>
      </c>
      <c r="M295" s="17">
        <v>0</v>
      </c>
      <c r="N295" s="17">
        <v>0</v>
      </c>
      <c r="O295" s="17" t="str">
        <v/>
      </c>
      <c r="P295" s="17" t="str">
        <v/>
      </c>
      <c r="Q295" s="17">
        <v>0</v>
      </c>
      <c r="R295" s="17">
        <v>0</v>
      </c>
      <c r="S295" s="17">
        <v>0</v>
      </c>
      <c r="T295" s="22">
        <v>0</v>
      </c>
    </row>
    <row r="296" spans="2:20" x14ac:dyDescent="0.25">
      <c r="B296" s="21">
        <v>0</v>
      </c>
      <c r="C296" s="17">
        <v>0</v>
      </c>
      <c r="D296" s="17">
        <v>0</v>
      </c>
      <c r="E296" s="17">
        <v>0</v>
      </c>
      <c r="F296" s="17">
        <v>0</v>
      </c>
      <c r="G296" s="17">
        <v>0</v>
      </c>
      <c r="H296" s="38">
        <v>0</v>
      </c>
      <c r="I296" s="17" t="str">
        <v/>
      </c>
      <c r="J296" s="17">
        <v>0</v>
      </c>
      <c r="K296" s="38">
        <v>0</v>
      </c>
      <c r="L296" s="17" t="str">
        <v/>
      </c>
      <c r="M296" s="17">
        <v>0</v>
      </c>
      <c r="N296" s="17">
        <v>0</v>
      </c>
      <c r="O296" s="17" t="str">
        <v/>
      </c>
      <c r="P296" s="17" t="str">
        <v/>
      </c>
      <c r="Q296" s="17">
        <v>0</v>
      </c>
      <c r="R296" s="17">
        <v>0</v>
      </c>
      <c r="S296" s="17">
        <v>0</v>
      </c>
      <c r="T296" s="22">
        <v>0</v>
      </c>
    </row>
    <row r="297" spans="2:20" x14ac:dyDescent="0.25">
      <c r="B297" s="21">
        <v>0</v>
      </c>
      <c r="C297" s="17">
        <v>0</v>
      </c>
      <c r="D297" s="17">
        <v>0</v>
      </c>
      <c r="E297" s="17">
        <v>0</v>
      </c>
      <c r="F297" s="17">
        <v>0</v>
      </c>
      <c r="G297" s="17">
        <v>0</v>
      </c>
      <c r="H297" s="38">
        <v>0</v>
      </c>
      <c r="I297" s="17" t="str">
        <v/>
      </c>
      <c r="J297" s="17">
        <v>0</v>
      </c>
      <c r="K297" s="38">
        <v>0</v>
      </c>
      <c r="L297" s="17" t="str">
        <v/>
      </c>
      <c r="M297" s="17">
        <v>0</v>
      </c>
      <c r="N297" s="17">
        <v>0</v>
      </c>
      <c r="O297" s="17" t="str">
        <v/>
      </c>
      <c r="P297" s="17" t="str">
        <v/>
      </c>
      <c r="Q297" s="17">
        <v>0</v>
      </c>
      <c r="R297" s="17">
        <v>0</v>
      </c>
      <c r="S297" s="17">
        <v>0</v>
      </c>
      <c r="T297" s="22">
        <v>0</v>
      </c>
    </row>
    <row r="298" spans="2:20" x14ac:dyDescent="0.25">
      <c r="B298" s="21">
        <v>0</v>
      </c>
      <c r="C298" s="17">
        <v>0</v>
      </c>
      <c r="D298" s="17">
        <v>0</v>
      </c>
      <c r="E298" s="17">
        <v>0</v>
      </c>
      <c r="F298" s="17">
        <v>0</v>
      </c>
      <c r="G298" s="17">
        <v>0</v>
      </c>
      <c r="H298" s="38">
        <v>0</v>
      </c>
      <c r="I298" s="17" t="str">
        <v/>
      </c>
      <c r="J298" s="17">
        <v>0</v>
      </c>
      <c r="K298" s="38">
        <v>0</v>
      </c>
      <c r="L298" s="17" t="str">
        <v/>
      </c>
      <c r="M298" s="17">
        <v>0</v>
      </c>
      <c r="N298" s="17">
        <v>0</v>
      </c>
      <c r="O298" s="17" t="str">
        <v/>
      </c>
      <c r="P298" s="17" t="str">
        <v/>
      </c>
      <c r="Q298" s="17">
        <v>0</v>
      </c>
      <c r="R298" s="17">
        <v>0</v>
      </c>
      <c r="S298" s="17">
        <v>0</v>
      </c>
      <c r="T298" s="22">
        <v>0</v>
      </c>
    </row>
    <row r="299" spans="2:20" x14ac:dyDescent="0.25">
      <c r="B299" s="21">
        <v>0</v>
      </c>
      <c r="C299" s="17">
        <v>0</v>
      </c>
      <c r="D299" s="17">
        <v>0</v>
      </c>
      <c r="E299" s="17">
        <v>0</v>
      </c>
      <c r="F299" s="17">
        <v>0</v>
      </c>
      <c r="G299" s="17">
        <v>0</v>
      </c>
      <c r="H299" s="38">
        <v>0</v>
      </c>
      <c r="I299" s="17" t="str">
        <v/>
      </c>
      <c r="J299" s="17">
        <v>0</v>
      </c>
      <c r="K299" s="38">
        <v>0</v>
      </c>
      <c r="L299" s="17" t="str">
        <v/>
      </c>
      <c r="M299" s="17">
        <v>0</v>
      </c>
      <c r="N299" s="17">
        <v>0</v>
      </c>
      <c r="O299" s="17" t="str">
        <v/>
      </c>
      <c r="P299" s="17" t="str">
        <v/>
      </c>
      <c r="Q299" s="17">
        <v>0</v>
      </c>
      <c r="R299" s="17">
        <v>0</v>
      </c>
      <c r="S299" s="17">
        <v>0</v>
      </c>
      <c r="T299" s="22">
        <v>0</v>
      </c>
    </row>
    <row r="300" spans="2:20" x14ac:dyDescent="0.25">
      <c r="B300" s="21">
        <v>0</v>
      </c>
      <c r="C300" s="17">
        <v>0</v>
      </c>
      <c r="D300" s="17">
        <v>0</v>
      </c>
      <c r="E300" s="17">
        <v>0</v>
      </c>
      <c r="F300" s="17">
        <v>0</v>
      </c>
      <c r="G300" s="17">
        <v>0</v>
      </c>
      <c r="H300" s="38">
        <v>0</v>
      </c>
      <c r="I300" s="17" t="str">
        <v/>
      </c>
      <c r="J300" s="17">
        <v>0</v>
      </c>
      <c r="K300" s="38">
        <v>0</v>
      </c>
      <c r="L300" s="17" t="str">
        <v/>
      </c>
      <c r="M300" s="17">
        <v>0</v>
      </c>
      <c r="N300" s="17">
        <v>0</v>
      </c>
      <c r="O300" s="17" t="str">
        <v/>
      </c>
      <c r="P300" s="17" t="str">
        <v/>
      </c>
      <c r="Q300" s="17">
        <v>0</v>
      </c>
      <c r="R300" s="17">
        <v>0</v>
      </c>
      <c r="S300" s="17">
        <v>0</v>
      </c>
      <c r="T300" s="22">
        <v>0</v>
      </c>
    </row>
    <row r="301" spans="2:20" x14ac:dyDescent="0.25">
      <c r="B301" s="21">
        <v>0</v>
      </c>
      <c r="C301" s="17">
        <v>0</v>
      </c>
      <c r="D301" s="17">
        <v>0</v>
      </c>
      <c r="E301" s="17">
        <v>0</v>
      </c>
      <c r="F301" s="17">
        <v>0</v>
      </c>
      <c r="G301" s="17">
        <v>0</v>
      </c>
      <c r="H301" s="38">
        <v>0</v>
      </c>
      <c r="I301" s="17" t="str">
        <v/>
      </c>
      <c r="J301" s="17">
        <v>0</v>
      </c>
      <c r="K301" s="38">
        <v>0</v>
      </c>
      <c r="L301" s="17" t="str">
        <v/>
      </c>
      <c r="M301" s="17">
        <v>0</v>
      </c>
      <c r="N301" s="17">
        <v>0</v>
      </c>
      <c r="O301" s="17" t="str">
        <v/>
      </c>
      <c r="P301" s="17" t="str">
        <v/>
      </c>
      <c r="Q301" s="17">
        <v>0</v>
      </c>
      <c r="R301" s="17">
        <v>0</v>
      </c>
      <c r="S301" s="17">
        <v>0</v>
      </c>
      <c r="T301" s="22">
        <v>0</v>
      </c>
    </row>
    <row r="302" spans="2:20" x14ac:dyDescent="0.25">
      <c r="B302" s="21">
        <v>0</v>
      </c>
      <c r="C302" s="17">
        <v>0</v>
      </c>
      <c r="D302" s="17">
        <v>0</v>
      </c>
      <c r="E302" s="17">
        <v>0</v>
      </c>
      <c r="F302" s="17">
        <v>0</v>
      </c>
      <c r="G302" s="17">
        <v>0</v>
      </c>
      <c r="H302" s="38">
        <v>0</v>
      </c>
      <c r="I302" s="17" t="str">
        <v/>
      </c>
      <c r="J302" s="17">
        <v>0</v>
      </c>
      <c r="K302" s="38">
        <v>0</v>
      </c>
      <c r="L302" s="17" t="str">
        <v/>
      </c>
      <c r="M302" s="17">
        <v>0</v>
      </c>
      <c r="N302" s="17">
        <v>0</v>
      </c>
      <c r="O302" s="17" t="str">
        <v/>
      </c>
      <c r="P302" s="17" t="str">
        <v/>
      </c>
      <c r="Q302" s="17">
        <v>0</v>
      </c>
      <c r="R302" s="17">
        <v>0</v>
      </c>
      <c r="S302" s="17">
        <v>0</v>
      </c>
      <c r="T302" s="22">
        <v>0</v>
      </c>
    </row>
    <row r="303" spans="2:20" x14ac:dyDescent="0.25">
      <c r="B303" s="21">
        <v>0</v>
      </c>
      <c r="C303" s="17">
        <v>0</v>
      </c>
      <c r="D303" s="17">
        <v>0</v>
      </c>
      <c r="E303" s="17">
        <v>0</v>
      </c>
      <c r="F303" s="17">
        <v>0</v>
      </c>
      <c r="G303" s="17">
        <v>0</v>
      </c>
      <c r="H303" s="38">
        <v>0</v>
      </c>
      <c r="I303" s="17" t="str">
        <v/>
      </c>
      <c r="J303" s="17">
        <v>0</v>
      </c>
      <c r="K303" s="38">
        <v>0</v>
      </c>
      <c r="L303" s="17" t="str">
        <v/>
      </c>
      <c r="M303" s="17">
        <v>0</v>
      </c>
      <c r="N303" s="17">
        <v>0</v>
      </c>
      <c r="O303" s="17" t="str">
        <v/>
      </c>
      <c r="P303" s="17" t="str">
        <v/>
      </c>
      <c r="Q303" s="17">
        <v>0</v>
      </c>
      <c r="R303" s="17">
        <v>0</v>
      </c>
      <c r="S303" s="17">
        <v>0</v>
      </c>
      <c r="T303" s="22">
        <v>0</v>
      </c>
    </row>
    <row r="304" spans="2:20" x14ac:dyDescent="0.25">
      <c r="B304" s="21">
        <v>0</v>
      </c>
      <c r="C304" s="17">
        <v>0</v>
      </c>
      <c r="D304" s="17">
        <v>0</v>
      </c>
      <c r="E304" s="17">
        <v>0</v>
      </c>
      <c r="F304" s="17">
        <v>0</v>
      </c>
      <c r="G304" s="17">
        <v>0</v>
      </c>
      <c r="H304" s="38">
        <v>0</v>
      </c>
      <c r="I304" s="17" t="str">
        <v/>
      </c>
      <c r="J304" s="17">
        <v>0</v>
      </c>
      <c r="K304" s="38">
        <v>0</v>
      </c>
      <c r="L304" s="17" t="str">
        <v/>
      </c>
      <c r="M304" s="17">
        <v>0</v>
      </c>
      <c r="N304" s="17">
        <v>0</v>
      </c>
      <c r="O304" s="17" t="str">
        <v/>
      </c>
      <c r="P304" s="17" t="str">
        <v/>
      </c>
      <c r="Q304" s="17">
        <v>0</v>
      </c>
      <c r="R304" s="17">
        <v>0</v>
      </c>
      <c r="S304" s="17">
        <v>0</v>
      </c>
      <c r="T304" s="22">
        <v>0</v>
      </c>
    </row>
    <row r="305" spans="2:20" x14ac:dyDescent="0.25">
      <c r="B305" s="21">
        <v>0</v>
      </c>
      <c r="C305" s="17">
        <v>0</v>
      </c>
      <c r="D305" s="17">
        <v>0</v>
      </c>
      <c r="E305" s="17">
        <v>0</v>
      </c>
      <c r="F305" s="17">
        <v>0</v>
      </c>
      <c r="G305" s="17">
        <v>0</v>
      </c>
      <c r="H305" s="38">
        <v>0</v>
      </c>
      <c r="I305" s="17" t="str">
        <v/>
      </c>
      <c r="J305" s="17">
        <v>0</v>
      </c>
      <c r="K305" s="38">
        <v>0</v>
      </c>
      <c r="L305" s="17" t="str">
        <v/>
      </c>
      <c r="M305" s="17">
        <v>0</v>
      </c>
      <c r="N305" s="17">
        <v>0</v>
      </c>
      <c r="O305" s="17" t="str">
        <v/>
      </c>
      <c r="P305" s="17" t="str">
        <v/>
      </c>
      <c r="Q305" s="17">
        <v>0</v>
      </c>
      <c r="R305" s="17">
        <v>0</v>
      </c>
      <c r="S305" s="17">
        <v>0</v>
      </c>
      <c r="T305" s="22">
        <v>0</v>
      </c>
    </row>
    <row r="306" spans="2:20" x14ac:dyDescent="0.25">
      <c r="B306" s="21">
        <v>0</v>
      </c>
      <c r="C306" s="17">
        <v>0</v>
      </c>
      <c r="D306" s="17">
        <v>0</v>
      </c>
      <c r="E306" s="17">
        <v>0</v>
      </c>
      <c r="F306" s="17">
        <v>0</v>
      </c>
      <c r="G306" s="17">
        <v>0</v>
      </c>
      <c r="H306" s="38">
        <v>0</v>
      </c>
      <c r="I306" s="17" t="str">
        <v/>
      </c>
      <c r="J306" s="17">
        <v>0</v>
      </c>
      <c r="K306" s="38">
        <v>0</v>
      </c>
      <c r="L306" s="17" t="str">
        <v/>
      </c>
      <c r="M306" s="17">
        <v>0</v>
      </c>
      <c r="N306" s="17">
        <v>0</v>
      </c>
      <c r="O306" s="17" t="str">
        <v/>
      </c>
      <c r="P306" s="17" t="str">
        <v/>
      </c>
      <c r="Q306" s="17">
        <v>0</v>
      </c>
      <c r="R306" s="17">
        <v>0</v>
      </c>
      <c r="S306" s="17">
        <v>0</v>
      </c>
      <c r="T306" s="22">
        <v>0</v>
      </c>
    </row>
    <row r="307" spans="2:20" x14ac:dyDescent="0.25">
      <c r="B307" s="21">
        <v>0</v>
      </c>
      <c r="C307" s="17">
        <v>0</v>
      </c>
      <c r="D307" s="17">
        <v>0</v>
      </c>
      <c r="E307" s="17">
        <v>0</v>
      </c>
      <c r="F307" s="17">
        <v>0</v>
      </c>
      <c r="G307" s="17">
        <v>0</v>
      </c>
      <c r="H307" s="38">
        <v>0</v>
      </c>
      <c r="I307" s="17" t="str">
        <v/>
      </c>
      <c r="J307" s="17">
        <v>0</v>
      </c>
      <c r="K307" s="38">
        <v>0</v>
      </c>
      <c r="L307" s="17" t="str">
        <v/>
      </c>
      <c r="M307" s="17">
        <v>0</v>
      </c>
      <c r="N307" s="17">
        <v>0</v>
      </c>
      <c r="O307" s="17" t="str">
        <v/>
      </c>
      <c r="P307" s="17" t="str">
        <v/>
      </c>
      <c r="Q307" s="17">
        <v>0</v>
      </c>
      <c r="R307" s="17">
        <v>0</v>
      </c>
      <c r="S307" s="17">
        <v>0</v>
      </c>
      <c r="T307" s="22">
        <v>0</v>
      </c>
    </row>
    <row r="308" spans="2:20" x14ac:dyDescent="0.25">
      <c r="B308" s="21">
        <v>0</v>
      </c>
      <c r="C308" s="17">
        <v>0</v>
      </c>
      <c r="D308" s="17">
        <v>0</v>
      </c>
      <c r="E308" s="17">
        <v>0</v>
      </c>
      <c r="F308" s="17">
        <v>0</v>
      </c>
      <c r="G308" s="17">
        <v>0</v>
      </c>
      <c r="H308" s="38">
        <v>0</v>
      </c>
      <c r="I308" s="17" t="str">
        <v/>
      </c>
      <c r="J308" s="17">
        <v>0</v>
      </c>
      <c r="K308" s="38">
        <v>0</v>
      </c>
      <c r="L308" s="17" t="str">
        <v/>
      </c>
      <c r="M308" s="17">
        <v>0</v>
      </c>
      <c r="N308" s="17">
        <v>0</v>
      </c>
      <c r="O308" s="17" t="str">
        <v/>
      </c>
      <c r="P308" s="17" t="str">
        <v/>
      </c>
      <c r="Q308" s="17">
        <v>0</v>
      </c>
      <c r="R308" s="17">
        <v>0</v>
      </c>
      <c r="S308" s="17">
        <v>0</v>
      </c>
      <c r="T308" s="22">
        <v>0</v>
      </c>
    </row>
    <row r="309" spans="2:20" x14ac:dyDescent="0.25">
      <c r="B309" s="21">
        <v>0</v>
      </c>
      <c r="C309" s="17">
        <v>0</v>
      </c>
      <c r="D309" s="17">
        <v>0</v>
      </c>
      <c r="E309" s="17">
        <v>0</v>
      </c>
      <c r="F309" s="17">
        <v>0</v>
      </c>
      <c r="G309" s="17">
        <v>0</v>
      </c>
      <c r="H309" s="38">
        <v>0</v>
      </c>
      <c r="I309" s="17" t="str">
        <v/>
      </c>
      <c r="J309" s="17">
        <v>0</v>
      </c>
      <c r="K309" s="38">
        <v>0</v>
      </c>
      <c r="L309" s="17" t="str">
        <v/>
      </c>
      <c r="M309" s="17">
        <v>0</v>
      </c>
      <c r="N309" s="17">
        <v>0</v>
      </c>
      <c r="O309" s="17" t="str">
        <v/>
      </c>
      <c r="P309" s="17" t="str">
        <v/>
      </c>
      <c r="Q309" s="17">
        <v>0</v>
      </c>
      <c r="R309" s="17">
        <v>0</v>
      </c>
      <c r="S309" s="17">
        <v>0</v>
      </c>
      <c r="T309" s="22">
        <v>0</v>
      </c>
    </row>
    <row r="310" spans="2:20" x14ac:dyDescent="0.25">
      <c r="B310" s="21">
        <v>0</v>
      </c>
      <c r="C310" s="17">
        <v>0</v>
      </c>
      <c r="D310" s="17">
        <v>0</v>
      </c>
      <c r="E310" s="17">
        <v>0</v>
      </c>
      <c r="F310" s="17">
        <v>0</v>
      </c>
      <c r="G310" s="17">
        <v>0</v>
      </c>
      <c r="H310" s="38">
        <v>0</v>
      </c>
      <c r="I310" s="17" t="str">
        <v/>
      </c>
      <c r="J310" s="17">
        <v>0</v>
      </c>
      <c r="K310" s="38">
        <v>0</v>
      </c>
      <c r="L310" s="17" t="str">
        <v/>
      </c>
      <c r="M310" s="17">
        <v>0</v>
      </c>
      <c r="N310" s="17">
        <v>0</v>
      </c>
      <c r="O310" s="17" t="str">
        <v/>
      </c>
      <c r="P310" s="17" t="str">
        <v/>
      </c>
      <c r="Q310" s="17">
        <v>0</v>
      </c>
      <c r="R310" s="17">
        <v>0</v>
      </c>
      <c r="S310" s="17">
        <v>0</v>
      </c>
      <c r="T310" s="22">
        <v>0</v>
      </c>
    </row>
    <row r="311" spans="2:20" x14ac:dyDescent="0.25">
      <c r="B311" s="21">
        <v>0</v>
      </c>
      <c r="C311" s="17">
        <v>0</v>
      </c>
      <c r="D311" s="17">
        <v>0</v>
      </c>
      <c r="E311" s="17">
        <v>0</v>
      </c>
      <c r="F311" s="17">
        <v>0</v>
      </c>
      <c r="G311" s="17">
        <v>0</v>
      </c>
      <c r="H311" s="38">
        <v>0</v>
      </c>
      <c r="I311" s="17" t="str">
        <v/>
      </c>
      <c r="J311" s="17">
        <v>0</v>
      </c>
      <c r="K311" s="38">
        <v>0</v>
      </c>
      <c r="L311" s="17" t="str">
        <v/>
      </c>
      <c r="M311" s="17">
        <v>0</v>
      </c>
      <c r="N311" s="17">
        <v>0</v>
      </c>
      <c r="O311" s="17" t="str">
        <v/>
      </c>
      <c r="P311" s="17" t="str">
        <v/>
      </c>
      <c r="Q311" s="17">
        <v>0</v>
      </c>
      <c r="R311" s="17">
        <v>0</v>
      </c>
      <c r="S311" s="17">
        <v>0</v>
      </c>
      <c r="T311" s="22">
        <v>0</v>
      </c>
    </row>
    <row r="312" spans="2:20" x14ac:dyDescent="0.25">
      <c r="B312" s="21">
        <v>0</v>
      </c>
      <c r="C312" s="17">
        <v>0</v>
      </c>
      <c r="D312" s="17">
        <v>0</v>
      </c>
      <c r="E312" s="17">
        <v>0</v>
      </c>
      <c r="F312" s="17">
        <v>0</v>
      </c>
      <c r="G312" s="17">
        <v>0</v>
      </c>
      <c r="H312" s="38">
        <v>0</v>
      </c>
      <c r="I312" s="17" t="str">
        <v/>
      </c>
      <c r="J312" s="17">
        <v>0</v>
      </c>
      <c r="K312" s="38">
        <v>0</v>
      </c>
      <c r="L312" s="17" t="str">
        <v/>
      </c>
      <c r="M312" s="17">
        <v>0</v>
      </c>
      <c r="N312" s="17">
        <v>0</v>
      </c>
      <c r="O312" s="17" t="str">
        <v/>
      </c>
      <c r="P312" s="17" t="str">
        <v/>
      </c>
      <c r="Q312" s="17">
        <v>0</v>
      </c>
      <c r="R312" s="17">
        <v>0</v>
      </c>
      <c r="S312" s="17">
        <v>0</v>
      </c>
      <c r="T312" s="22">
        <v>0</v>
      </c>
    </row>
    <row r="313" spans="2:20" x14ac:dyDescent="0.25">
      <c r="B313" s="21">
        <v>0</v>
      </c>
      <c r="C313" s="17">
        <v>0</v>
      </c>
      <c r="D313" s="17">
        <v>0</v>
      </c>
      <c r="E313" s="17">
        <v>0</v>
      </c>
      <c r="F313" s="17">
        <v>0</v>
      </c>
      <c r="G313" s="17">
        <v>0</v>
      </c>
      <c r="H313" s="38">
        <v>0</v>
      </c>
      <c r="I313" s="17" t="str">
        <v/>
      </c>
      <c r="J313" s="17">
        <v>0</v>
      </c>
      <c r="K313" s="38">
        <v>0</v>
      </c>
      <c r="L313" s="17" t="str">
        <v/>
      </c>
      <c r="M313" s="17">
        <v>0</v>
      </c>
      <c r="N313" s="17">
        <v>0</v>
      </c>
      <c r="O313" s="17" t="str">
        <v/>
      </c>
      <c r="P313" s="17" t="str">
        <v/>
      </c>
      <c r="Q313" s="17">
        <v>0</v>
      </c>
      <c r="R313" s="17">
        <v>0</v>
      </c>
      <c r="S313" s="17">
        <v>0</v>
      </c>
      <c r="T313" s="22">
        <v>0</v>
      </c>
    </row>
    <row r="314" spans="2:20" x14ac:dyDescent="0.25">
      <c r="B314" s="21">
        <v>0</v>
      </c>
      <c r="C314" s="17">
        <v>0</v>
      </c>
      <c r="D314" s="17">
        <v>0</v>
      </c>
      <c r="E314" s="17">
        <v>0</v>
      </c>
      <c r="F314" s="17">
        <v>0</v>
      </c>
      <c r="G314" s="17">
        <v>0</v>
      </c>
      <c r="H314" s="38">
        <v>0</v>
      </c>
      <c r="I314" s="17" t="str">
        <v/>
      </c>
      <c r="J314" s="17">
        <v>0</v>
      </c>
      <c r="K314" s="38">
        <v>0</v>
      </c>
      <c r="L314" s="17" t="str">
        <v/>
      </c>
      <c r="M314" s="17">
        <v>0</v>
      </c>
      <c r="N314" s="17">
        <v>0</v>
      </c>
      <c r="O314" s="17" t="str">
        <v/>
      </c>
      <c r="P314" s="17" t="str">
        <v/>
      </c>
      <c r="Q314" s="17">
        <v>0</v>
      </c>
      <c r="R314" s="17">
        <v>0</v>
      </c>
      <c r="S314" s="17">
        <v>0</v>
      </c>
      <c r="T314" s="22">
        <v>0</v>
      </c>
    </row>
    <row r="315" spans="2:20" x14ac:dyDescent="0.25">
      <c r="B315" s="21">
        <v>0</v>
      </c>
      <c r="C315" s="17">
        <v>0</v>
      </c>
      <c r="D315" s="17">
        <v>0</v>
      </c>
      <c r="E315" s="17">
        <v>0</v>
      </c>
      <c r="F315" s="17">
        <v>0</v>
      </c>
      <c r="G315" s="17">
        <v>0</v>
      </c>
      <c r="H315" s="38">
        <v>0</v>
      </c>
      <c r="I315" s="17" t="str">
        <v/>
      </c>
      <c r="J315" s="17">
        <v>0</v>
      </c>
      <c r="K315" s="38">
        <v>0</v>
      </c>
      <c r="L315" s="17" t="str">
        <v/>
      </c>
      <c r="M315" s="17">
        <v>0</v>
      </c>
      <c r="N315" s="17">
        <v>0</v>
      </c>
      <c r="O315" s="17" t="str">
        <v/>
      </c>
      <c r="P315" s="17" t="str">
        <v/>
      </c>
      <c r="Q315" s="17">
        <v>0</v>
      </c>
      <c r="R315" s="17">
        <v>0</v>
      </c>
      <c r="S315" s="17">
        <v>0</v>
      </c>
      <c r="T315" s="22">
        <v>0</v>
      </c>
    </row>
    <row r="316" spans="2:20" x14ac:dyDescent="0.25">
      <c r="B316" s="21">
        <v>0</v>
      </c>
      <c r="C316" s="17">
        <v>0</v>
      </c>
      <c r="D316" s="17">
        <v>0</v>
      </c>
      <c r="E316" s="17">
        <v>0</v>
      </c>
      <c r="F316" s="17">
        <v>0</v>
      </c>
      <c r="G316" s="17">
        <v>0</v>
      </c>
      <c r="H316" s="38">
        <v>0</v>
      </c>
      <c r="I316" s="17" t="str">
        <v/>
      </c>
      <c r="J316" s="17">
        <v>0</v>
      </c>
      <c r="K316" s="38">
        <v>0</v>
      </c>
      <c r="L316" s="17" t="str">
        <v/>
      </c>
      <c r="M316" s="17">
        <v>0</v>
      </c>
      <c r="N316" s="17">
        <v>0</v>
      </c>
      <c r="O316" s="17" t="str">
        <v/>
      </c>
      <c r="P316" s="17" t="str">
        <v/>
      </c>
      <c r="Q316" s="17">
        <v>0</v>
      </c>
      <c r="R316" s="17">
        <v>0</v>
      </c>
      <c r="S316" s="17">
        <v>0</v>
      </c>
      <c r="T316" s="22">
        <v>0</v>
      </c>
    </row>
    <row r="317" spans="2:20" x14ac:dyDescent="0.25">
      <c r="B317" s="21">
        <v>0</v>
      </c>
      <c r="C317" s="17">
        <v>0</v>
      </c>
      <c r="D317" s="17">
        <v>0</v>
      </c>
      <c r="E317" s="17">
        <v>0</v>
      </c>
      <c r="F317" s="17">
        <v>0</v>
      </c>
      <c r="G317" s="17">
        <v>0</v>
      </c>
      <c r="H317" s="38">
        <v>0</v>
      </c>
      <c r="I317" s="17" t="str">
        <v/>
      </c>
      <c r="J317" s="17">
        <v>0</v>
      </c>
      <c r="K317" s="38">
        <v>0</v>
      </c>
      <c r="L317" s="17" t="str">
        <v/>
      </c>
      <c r="M317" s="17">
        <v>0</v>
      </c>
      <c r="N317" s="17">
        <v>0</v>
      </c>
      <c r="O317" s="17" t="str">
        <v/>
      </c>
      <c r="P317" s="17" t="str">
        <v/>
      </c>
      <c r="Q317" s="17">
        <v>0</v>
      </c>
      <c r="R317" s="17">
        <v>0</v>
      </c>
      <c r="S317" s="17">
        <v>0</v>
      </c>
      <c r="T317" s="22">
        <v>0</v>
      </c>
    </row>
    <row r="318" spans="2:20" x14ac:dyDescent="0.25">
      <c r="B318" s="21">
        <v>0</v>
      </c>
      <c r="C318" s="17">
        <v>0</v>
      </c>
      <c r="D318" s="17">
        <v>0</v>
      </c>
      <c r="E318" s="17">
        <v>0</v>
      </c>
      <c r="F318" s="17">
        <v>0</v>
      </c>
      <c r="G318" s="17">
        <v>0</v>
      </c>
      <c r="H318" s="38">
        <v>0</v>
      </c>
      <c r="I318" s="17" t="str">
        <v/>
      </c>
      <c r="J318" s="17">
        <v>0</v>
      </c>
      <c r="K318" s="38">
        <v>0</v>
      </c>
      <c r="L318" s="17" t="str">
        <v/>
      </c>
      <c r="M318" s="17">
        <v>0</v>
      </c>
      <c r="N318" s="17">
        <v>0</v>
      </c>
      <c r="O318" s="17" t="str">
        <v/>
      </c>
      <c r="P318" s="17" t="str">
        <v/>
      </c>
      <c r="Q318" s="17">
        <v>0</v>
      </c>
      <c r="R318" s="17">
        <v>0</v>
      </c>
      <c r="S318" s="17">
        <v>0</v>
      </c>
      <c r="T318" s="22">
        <v>0</v>
      </c>
    </row>
    <row r="319" spans="2:20" x14ac:dyDescent="0.25">
      <c r="B319" s="21">
        <v>0</v>
      </c>
      <c r="C319" s="17">
        <v>0</v>
      </c>
      <c r="D319" s="17">
        <v>0</v>
      </c>
      <c r="E319" s="17">
        <v>0</v>
      </c>
      <c r="F319" s="17">
        <v>0</v>
      </c>
      <c r="G319" s="17">
        <v>0</v>
      </c>
      <c r="H319" s="38">
        <v>0</v>
      </c>
      <c r="I319" s="17" t="str">
        <v/>
      </c>
      <c r="J319" s="17">
        <v>0</v>
      </c>
      <c r="K319" s="38">
        <v>0</v>
      </c>
      <c r="L319" s="17" t="str">
        <v/>
      </c>
      <c r="M319" s="17">
        <v>0</v>
      </c>
      <c r="N319" s="17">
        <v>0</v>
      </c>
      <c r="O319" s="17" t="str">
        <v/>
      </c>
      <c r="P319" s="17" t="str">
        <v/>
      </c>
      <c r="Q319" s="17">
        <v>0</v>
      </c>
      <c r="R319" s="17">
        <v>0</v>
      </c>
      <c r="S319" s="17">
        <v>0</v>
      </c>
      <c r="T319" s="22">
        <v>0</v>
      </c>
    </row>
    <row r="320" spans="2:20" x14ac:dyDescent="0.25">
      <c r="B320" s="21">
        <v>0</v>
      </c>
      <c r="C320" s="17">
        <v>0</v>
      </c>
      <c r="D320" s="17">
        <v>0</v>
      </c>
      <c r="E320" s="17">
        <v>0</v>
      </c>
      <c r="F320" s="17">
        <v>0</v>
      </c>
      <c r="G320" s="17">
        <v>0</v>
      </c>
      <c r="H320" s="38">
        <v>0</v>
      </c>
      <c r="I320" s="17" t="str">
        <v/>
      </c>
      <c r="J320" s="17">
        <v>0</v>
      </c>
      <c r="K320" s="38">
        <v>0</v>
      </c>
      <c r="L320" s="17" t="str">
        <v/>
      </c>
      <c r="M320" s="17">
        <v>0</v>
      </c>
      <c r="N320" s="17">
        <v>0</v>
      </c>
      <c r="O320" s="17" t="str">
        <v/>
      </c>
      <c r="P320" s="17" t="str">
        <v/>
      </c>
      <c r="Q320" s="17">
        <v>0</v>
      </c>
      <c r="R320" s="17">
        <v>0</v>
      </c>
      <c r="S320" s="17">
        <v>0</v>
      </c>
      <c r="T320" s="22">
        <v>0</v>
      </c>
    </row>
    <row r="321" spans="2:20" x14ac:dyDescent="0.25">
      <c r="B321" s="21">
        <v>0</v>
      </c>
      <c r="C321" s="17">
        <v>0</v>
      </c>
      <c r="D321" s="17">
        <v>0</v>
      </c>
      <c r="E321" s="17">
        <v>0</v>
      </c>
      <c r="F321" s="17">
        <v>0</v>
      </c>
      <c r="G321" s="17">
        <v>0</v>
      </c>
      <c r="H321" s="38">
        <v>0</v>
      </c>
      <c r="I321" s="17" t="str">
        <v/>
      </c>
      <c r="J321" s="17">
        <v>0</v>
      </c>
      <c r="K321" s="38">
        <v>0</v>
      </c>
      <c r="L321" s="17" t="str">
        <v/>
      </c>
      <c r="M321" s="17">
        <v>0</v>
      </c>
      <c r="N321" s="17">
        <v>0</v>
      </c>
      <c r="O321" s="17" t="str">
        <v/>
      </c>
      <c r="P321" s="17" t="str">
        <v/>
      </c>
      <c r="Q321" s="17">
        <v>0</v>
      </c>
      <c r="R321" s="17">
        <v>0</v>
      </c>
      <c r="S321" s="17">
        <v>0</v>
      </c>
      <c r="T321" s="22">
        <v>0</v>
      </c>
    </row>
    <row r="322" spans="2:20" x14ac:dyDescent="0.25">
      <c r="B322" s="21">
        <v>0</v>
      </c>
      <c r="C322" s="17">
        <v>0</v>
      </c>
      <c r="D322" s="17">
        <v>0</v>
      </c>
      <c r="E322" s="17">
        <v>0</v>
      </c>
      <c r="F322" s="17">
        <v>0</v>
      </c>
      <c r="G322" s="17">
        <v>0</v>
      </c>
      <c r="H322" s="38">
        <v>0</v>
      </c>
      <c r="I322" s="17" t="str">
        <v/>
      </c>
      <c r="J322" s="17">
        <v>0</v>
      </c>
      <c r="K322" s="38">
        <v>0</v>
      </c>
      <c r="L322" s="17" t="str">
        <v/>
      </c>
      <c r="M322" s="17">
        <v>0</v>
      </c>
      <c r="N322" s="17">
        <v>0</v>
      </c>
      <c r="O322" s="17" t="str">
        <v/>
      </c>
      <c r="P322" s="17" t="str">
        <v/>
      </c>
      <c r="Q322" s="17">
        <v>0</v>
      </c>
      <c r="R322" s="17">
        <v>0</v>
      </c>
      <c r="S322" s="17">
        <v>0</v>
      </c>
      <c r="T322" s="22">
        <v>0</v>
      </c>
    </row>
    <row r="323" spans="2:20" x14ac:dyDescent="0.25">
      <c r="B323" s="21">
        <v>0</v>
      </c>
      <c r="C323" s="17">
        <v>0</v>
      </c>
      <c r="D323" s="17">
        <v>0</v>
      </c>
      <c r="E323" s="17">
        <v>0</v>
      </c>
      <c r="F323" s="17">
        <v>0</v>
      </c>
      <c r="G323" s="17">
        <v>0</v>
      </c>
      <c r="H323" s="38">
        <v>0</v>
      </c>
      <c r="I323" s="17" t="str">
        <v/>
      </c>
      <c r="J323" s="17">
        <v>0</v>
      </c>
      <c r="K323" s="38">
        <v>0</v>
      </c>
      <c r="L323" s="17" t="str">
        <v/>
      </c>
      <c r="M323" s="17">
        <v>0</v>
      </c>
      <c r="N323" s="17">
        <v>0</v>
      </c>
      <c r="O323" s="17" t="str">
        <v/>
      </c>
      <c r="P323" s="17" t="str">
        <v/>
      </c>
      <c r="Q323" s="17">
        <v>0</v>
      </c>
      <c r="R323" s="17">
        <v>0</v>
      </c>
      <c r="S323" s="17">
        <v>0</v>
      </c>
      <c r="T323" s="22">
        <v>0</v>
      </c>
    </row>
    <row r="324" spans="2:20" x14ac:dyDescent="0.25">
      <c r="B324" s="21">
        <v>0</v>
      </c>
      <c r="C324" s="17">
        <v>0</v>
      </c>
      <c r="D324" s="17">
        <v>0</v>
      </c>
      <c r="E324" s="17">
        <v>0</v>
      </c>
      <c r="F324" s="17">
        <v>0</v>
      </c>
      <c r="G324" s="17">
        <v>0</v>
      </c>
      <c r="H324" s="38">
        <v>0</v>
      </c>
      <c r="I324" s="17" t="str">
        <v/>
      </c>
      <c r="J324" s="17">
        <v>0</v>
      </c>
      <c r="K324" s="38">
        <v>0</v>
      </c>
      <c r="L324" s="17" t="str">
        <v/>
      </c>
      <c r="M324" s="17">
        <v>0</v>
      </c>
      <c r="N324" s="17">
        <v>0</v>
      </c>
      <c r="O324" s="17" t="str">
        <v/>
      </c>
      <c r="P324" s="17" t="str">
        <v/>
      </c>
      <c r="Q324" s="17">
        <v>0</v>
      </c>
      <c r="R324" s="17">
        <v>0</v>
      </c>
      <c r="S324" s="17">
        <v>0</v>
      </c>
      <c r="T324" s="22">
        <v>0</v>
      </c>
    </row>
    <row r="325" spans="2:20" x14ac:dyDescent="0.25">
      <c r="B325" s="21">
        <v>0</v>
      </c>
      <c r="C325" s="17">
        <v>0</v>
      </c>
      <c r="D325" s="17">
        <v>0</v>
      </c>
      <c r="E325" s="17">
        <v>0</v>
      </c>
      <c r="F325" s="17">
        <v>0</v>
      </c>
      <c r="G325" s="17">
        <v>0</v>
      </c>
      <c r="H325" s="38">
        <v>0</v>
      </c>
      <c r="I325" s="17" t="str">
        <v/>
      </c>
      <c r="J325" s="17">
        <v>0</v>
      </c>
      <c r="K325" s="38">
        <v>0</v>
      </c>
      <c r="L325" s="17" t="str">
        <v/>
      </c>
      <c r="M325" s="17">
        <v>0</v>
      </c>
      <c r="N325" s="17">
        <v>0</v>
      </c>
      <c r="O325" s="17" t="str">
        <v/>
      </c>
      <c r="P325" s="17" t="str">
        <v/>
      </c>
      <c r="Q325" s="17">
        <v>0</v>
      </c>
      <c r="R325" s="17">
        <v>0</v>
      </c>
      <c r="S325" s="17">
        <v>0</v>
      </c>
      <c r="T325" s="22">
        <v>0</v>
      </c>
    </row>
    <row r="326" spans="2:20" x14ac:dyDescent="0.25">
      <c r="B326" s="21">
        <v>0</v>
      </c>
      <c r="C326" s="17">
        <v>0</v>
      </c>
      <c r="D326" s="17">
        <v>0</v>
      </c>
      <c r="E326" s="17">
        <v>0</v>
      </c>
      <c r="F326" s="17">
        <v>0</v>
      </c>
      <c r="G326" s="17">
        <v>0</v>
      </c>
      <c r="H326" s="38">
        <v>0</v>
      </c>
      <c r="I326" s="17" t="str">
        <v/>
      </c>
      <c r="J326" s="17">
        <v>0</v>
      </c>
      <c r="K326" s="38">
        <v>0</v>
      </c>
      <c r="L326" s="17" t="str">
        <v/>
      </c>
      <c r="M326" s="17">
        <v>0</v>
      </c>
      <c r="N326" s="17">
        <v>0</v>
      </c>
      <c r="O326" s="17" t="str">
        <v/>
      </c>
      <c r="P326" s="17" t="str">
        <v/>
      </c>
      <c r="Q326" s="17">
        <v>0</v>
      </c>
      <c r="R326" s="17">
        <v>0</v>
      </c>
      <c r="S326" s="17">
        <v>0</v>
      </c>
      <c r="T326" s="22">
        <v>0</v>
      </c>
    </row>
    <row r="327" spans="2:20" x14ac:dyDescent="0.25">
      <c r="B327" s="21">
        <v>0</v>
      </c>
      <c r="C327" s="17">
        <v>0</v>
      </c>
      <c r="D327" s="17">
        <v>0</v>
      </c>
      <c r="E327" s="17">
        <v>0</v>
      </c>
      <c r="F327" s="17">
        <v>0</v>
      </c>
      <c r="G327" s="17">
        <v>0</v>
      </c>
      <c r="H327" s="38">
        <v>0</v>
      </c>
      <c r="I327" s="17" t="str">
        <v/>
      </c>
      <c r="J327" s="17">
        <v>0</v>
      </c>
      <c r="K327" s="38">
        <v>0</v>
      </c>
      <c r="L327" s="17" t="str">
        <v/>
      </c>
      <c r="M327" s="17">
        <v>0</v>
      </c>
      <c r="N327" s="17">
        <v>0</v>
      </c>
      <c r="O327" s="17" t="str">
        <v/>
      </c>
      <c r="P327" s="17" t="str">
        <v/>
      </c>
      <c r="Q327" s="17">
        <v>0</v>
      </c>
      <c r="R327" s="17">
        <v>0</v>
      </c>
      <c r="S327" s="17">
        <v>0</v>
      </c>
      <c r="T327" s="22">
        <v>0</v>
      </c>
    </row>
    <row r="328" spans="2:20" x14ac:dyDescent="0.25">
      <c r="B328" s="21">
        <v>0</v>
      </c>
      <c r="C328" s="17">
        <v>0</v>
      </c>
      <c r="D328" s="17">
        <v>0</v>
      </c>
      <c r="E328" s="17">
        <v>0</v>
      </c>
      <c r="F328" s="17">
        <v>0</v>
      </c>
      <c r="G328" s="17">
        <v>0</v>
      </c>
      <c r="H328" s="38">
        <v>0</v>
      </c>
      <c r="I328" s="17" t="str">
        <v/>
      </c>
      <c r="J328" s="17">
        <v>0</v>
      </c>
      <c r="K328" s="38">
        <v>0</v>
      </c>
      <c r="L328" s="17" t="str">
        <v/>
      </c>
      <c r="M328" s="17">
        <v>0</v>
      </c>
      <c r="N328" s="17">
        <v>0</v>
      </c>
      <c r="O328" s="17" t="str">
        <v/>
      </c>
      <c r="P328" s="17" t="str">
        <v/>
      </c>
      <c r="Q328" s="17">
        <v>0</v>
      </c>
      <c r="R328" s="17">
        <v>0</v>
      </c>
      <c r="S328" s="17">
        <v>0</v>
      </c>
      <c r="T328" s="22">
        <v>0</v>
      </c>
    </row>
    <row r="329" spans="2:20" x14ac:dyDescent="0.25">
      <c r="B329" s="21">
        <v>0</v>
      </c>
      <c r="C329" s="17">
        <v>0</v>
      </c>
      <c r="D329" s="17">
        <v>0</v>
      </c>
      <c r="E329" s="17">
        <v>0</v>
      </c>
      <c r="F329" s="17">
        <v>0</v>
      </c>
      <c r="G329" s="17">
        <v>0</v>
      </c>
      <c r="H329" s="38">
        <v>0</v>
      </c>
      <c r="I329" s="17" t="str">
        <v/>
      </c>
      <c r="J329" s="17">
        <v>0</v>
      </c>
      <c r="K329" s="38">
        <v>0</v>
      </c>
      <c r="L329" s="17" t="str">
        <v/>
      </c>
      <c r="M329" s="17">
        <v>0</v>
      </c>
      <c r="N329" s="17">
        <v>0</v>
      </c>
      <c r="O329" s="17" t="str">
        <v/>
      </c>
      <c r="P329" s="17" t="str">
        <v/>
      </c>
      <c r="Q329" s="17">
        <v>0</v>
      </c>
      <c r="R329" s="17">
        <v>0</v>
      </c>
      <c r="S329" s="17">
        <v>0</v>
      </c>
      <c r="T329" s="22">
        <v>0</v>
      </c>
    </row>
    <row r="330" spans="2:20" x14ac:dyDescent="0.25">
      <c r="B330" s="21">
        <v>0</v>
      </c>
      <c r="C330" s="17">
        <v>0</v>
      </c>
      <c r="D330" s="17">
        <v>0</v>
      </c>
      <c r="E330" s="17">
        <v>0</v>
      </c>
      <c r="F330" s="17">
        <v>0</v>
      </c>
      <c r="G330" s="17">
        <v>0</v>
      </c>
      <c r="H330" s="38">
        <v>0</v>
      </c>
      <c r="I330" s="17" t="str">
        <v/>
      </c>
      <c r="J330" s="17">
        <v>0</v>
      </c>
      <c r="K330" s="38">
        <v>0</v>
      </c>
      <c r="L330" s="17" t="str">
        <v/>
      </c>
      <c r="M330" s="17">
        <v>0</v>
      </c>
      <c r="N330" s="17">
        <v>0</v>
      </c>
      <c r="O330" s="17" t="str">
        <v/>
      </c>
      <c r="P330" s="17" t="str">
        <v/>
      </c>
      <c r="Q330" s="17">
        <v>0</v>
      </c>
      <c r="R330" s="17">
        <v>0</v>
      </c>
      <c r="S330" s="17">
        <v>0</v>
      </c>
      <c r="T330" s="22">
        <v>0</v>
      </c>
    </row>
    <row r="331" spans="2:20" x14ac:dyDescent="0.25">
      <c r="B331" s="21">
        <v>0</v>
      </c>
      <c r="C331" s="17">
        <v>0</v>
      </c>
      <c r="D331" s="17">
        <v>0</v>
      </c>
      <c r="E331" s="17">
        <v>0</v>
      </c>
      <c r="F331" s="17">
        <v>0</v>
      </c>
      <c r="G331" s="17">
        <v>0</v>
      </c>
      <c r="H331" s="38">
        <v>0</v>
      </c>
      <c r="I331" s="17" t="str">
        <v/>
      </c>
      <c r="J331" s="17">
        <v>0</v>
      </c>
      <c r="K331" s="38">
        <v>0</v>
      </c>
      <c r="L331" s="17" t="str">
        <v/>
      </c>
      <c r="M331" s="17">
        <v>0</v>
      </c>
      <c r="N331" s="17">
        <v>0</v>
      </c>
      <c r="O331" s="17" t="str">
        <v/>
      </c>
      <c r="P331" s="17" t="str">
        <v/>
      </c>
      <c r="Q331" s="17">
        <v>0</v>
      </c>
      <c r="R331" s="17">
        <v>0</v>
      </c>
      <c r="S331" s="17">
        <v>0</v>
      </c>
      <c r="T331" s="22">
        <v>0</v>
      </c>
    </row>
    <row r="332" spans="2:20" x14ac:dyDescent="0.25">
      <c r="B332" s="21">
        <v>0</v>
      </c>
      <c r="C332" s="17">
        <v>0</v>
      </c>
      <c r="D332" s="17">
        <v>0</v>
      </c>
      <c r="E332" s="17">
        <v>0</v>
      </c>
      <c r="F332" s="17">
        <v>0</v>
      </c>
      <c r="G332" s="17">
        <v>0</v>
      </c>
      <c r="H332" s="38">
        <v>0</v>
      </c>
      <c r="I332" s="17" t="str">
        <v/>
      </c>
      <c r="J332" s="17">
        <v>0</v>
      </c>
      <c r="K332" s="38">
        <v>0</v>
      </c>
      <c r="L332" s="17" t="str">
        <v/>
      </c>
      <c r="M332" s="17">
        <v>0</v>
      </c>
      <c r="N332" s="17">
        <v>0</v>
      </c>
      <c r="O332" s="17" t="str">
        <v/>
      </c>
      <c r="P332" s="17" t="str">
        <v/>
      </c>
      <c r="Q332" s="17">
        <v>0</v>
      </c>
      <c r="R332" s="17">
        <v>0</v>
      </c>
      <c r="S332" s="17">
        <v>0</v>
      </c>
      <c r="T332" s="22">
        <v>0</v>
      </c>
    </row>
    <row r="333" spans="2:20" x14ac:dyDescent="0.25">
      <c r="B333" s="21">
        <v>0</v>
      </c>
      <c r="C333" s="17">
        <v>0</v>
      </c>
      <c r="D333" s="17">
        <v>0</v>
      </c>
      <c r="E333" s="17">
        <v>0</v>
      </c>
      <c r="F333" s="17">
        <v>0</v>
      </c>
      <c r="G333" s="17">
        <v>0</v>
      </c>
      <c r="H333" s="38">
        <v>0</v>
      </c>
      <c r="I333" s="17" t="str">
        <v/>
      </c>
      <c r="J333" s="17">
        <v>0</v>
      </c>
      <c r="K333" s="38">
        <v>0</v>
      </c>
      <c r="L333" s="17" t="str">
        <v/>
      </c>
      <c r="M333" s="17">
        <v>0</v>
      </c>
      <c r="N333" s="17">
        <v>0</v>
      </c>
      <c r="O333" s="17" t="str">
        <v/>
      </c>
      <c r="P333" s="17" t="str">
        <v/>
      </c>
      <c r="Q333" s="17">
        <v>0</v>
      </c>
      <c r="R333" s="17">
        <v>0</v>
      </c>
      <c r="S333" s="17">
        <v>0</v>
      </c>
      <c r="T333" s="22">
        <v>0</v>
      </c>
    </row>
    <row r="334" spans="2:20" x14ac:dyDescent="0.25">
      <c r="B334" s="21">
        <v>0</v>
      </c>
      <c r="C334" s="17">
        <v>0</v>
      </c>
      <c r="D334" s="17">
        <v>0</v>
      </c>
      <c r="E334" s="17">
        <v>0</v>
      </c>
      <c r="F334" s="17">
        <v>0</v>
      </c>
      <c r="G334" s="17">
        <v>0</v>
      </c>
      <c r="H334" s="38">
        <v>0</v>
      </c>
      <c r="I334" s="17" t="str">
        <v/>
      </c>
      <c r="J334" s="17">
        <v>0</v>
      </c>
      <c r="K334" s="38">
        <v>0</v>
      </c>
      <c r="L334" s="17" t="str">
        <v/>
      </c>
      <c r="M334" s="17">
        <v>0</v>
      </c>
      <c r="N334" s="17">
        <v>0</v>
      </c>
      <c r="O334" s="17" t="str">
        <v/>
      </c>
      <c r="P334" s="17" t="str">
        <v/>
      </c>
      <c r="Q334" s="17">
        <v>0</v>
      </c>
      <c r="R334" s="17">
        <v>0</v>
      </c>
      <c r="S334" s="17">
        <v>0</v>
      </c>
      <c r="T334" s="22">
        <v>0</v>
      </c>
    </row>
    <row r="335" spans="2:20" x14ac:dyDescent="0.25">
      <c r="B335" s="21">
        <v>0</v>
      </c>
      <c r="C335" s="17">
        <v>0</v>
      </c>
      <c r="D335" s="17">
        <v>0</v>
      </c>
      <c r="E335" s="17">
        <v>0</v>
      </c>
      <c r="F335" s="17">
        <v>0</v>
      </c>
      <c r="G335" s="17">
        <v>0</v>
      </c>
      <c r="H335" s="38">
        <v>0</v>
      </c>
      <c r="I335" s="17" t="str">
        <v/>
      </c>
      <c r="J335" s="17">
        <v>0</v>
      </c>
      <c r="K335" s="38">
        <v>0</v>
      </c>
      <c r="L335" s="17" t="str">
        <v/>
      </c>
      <c r="M335" s="17">
        <v>0</v>
      </c>
      <c r="N335" s="17">
        <v>0</v>
      </c>
      <c r="O335" s="17" t="str">
        <v/>
      </c>
      <c r="P335" s="17" t="str">
        <v/>
      </c>
      <c r="Q335" s="17">
        <v>0</v>
      </c>
      <c r="R335" s="17">
        <v>0</v>
      </c>
      <c r="S335" s="17">
        <v>0</v>
      </c>
      <c r="T335" s="22">
        <v>0</v>
      </c>
    </row>
    <row r="336" spans="2:20" x14ac:dyDescent="0.25">
      <c r="B336" s="21">
        <v>0</v>
      </c>
      <c r="C336" s="17">
        <v>0</v>
      </c>
      <c r="D336" s="17">
        <v>0</v>
      </c>
      <c r="E336" s="17">
        <v>0</v>
      </c>
      <c r="F336" s="17">
        <v>0</v>
      </c>
      <c r="G336" s="17">
        <v>0</v>
      </c>
      <c r="H336" s="38">
        <v>0</v>
      </c>
      <c r="I336" s="17" t="str">
        <v/>
      </c>
      <c r="J336" s="17">
        <v>0</v>
      </c>
      <c r="K336" s="38">
        <v>0</v>
      </c>
      <c r="L336" s="17" t="str">
        <v/>
      </c>
      <c r="M336" s="17">
        <v>0</v>
      </c>
      <c r="N336" s="17">
        <v>0</v>
      </c>
      <c r="O336" s="17" t="str">
        <v/>
      </c>
      <c r="P336" s="17" t="str">
        <v/>
      </c>
      <c r="Q336" s="17">
        <v>0</v>
      </c>
      <c r="R336" s="17">
        <v>0</v>
      </c>
      <c r="S336" s="17">
        <v>0</v>
      </c>
      <c r="T336" s="22">
        <v>0</v>
      </c>
    </row>
    <row r="337" spans="2:20" x14ac:dyDescent="0.25">
      <c r="B337" s="21">
        <v>0</v>
      </c>
      <c r="C337" s="17">
        <v>0</v>
      </c>
      <c r="D337" s="17">
        <v>0</v>
      </c>
      <c r="E337" s="17">
        <v>0</v>
      </c>
      <c r="F337" s="17">
        <v>0</v>
      </c>
      <c r="G337" s="17">
        <v>0</v>
      </c>
      <c r="H337" s="38">
        <v>0</v>
      </c>
      <c r="I337" s="17" t="str">
        <v/>
      </c>
      <c r="J337" s="17">
        <v>0</v>
      </c>
      <c r="K337" s="38">
        <v>0</v>
      </c>
      <c r="L337" s="17" t="str">
        <v/>
      </c>
      <c r="M337" s="17">
        <v>0</v>
      </c>
      <c r="N337" s="17">
        <v>0</v>
      </c>
      <c r="O337" s="17" t="str">
        <v/>
      </c>
      <c r="P337" s="17" t="str">
        <v/>
      </c>
      <c r="Q337" s="17">
        <v>0</v>
      </c>
      <c r="R337" s="17">
        <v>0</v>
      </c>
      <c r="S337" s="17">
        <v>0</v>
      </c>
      <c r="T337" s="22">
        <v>0</v>
      </c>
    </row>
    <row r="338" spans="2:20" x14ac:dyDescent="0.25">
      <c r="B338" s="21">
        <v>0</v>
      </c>
      <c r="C338" s="17">
        <v>0</v>
      </c>
      <c r="D338" s="17">
        <v>0</v>
      </c>
      <c r="E338" s="17">
        <v>0</v>
      </c>
      <c r="F338" s="17">
        <v>0</v>
      </c>
      <c r="G338" s="17">
        <v>0</v>
      </c>
      <c r="H338" s="38">
        <v>0</v>
      </c>
      <c r="I338" s="17" t="str">
        <v/>
      </c>
      <c r="J338" s="17">
        <v>0</v>
      </c>
      <c r="K338" s="38">
        <v>0</v>
      </c>
      <c r="L338" s="17" t="str">
        <v/>
      </c>
      <c r="M338" s="17">
        <v>0</v>
      </c>
      <c r="N338" s="17">
        <v>0</v>
      </c>
      <c r="O338" s="17" t="str">
        <v/>
      </c>
      <c r="P338" s="17" t="str">
        <v/>
      </c>
      <c r="Q338" s="17">
        <v>0</v>
      </c>
      <c r="R338" s="17">
        <v>0</v>
      </c>
      <c r="S338" s="17">
        <v>0</v>
      </c>
      <c r="T338" s="22">
        <v>0</v>
      </c>
    </row>
    <row r="339" spans="2:20" x14ac:dyDescent="0.25">
      <c r="B339" s="21">
        <v>0</v>
      </c>
      <c r="C339" s="17">
        <v>0</v>
      </c>
      <c r="D339" s="17">
        <v>0</v>
      </c>
      <c r="E339" s="17">
        <v>0</v>
      </c>
      <c r="F339" s="17">
        <v>0</v>
      </c>
      <c r="G339" s="17">
        <v>0</v>
      </c>
      <c r="H339" s="38">
        <v>0</v>
      </c>
      <c r="I339" s="17" t="str">
        <v/>
      </c>
      <c r="J339" s="17">
        <v>0</v>
      </c>
      <c r="K339" s="38">
        <v>0</v>
      </c>
      <c r="L339" s="17" t="str">
        <v/>
      </c>
      <c r="M339" s="17">
        <v>0</v>
      </c>
      <c r="N339" s="17">
        <v>0</v>
      </c>
      <c r="O339" s="17" t="str">
        <v/>
      </c>
      <c r="P339" s="17" t="str">
        <v/>
      </c>
      <c r="Q339" s="17">
        <v>0</v>
      </c>
      <c r="R339" s="17">
        <v>0</v>
      </c>
      <c r="S339" s="17">
        <v>0</v>
      </c>
      <c r="T339" s="22">
        <v>0</v>
      </c>
    </row>
    <row r="340" spans="2:20" x14ac:dyDescent="0.25">
      <c r="B340" s="21">
        <v>0</v>
      </c>
      <c r="C340" s="17">
        <v>0</v>
      </c>
      <c r="D340" s="17">
        <v>0</v>
      </c>
      <c r="E340" s="17">
        <v>0</v>
      </c>
      <c r="F340" s="17">
        <v>0</v>
      </c>
      <c r="G340" s="17">
        <v>0</v>
      </c>
      <c r="H340" s="38">
        <v>0</v>
      </c>
      <c r="I340" s="17" t="str">
        <v/>
      </c>
      <c r="J340" s="17">
        <v>0</v>
      </c>
      <c r="K340" s="38">
        <v>0</v>
      </c>
      <c r="L340" s="17" t="str">
        <v/>
      </c>
      <c r="M340" s="17">
        <v>0</v>
      </c>
      <c r="N340" s="17">
        <v>0</v>
      </c>
      <c r="O340" s="17" t="str">
        <v/>
      </c>
      <c r="P340" s="17" t="str">
        <v/>
      </c>
      <c r="Q340" s="17">
        <v>0</v>
      </c>
      <c r="R340" s="17">
        <v>0</v>
      </c>
      <c r="S340" s="17">
        <v>0</v>
      </c>
      <c r="T340" s="22">
        <v>0</v>
      </c>
    </row>
    <row r="341" spans="2:20" x14ac:dyDescent="0.25">
      <c r="B341" s="21">
        <v>0</v>
      </c>
      <c r="C341" s="17">
        <v>0</v>
      </c>
      <c r="D341" s="17">
        <v>0</v>
      </c>
      <c r="E341" s="17">
        <v>0</v>
      </c>
      <c r="F341" s="17">
        <v>0</v>
      </c>
      <c r="G341" s="17">
        <v>0</v>
      </c>
      <c r="H341" s="38">
        <v>0</v>
      </c>
      <c r="I341" s="17" t="str">
        <v/>
      </c>
      <c r="J341" s="17">
        <v>0</v>
      </c>
      <c r="K341" s="38">
        <v>0</v>
      </c>
      <c r="L341" s="17" t="str">
        <v/>
      </c>
      <c r="M341" s="17">
        <v>0</v>
      </c>
      <c r="N341" s="17">
        <v>0</v>
      </c>
      <c r="O341" s="17" t="str">
        <v/>
      </c>
      <c r="P341" s="17" t="str">
        <v/>
      </c>
      <c r="Q341" s="17">
        <v>0</v>
      </c>
      <c r="R341" s="17">
        <v>0</v>
      </c>
      <c r="S341" s="17">
        <v>0</v>
      </c>
      <c r="T341" s="22">
        <v>0</v>
      </c>
    </row>
    <row r="342" spans="2:20" x14ac:dyDescent="0.25">
      <c r="B342" s="21">
        <v>0</v>
      </c>
      <c r="C342" s="17">
        <v>0</v>
      </c>
      <c r="D342" s="17">
        <v>0</v>
      </c>
      <c r="E342" s="17">
        <v>0</v>
      </c>
      <c r="F342" s="17">
        <v>0</v>
      </c>
      <c r="G342" s="17">
        <v>0</v>
      </c>
      <c r="H342" s="38">
        <v>0</v>
      </c>
      <c r="I342" s="17" t="str">
        <v/>
      </c>
      <c r="J342" s="17">
        <v>0</v>
      </c>
      <c r="K342" s="38">
        <v>0</v>
      </c>
      <c r="L342" s="17" t="str">
        <v/>
      </c>
      <c r="M342" s="17">
        <v>0</v>
      </c>
      <c r="N342" s="17">
        <v>0</v>
      </c>
      <c r="O342" s="17" t="str">
        <v/>
      </c>
      <c r="P342" s="17" t="str">
        <v/>
      </c>
      <c r="Q342" s="17">
        <v>0</v>
      </c>
      <c r="R342" s="17">
        <v>0</v>
      </c>
      <c r="S342" s="17">
        <v>0</v>
      </c>
      <c r="T342" s="22">
        <v>0</v>
      </c>
    </row>
    <row r="343" spans="2:20" x14ac:dyDescent="0.25">
      <c r="B343" s="21">
        <v>0</v>
      </c>
      <c r="C343" s="17">
        <v>0</v>
      </c>
      <c r="D343" s="17">
        <v>0</v>
      </c>
      <c r="E343" s="17">
        <v>0</v>
      </c>
      <c r="F343" s="17">
        <v>0</v>
      </c>
      <c r="G343" s="17">
        <v>0</v>
      </c>
      <c r="H343" s="38">
        <v>0</v>
      </c>
      <c r="I343" s="17" t="str">
        <v/>
      </c>
      <c r="J343" s="17">
        <v>0</v>
      </c>
      <c r="K343" s="38">
        <v>0</v>
      </c>
      <c r="L343" s="17" t="str">
        <v/>
      </c>
      <c r="M343" s="17">
        <v>0</v>
      </c>
      <c r="N343" s="17">
        <v>0</v>
      </c>
      <c r="O343" s="17" t="str">
        <v/>
      </c>
      <c r="P343" s="17" t="str">
        <v/>
      </c>
      <c r="Q343" s="17">
        <v>0</v>
      </c>
      <c r="R343" s="17">
        <v>0</v>
      </c>
      <c r="S343" s="17">
        <v>0</v>
      </c>
      <c r="T343" s="22">
        <v>0</v>
      </c>
    </row>
    <row r="344" spans="2:20" x14ac:dyDescent="0.25">
      <c r="B344" s="21">
        <v>0</v>
      </c>
      <c r="C344" s="17">
        <v>0</v>
      </c>
      <c r="D344" s="17">
        <v>0</v>
      </c>
      <c r="E344" s="17">
        <v>0</v>
      </c>
      <c r="F344" s="17">
        <v>0</v>
      </c>
      <c r="G344" s="17">
        <v>0</v>
      </c>
      <c r="H344" s="38">
        <v>0</v>
      </c>
      <c r="I344" s="17" t="str">
        <v/>
      </c>
      <c r="J344" s="17">
        <v>0</v>
      </c>
      <c r="K344" s="38">
        <v>0</v>
      </c>
      <c r="L344" s="17" t="str">
        <v/>
      </c>
      <c r="M344" s="17">
        <v>0</v>
      </c>
      <c r="N344" s="17">
        <v>0</v>
      </c>
      <c r="O344" s="17" t="str">
        <v/>
      </c>
      <c r="P344" s="17" t="str">
        <v/>
      </c>
      <c r="Q344" s="17">
        <v>0</v>
      </c>
      <c r="R344" s="17">
        <v>0</v>
      </c>
      <c r="S344" s="17">
        <v>0</v>
      </c>
      <c r="T344" s="22">
        <v>0</v>
      </c>
    </row>
    <row r="345" spans="2:20" x14ac:dyDescent="0.25">
      <c r="B345" s="21">
        <v>0</v>
      </c>
      <c r="C345" s="17">
        <v>0</v>
      </c>
      <c r="D345" s="17">
        <v>0</v>
      </c>
      <c r="E345" s="17">
        <v>0</v>
      </c>
      <c r="F345" s="17">
        <v>0</v>
      </c>
      <c r="G345" s="17">
        <v>0</v>
      </c>
      <c r="H345" s="38">
        <v>0</v>
      </c>
      <c r="I345" s="17" t="str">
        <v/>
      </c>
      <c r="J345" s="17">
        <v>0</v>
      </c>
      <c r="K345" s="38">
        <v>0</v>
      </c>
      <c r="L345" s="17" t="str">
        <v/>
      </c>
      <c r="M345" s="17">
        <v>0</v>
      </c>
      <c r="N345" s="17">
        <v>0</v>
      </c>
      <c r="O345" s="17" t="str">
        <v/>
      </c>
      <c r="P345" s="17" t="str">
        <v/>
      </c>
      <c r="Q345" s="17">
        <v>0</v>
      </c>
      <c r="R345" s="17">
        <v>0</v>
      </c>
      <c r="S345" s="17">
        <v>0</v>
      </c>
      <c r="T345" s="22">
        <v>0</v>
      </c>
    </row>
    <row r="346" spans="2:20" x14ac:dyDescent="0.25">
      <c r="B346" s="21">
        <v>0</v>
      </c>
      <c r="C346" s="17">
        <v>0</v>
      </c>
      <c r="D346" s="17">
        <v>0</v>
      </c>
      <c r="E346" s="17">
        <v>0</v>
      </c>
      <c r="F346" s="17">
        <v>0</v>
      </c>
      <c r="G346" s="17">
        <v>0</v>
      </c>
      <c r="H346" s="38">
        <v>0</v>
      </c>
      <c r="I346" s="17" t="str">
        <v/>
      </c>
      <c r="J346" s="17">
        <v>0</v>
      </c>
      <c r="K346" s="38">
        <v>0</v>
      </c>
      <c r="L346" s="17" t="str">
        <v/>
      </c>
      <c r="M346" s="17">
        <v>0</v>
      </c>
      <c r="N346" s="17">
        <v>0</v>
      </c>
      <c r="O346" s="17" t="str">
        <v/>
      </c>
      <c r="P346" s="17" t="str">
        <v/>
      </c>
      <c r="Q346" s="17">
        <v>0</v>
      </c>
      <c r="R346" s="17">
        <v>0</v>
      </c>
      <c r="S346" s="17">
        <v>0</v>
      </c>
      <c r="T346" s="22">
        <v>0</v>
      </c>
    </row>
    <row r="347" spans="2:20" x14ac:dyDescent="0.25">
      <c r="B347" s="21">
        <v>0</v>
      </c>
      <c r="C347" s="17">
        <v>0</v>
      </c>
      <c r="D347" s="17">
        <v>0</v>
      </c>
      <c r="E347" s="17">
        <v>0</v>
      </c>
      <c r="F347" s="17">
        <v>0</v>
      </c>
      <c r="G347" s="17">
        <v>0</v>
      </c>
      <c r="H347" s="38">
        <v>0</v>
      </c>
      <c r="I347" s="17" t="str">
        <v/>
      </c>
      <c r="J347" s="17">
        <v>0</v>
      </c>
      <c r="K347" s="38">
        <v>0</v>
      </c>
      <c r="L347" s="17" t="str">
        <v/>
      </c>
      <c r="M347" s="17">
        <v>0</v>
      </c>
      <c r="N347" s="17">
        <v>0</v>
      </c>
      <c r="O347" s="17" t="str">
        <v/>
      </c>
      <c r="P347" s="17" t="str">
        <v/>
      </c>
      <c r="Q347" s="17">
        <v>0</v>
      </c>
      <c r="R347" s="17">
        <v>0</v>
      </c>
      <c r="S347" s="17">
        <v>0</v>
      </c>
      <c r="T347" s="22">
        <v>0</v>
      </c>
    </row>
    <row r="348" spans="2:20" x14ac:dyDescent="0.25">
      <c r="B348" s="21">
        <v>0</v>
      </c>
      <c r="C348" s="17">
        <v>0</v>
      </c>
      <c r="D348" s="17">
        <v>0</v>
      </c>
      <c r="E348" s="17">
        <v>0</v>
      </c>
      <c r="F348" s="17">
        <v>0</v>
      </c>
      <c r="G348" s="17">
        <v>0</v>
      </c>
      <c r="H348" s="38">
        <v>0</v>
      </c>
      <c r="I348" s="17" t="str">
        <v/>
      </c>
      <c r="J348" s="17">
        <v>0</v>
      </c>
      <c r="K348" s="38">
        <v>0</v>
      </c>
      <c r="L348" s="17" t="str">
        <v/>
      </c>
      <c r="M348" s="17">
        <v>0</v>
      </c>
      <c r="N348" s="17">
        <v>0</v>
      </c>
      <c r="O348" s="17" t="str">
        <v/>
      </c>
      <c r="P348" s="17" t="str">
        <v/>
      </c>
      <c r="Q348" s="17">
        <v>0</v>
      </c>
      <c r="R348" s="17">
        <v>0</v>
      </c>
      <c r="S348" s="17">
        <v>0</v>
      </c>
      <c r="T348" s="22">
        <v>0</v>
      </c>
    </row>
    <row r="349" spans="2:20" x14ac:dyDescent="0.25">
      <c r="B349" s="21">
        <v>0</v>
      </c>
      <c r="C349" s="17">
        <v>0</v>
      </c>
      <c r="D349" s="17">
        <v>0</v>
      </c>
      <c r="E349" s="17">
        <v>0</v>
      </c>
      <c r="F349" s="17">
        <v>0</v>
      </c>
      <c r="G349" s="17">
        <v>0</v>
      </c>
      <c r="H349" s="38">
        <v>0</v>
      </c>
      <c r="I349" s="17" t="str">
        <v/>
      </c>
      <c r="J349" s="17">
        <v>0</v>
      </c>
      <c r="K349" s="38">
        <v>0</v>
      </c>
      <c r="L349" s="17" t="str">
        <v/>
      </c>
      <c r="M349" s="17">
        <v>0</v>
      </c>
      <c r="N349" s="17">
        <v>0</v>
      </c>
      <c r="O349" s="17" t="str">
        <v/>
      </c>
      <c r="P349" s="17" t="str">
        <v/>
      </c>
      <c r="Q349" s="17">
        <v>0</v>
      </c>
      <c r="R349" s="17">
        <v>0</v>
      </c>
      <c r="S349" s="17">
        <v>0</v>
      </c>
      <c r="T349" s="22">
        <v>0</v>
      </c>
    </row>
    <row r="350" spans="2:20" x14ac:dyDescent="0.25">
      <c r="B350" s="21">
        <v>0</v>
      </c>
      <c r="C350" s="17">
        <v>0</v>
      </c>
      <c r="D350" s="17">
        <v>0</v>
      </c>
      <c r="E350" s="17">
        <v>0</v>
      </c>
      <c r="F350" s="17">
        <v>0</v>
      </c>
      <c r="G350" s="17">
        <v>0</v>
      </c>
      <c r="H350" s="38">
        <v>0</v>
      </c>
      <c r="I350" s="17" t="str">
        <v/>
      </c>
      <c r="J350" s="17">
        <v>0</v>
      </c>
      <c r="K350" s="38">
        <v>0</v>
      </c>
      <c r="L350" s="17" t="str">
        <v/>
      </c>
      <c r="M350" s="17">
        <v>0</v>
      </c>
      <c r="N350" s="17">
        <v>0</v>
      </c>
      <c r="O350" s="17" t="str">
        <v/>
      </c>
      <c r="P350" s="17" t="str">
        <v/>
      </c>
      <c r="Q350" s="17">
        <v>0</v>
      </c>
      <c r="R350" s="17">
        <v>0</v>
      </c>
      <c r="S350" s="17">
        <v>0</v>
      </c>
      <c r="T350" s="22">
        <v>0</v>
      </c>
    </row>
    <row r="351" spans="2:20" x14ac:dyDescent="0.25">
      <c r="B351" s="21">
        <v>0</v>
      </c>
      <c r="C351" s="17">
        <v>0</v>
      </c>
      <c r="D351" s="17">
        <v>0</v>
      </c>
      <c r="E351" s="17">
        <v>0</v>
      </c>
      <c r="F351" s="17">
        <v>0</v>
      </c>
      <c r="G351" s="17">
        <v>0</v>
      </c>
      <c r="H351" s="38">
        <v>0</v>
      </c>
      <c r="I351" s="17" t="str">
        <v/>
      </c>
      <c r="J351" s="17">
        <v>0</v>
      </c>
      <c r="K351" s="38">
        <v>0</v>
      </c>
      <c r="L351" s="17" t="str">
        <v/>
      </c>
      <c r="M351" s="17">
        <v>0</v>
      </c>
      <c r="N351" s="17">
        <v>0</v>
      </c>
      <c r="O351" s="17" t="str">
        <v/>
      </c>
      <c r="P351" s="17" t="str">
        <v/>
      </c>
      <c r="Q351" s="17">
        <v>0</v>
      </c>
      <c r="R351" s="17">
        <v>0</v>
      </c>
      <c r="S351" s="17">
        <v>0</v>
      </c>
      <c r="T351" s="22">
        <v>0</v>
      </c>
    </row>
    <row r="352" spans="2:20" x14ac:dyDescent="0.25">
      <c r="B352" s="21">
        <v>0</v>
      </c>
      <c r="C352" s="17">
        <v>0</v>
      </c>
      <c r="D352" s="17">
        <v>0</v>
      </c>
      <c r="E352" s="17">
        <v>0</v>
      </c>
      <c r="F352" s="17">
        <v>0</v>
      </c>
      <c r="G352" s="17">
        <v>0</v>
      </c>
      <c r="H352" s="38">
        <v>0</v>
      </c>
      <c r="I352" s="17" t="str">
        <v/>
      </c>
      <c r="J352" s="17">
        <v>0</v>
      </c>
      <c r="K352" s="38">
        <v>0</v>
      </c>
      <c r="L352" s="17" t="str">
        <v/>
      </c>
      <c r="M352" s="17">
        <v>0</v>
      </c>
      <c r="N352" s="17">
        <v>0</v>
      </c>
      <c r="O352" s="17" t="str">
        <v/>
      </c>
      <c r="P352" s="17" t="str">
        <v/>
      </c>
      <c r="Q352" s="17">
        <v>0</v>
      </c>
      <c r="R352" s="17">
        <v>0</v>
      </c>
      <c r="S352" s="17">
        <v>0</v>
      </c>
      <c r="T352" s="22">
        <v>0</v>
      </c>
    </row>
    <row r="353" spans="2:20" x14ac:dyDescent="0.25">
      <c r="B353" s="21">
        <v>0</v>
      </c>
      <c r="C353" s="17">
        <v>0</v>
      </c>
      <c r="D353" s="17">
        <v>0</v>
      </c>
      <c r="E353" s="17">
        <v>0</v>
      </c>
      <c r="F353" s="17">
        <v>0</v>
      </c>
      <c r="G353" s="17">
        <v>0</v>
      </c>
      <c r="H353" s="38">
        <v>0</v>
      </c>
      <c r="I353" s="17" t="str">
        <v/>
      </c>
      <c r="J353" s="17">
        <v>0</v>
      </c>
      <c r="K353" s="38">
        <v>0</v>
      </c>
      <c r="L353" s="17" t="str">
        <v/>
      </c>
      <c r="M353" s="17">
        <v>0</v>
      </c>
      <c r="N353" s="17">
        <v>0</v>
      </c>
      <c r="O353" s="17" t="str">
        <v/>
      </c>
      <c r="P353" s="17" t="str">
        <v/>
      </c>
      <c r="Q353" s="17">
        <v>0</v>
      </c>
      <c r="R353" s="17">
        <v>0</v>
      </c>
      <c r="S353" s="17">
        <v>0</v>
      </c>
      <c r="T353" s="22">
        <v>0</v>
      </c>
    </row>
    <row r="354" spans="2:20" x14ac:dyDescent="0.25">
      <c r="B354" s="21">
        <v>0</v>
      </c>
      <c r="C354" s="17">
        <v>0</v>
      </c>
      <c r="D354" s="17">
        <v>0</v>
      </c>
      <c r="E354" s="17">
        <v>0</v>
      </c>
      <c r="F354" s="17">
        <v>0</v>
      </c>
      <c r="G354" s="17">
        <v>0</v>
      </c>
      <c r="H354" s="38">
        <v>0</v>
      </c>
      <c r="I354" s="17" t="str">
        <v/>
      </c>
      <c r="J354" s="17">
        <v>0</v>
      </c>
      <c r="K354" s="38">
        <v>0</v>
      </c>
      <c r="L354" s="17" t="str">
        <v/>
      </c>
      <c r="M354" s="17">
        <v>0</v>
      </c>
      <c r="N354" s="17">
        <v>0</v>
      </c>
      <c r="O354" s="17" t="str">
        <v/>
      </c>
      <c r="P354" s="17" t="str">
        <v/>
      </c>
      <c r="Q354" s="17">
        <v>0</v>
      </c>
      <c r="R354" s="17">
        <v>0</v>
      </c>
      <c r="S354" s="17">
        <v>0</v>
      </c>
      <c r="T354" s="22">
        <v>0</v>
      </c>
    </row>
    <row r="355" spans="2:20" x14ac:dyDescent="0.25">
      <c r="B355" s="21">
        <v>0</v>
      </c>
      <c r="C355" s="17">
        <v>0</v>
      </c>
      <c r="D355" s="17">
        <v>0</v>
      </c>
      <c r="E355" s="17">
        <v>0</v>
      </c>
      <c r="F355" s="17">
        <v>0</v>
      </c>
      <c r="G355" s="17">
        <v>0</v>
      </c>
      <c r="H355" s="38">
        <v>0</v>
      </c>
      <c r="I355" s="17" t="str">
        <v/>
      </c>
      <c r="J355" s="17">
        <v>0</v>
      </c>
      <c r="K355" s="38">
        <v>0</v>
      </c>
      <c r="L355" s="17" t="str">
        <v/>
      </c>
      <c r="M355" s="17">
        <v>0</v>
      </c>
      <c r="N355" s="17">
        <v>0</v>
      </c>
      <c r="O355" s="17" t="str">
        <v/>
      </c>
      <c r="P355" s="17" t="str">
        <v/>
      </c>
      <c r="Q355" s="17">
        <v>0</v>
      </c>
      <c r="R355" s="17">
        <v>0</v>
      </c>
      <c r="S355" s="17">
        <v>0</v>
      </c>
      <c r="T355" s="22">
        <v>0</v>
      </c>
    </row>
    <row r="356" spans="2:20" x14ac:dyDescent="0.25">
      <c r="B356" s="21">
        <v>0</v>
      </c>
      <c r="C356" s="17">
        <v>0</v>
      </c>
      <c r="D356" s="17">
        <v>0</v>
      </c>
      <c r="E356" s="17">
        <v>0</v>
      </c>
      <c r="F356" s="17">
        <v>0</v>
      </c>
      <c r="G356" s="17">
        <v>0</v>
      </c>
      <c r="H356" s="38">
        <v>0</v>
      </c>
      <c r="I356" s="17" t="str">
        <v/>
      </c>
      <c r="J356" s="17">
        <v>0</v>
      </c>
      <c r="K356" s="38">
        <v>0</v>
      </c>
      <c r="L356" s="17" t="str">
        <v/>
      </c>
      <c r="M356" s="17">
        <v>0</v>
      </c>
      <c r="N356" s="17">
        <v>0</v>
      </c>
      <c r="O356" s="17" t="str">
        <v/>
      </c>
      <c r="P356" s="17" t="str">
        <v/>
      </c>
      <c r="Q356" s="17">
        <v>0</v>
      </c>
      <c r="R356" s="17">
        <v>0</v>
      </c>
      <c r="S356" s="17">
        <v>0</v>
      </c>
      <c r="T356" s="22">
        <v>0</v>
      </c>
    </row>
    <row r="357" spans="2:20" x14ac:dyDescent="0.25">
      <c r="B357" s="21">
        <v>0</v>
      </c>
      <c r="C357" s="17">
        <v>0</v>
      </c>
      <c r="D357" s="17">
        <v>0</v>
      </c>
      <c r="E357" s="17">
        <v>0</v>
      </c>
      <c r="F357" s="17">
        <v>0</v>
      </c>
      <c r="G357" s="17">
        <v>0</v>
      </c>
      <c r="H357" s="38">
        <v>0</v>
      </c>
      <c r="I357" s="17" t="str">
        <v/>
      </c>
      <c r="J357" s="17">
        <v>0</v>
      </c>
      <c r="K357" s="38">
        <v>0</v>
      </c>
      <c r="L357" s="17" t="str">
        <v/>
      </c>
      <c r="M357" s="17">
        <v>0</v>
      </c>
      <c r="N357" s="17">
        <v>0</v>
      </c>
      <c r="O357" s="17" t="str">
        <v/>
      </c>
      <c r="P357" s="17" t="str">
        <v/>
      </c>
      <c r="Q357" s="17">
        <v>0</v>
      </c>
      <c r="R357" s="17">
        <v>0</v>
      </c>
      <c r="S357" s="17">
        <v>0</v>
      </c>
      <c r="T357" s="22">
        <v>0</v>
      </c>
    </row>
    <row r="358" spans="2:20" x14ac:dyDescent="0.25">
      <c r="B358" s="21">
        <v>0</v>
      </c>
      <c r="C358" s="17">
        <v>0</v>
      </c>
      <c r="D358" s="17">
        <v>0</v>
      </c>
      <c r="E358" s="17">
        <v>0</v>
      </c>
      <c r="F358" s="17">
        <v>0</v>
      </c>
      <c r="G358" s="17">
        <v>0</v>
      </c>
      <c r="H358" s="38">
        <v>0</v>
      </c>
      <c r="I358" s="17" t="str">
        <v/>
      </c>
      <c r="J358" s="17">
        <v>0</v>
      </c>
      <c r="K358" s="38">
        <v>0</v>
      </c>
      <c r="L358" s="17" t="str">
        <v/>
      </c>
      <c r="M358" s="17">
        <v>0</v>
      </c>
      <c r="N358" s="17">
        <v>0</v>
      </c>
      <c r="O358" s="17" t="str">
        <v/>
      </c>
      <c r="P358" s="17" t="str">
        <v/>
      </c>
      <c r="Q358" s="17">
        <v>0</v>
      </c>
      <c r="R358" s="17">
        <v>0</v>
      </c>
      <c r="S358" s="17">
        <v>0</v>
      </c>
      <c r="T358" s="22">
        <v>0</v>
      </c>
    </row>
    <row r="359" spans="2:20" x14ac:dyDescent="0.25">
      <c r="B359" s="21">
        <v>0</v>
      </c>
      <c r="C359" s="17">
        <v>0</v>
      </c>
      <c r="D359" s="17">
        <v>0</v>
      </c>
      <c r="E359" s="17">
        <v>0</v>
      </c>
      <c r="F359" s="17">
        <v>0</v>
      </c>
      <c r="G359" s="17">
        <v>0</v>
      </c>
      <c r="H359" s="38">
        <v>0</v>
      </c>
      <c r="I359" s="17" t="str">
        <v/>
      </c>
      <c r="J359" s="17">
        <v>0</v>
      </c>
      <c r="K359" s="38">
        <v>0</v>
      </c>
      <c r="L359" s="17" t="str">
        <v/>
      </c>
      <c r="M359" s="17">
        <v>0</v>
      </c>
      <c r="N359" s="17">
        <v>0</v>
      </c>
      <c r="O359" s="17" t="str">
        <v/>
      </c>
      <c r="P359" s="17" t="str">
        <v/>
      </c>
      <c r="Q359" s="17">
        <v>0</v>
      </c>
      <c r="R359" s="17">
        <v>0</v>
      </c>
      <c r="S359" s="17">
        <v>0</v>
      </c>
      <c r="T359" s="22">
        <v>0</v>
      </c>
    </row>
    <row r="360" spans="2:20" x14ac:dyDescent="0.25">
      <c r="B360" s="21">
        <v>0</v>
      </c>
      <c r="C360" s="17">
        <v>0</v>
      </c>
      <c r="D360" s="17">
        <v>0</v>
      </c>
      <c r="E360" s="17">
        <v>0</v>
      </c>
      <c r="F360" s="17">
        <v>0</v>
      </c>
      <c r="G360" s="17">
        <v>0</v>
      </c>
      <c r="H360" s="38">
        <v>0</v>
      </c>
      <c r="I360" s="17" t="str">
        <v/>
      </c>
      <c r="J360" s="17">
        <v>0</v>
      </c>
      <c r="K360" s="38">
        <v>0</v>
      </c>
      <c r="L360" s="17" t="str">
        <v/>
      </c>
      <c r="M360" s="17">
        <v>0</v>
      </c>
      <c r="N360" s="17">
        <v>0</v>
      </c>
      <c r="O360" s="17" t="str">
        <v/>
      </c>
      <c r="P360" s="17" t="str">
        <v/>
      </c>
      <c r="Q360" s="17">
        <v>0</v>
      </c>
      <c r="R360" s="17">
        <v>0</v>
      </c>
      <c r="S360" s="17">
        <v>0</v>
      </c>
      <c r="T360" s="22">
        <v>0</v>
      </c>
    </row>
    <row r="361" spans="2:20" x14ac:dyDescent="0.25">
      <c r="B361" s="21">
        <v>0</v>
      </c>
      <c r="C361" s="17">
        <v>0</v>
      </c>
      <c r="D361" s="17">
        <v>0</v>
      </c>
      <c r="E361" s="17">
        <v>0</v>
      </c>
      <c r="F361" s="17">
        <v>0</v>
      </c>
      <c r="G361" s="17">
        <v>0</v>
      </c>
      <c r="H361" s="38">
        <v>0</v>
      </c>
      <c r="I361" s="17" t="str">
        <v/>
      </c>
      <c r="J361" s="17">
        <v>0</v>
      </c>
      <c r="K361" s="38">
        <v>0</v>
      </c>
      <c r="L361" s="17" t="str">
        <v/>
      </c>
      <c r="M361" s="17">
        <v>0</v>
      </c>
      <c r="N361" s="17">
        <v>0</v>
      </c>
      <c r="O361" s="17" t="str">
        <v/>
      </c>
      <c r="P361" s="17" t="str">
        <v/>
      </c>
      <c r="Q361" s="17">
        <v>0</v>
      </c>
      <c r="R361" s="17">
        <v>0</v>
      </c>
      <c r="S361" s="17">
        <v>0</v>
      </c>
      <c r="T361" s="22">
        <v>0</v>
      </c>
    </row>
    <row r="362" spans="2:20" x14ac:dyDescent="0.25">
      <c r="B362" s="21">
        <v>0</v>
      </c>
      <c r="C362" s="17">
        <v>0</v>
      </c>
      <c r="D362" s="17">
        <v>0</v>
      </c>
      <c r="E362" s="17">
        <v>0</v>
      </c>
      <c r="F362" s="17">
        <v>0</v>
      </c>
      <c r="G362" s="17">
        <v>0</v>
      </c>
      <c r="H362" s="38">
        <v>0</v>
      </c>
      <c r="I362" s="17" t="str">
        <v/>
      </c>
      <c r="J362" s="17">
        <v>0</v>
      </c>
      <c r="K362" s="38">
        <v>0</v>
      </c>
      <c r="L362" s="17" t="str">
        <v/>
      </c>
      <c r="M362" s="17">
        <v>0</v>
      </c>
      <c r="N362" s="17">
        <v>0</v>
      </c>
      <c r="O362" s="17" t="str">
        <v/>
      </c>
      <c r="P362" s="17" t="str">
        <v/>
      </c>
      <c r="Q362" s="17">
        <v>0</v>
      </c>
      <c r="R362" s="17">
        <v>0</v>
      </c>
      <c r="S362" s="17">
        <v>0</v>
      </c>
      <c r="T362" s="22">
        <v>0</v>
      </c>
    </row>
    <row r="363" spans="2:20" x14ac:dyDescent="0.25">
      <c r="B363" s="21">
        <v>0</v>
      </c>
      <c r="C363" s="17">
        <v>0</v>
      </c>
      <c r="D363" s="17">
        <v>0</v>
      </c>
      <c r="E363" s="17">
        <v>0</v>
      </c>
      <c r="F363" s="17">
        <v>0</v>
      </c>
      <c r="G363" s="17">
        <v>0</v>
      </c>
      <c r="H363" s="38">
        <v>0</v>
      </c>
      <c r="I363" s="17" t="str">
        <v/>
      </c>
      <c r="J363" s="17">
        <v>0</v>
      </c>
      <c r="K363" s="38">
        <v>0</v>
      </c>
      <c r="L363" s="17" t="str">
        <v/>
      </c>
      <c r="M363" s="17">
        <v>0</v>
      </c>
      <c r="N363" s="17">
        <v>0</v>
      </c>
      <c r="O363" s="17" t="str">
        <v/>
      </c>
      <c r="P363" s="17" t="str">
        <v/>
      </c>
      <c r="Q363" s="17">
        <v>0</v>
      </c>
      <c r="R363" s="17">
        <v>0</v>
      </c>
      <c r="S363" s="17">
        <v>0</v>
      </c>
      <c r="T363" s="22">
        <v>0</v>
      </c>
    </row>
    <row r="364" spans="2:20" x14ac:dyDescent="0.25">
      <c r="B364" s="21">
        <v>0</v>
      </c>
      <c r="C364" s="17">
        <v>0</v>
      </c>
      <c r="D364" s="17">
        <v>0</v>
      </c>
      <c r="E364" s="17">
        <v>0</v>
      </c>
      <c r="F364" s="17">
        <v>0</v>
      </c>
      <c r="G364" s="17">
        <v>0</v>
      </c>
      <c r="H364" s="38">
        <v>0</v>
      </c>
      <c r="I364" s="17" t="str">
        <v/>
      </c>
      <c r="J364" s="17">
        <v>0</v>
      </c>
      <c r="K364" s="38">
        <v>0</v>
      </c>
      <c r="L364" s="17" t="str">
        <v/>
      </c>
      <c r="M364" s="17">
        <v>0</v>
      </c>
      <c r="N364" s="17">
        <v>0</v>
      </c>
      <c r="O364" s="17" t="str">
        <v/>
      </c>
      <c r="P364" s="17" t="str">
        <v/>
      </c>
      <c r="Q364" s="17">
        <v>0</v>
      </c>
      <c r="R364" s="17">
        <v>0</v>
      </c>
      <c r="S364" s="17">
        <v>0</v>
      </c>
      <c r="T364" s="22">
        <v>0</v>
      </c>
    </row>
    <row r="365" spans="2:20" x14ac:dyDescent="0.25">
      <c r="B365" s="21">
        <v>0</v>
      </c>
      <c r="C365" s="17">
        <v>0</v>
      </c>
      <c r="D365" s="17">
        <v>0</v>
      </c>
      <c r="E365" s="17">
        <v>0</v>
      </c>
      <c r="F365" s="17">
        <v>0</v>
      </c>
      <c r="G365" s="17">
        <v>0</v>
      </c>
      <c r="H365" s="38">
        <v>0</v>
      </c>
      <c r="I365" s="17" t="str">
        <v/>
      </c>
      <c r="J365" s="17">
        <v>0</v>
      </c>
      <c r="K365" s="38">
        <v>0</v>
      </c>
      <c r="L365" s="17" t="str">
        <v/>
      </c>
      <c r="M365" s="17">
        <v>0</v>
      </c>
      <c r="N365" s="17">
        <v>0</v>
      </c>
      <c r="O365" s="17" t="str">
        <v/>
      </c>
      <c r="P365" s="17" t="str">
        <v/>
      </c>
      <c r="Q365" s="17">
        <v>0</v>
      </c>
      <c r="R365" s="17">
        <v>0</v>
      </c>
      <c r="S365" s="17">
        <v>0</v>
      </c>
      <c r="T365" s="22">
        <v>0</v>
      </c>
    </row>
    <row r="366" spans="2:20" x14ac:dyDescent="0.25">
      <c r="B366" s="21">
        <v>0</v>
      </c>
      <c r="C366" s="17">
        <v>0</v>
      </c>
      <c r="D366" s="17">
        <v>0</v>
      </c>
      <c r="E366" s="17">
        <v>0</v>
      </c>
      <c r="F366" s="17">
        <v>0</v>
      </c>
      <c r="G366" s="17">
        <v>0</v>
      </c>
      <c r="H366" s="38">
        <v>0</v>
      </c>
      <c r="I366" s="17" t="str">
        <v/>
      </c>
      <c r="J366" s="17">
        <v>0</v>
      </c>
      <c r="K366" s="38">
        <v>0</v>
      </c>
      <c r="L366" s="17" t="str">
        <v/>
      </c>
      <c r="M366" s="17">
        <v>0</v>
      </c>
      <c r="N366" s="17">
        <v>0</v>
      </c>
      <c r="O366" s="17" t="str">
        <v/>
      </c>
      <c r="P366" s="17" t="str">
        <v/>
      </c>
      <c r="Q366" s="17">
        <v>0</v>
      </c>
      <c r="R366" s="17">
        <v>0</v>
      </c>
      <c r="S366" s="17">
        <v>0</v>
      </c>
      <c r="T366" s="22">
        <v>0</v>
      </c>
    </row>
    <row r="367" spans="2:20" x14ac:dyDescent="0.25">
      <c r="B367" s="21">
        <v>0</v>
      </c>
      <c r="C367" s="17">
        <v>0</v>
      </c>
      <c r="D367" s="17">
        <v>0</v>
      </c>
      <c r="E367" s="17">
        <v>0</v>
      </c>
      <c r="F367" s="17">
        <v>0</v>
      </c>
      <c r="G367" s="17">
        <v>0</v>
      </c>
      <c r="H367" s="38">
        <v>0</v>
      </c>
      <c r="I367" s="17" t="str">
        <v/>
      </c>
      <c r="J367" s="17">
        <v>0</v>
      </c>
      <c r="K367" s="38">
        <v>0</v>
      </c>
      <c r="L367" s="17" t="str">
        <v/>
      </c>
      <c r="M367" s="17">
        <v>0</v>
      </c>
      <c r="N367" s="17">
        <v>0</v>
      </c>
      <c r="O367" s="17" t="str">
        <v/>
      </c>
      <c r="P367" s="17" t="str">
        <v/>
      </c>
      <c r="Q367" s="17">
        <v>0</v>
      </c>
      <c r="R367" s="17">
        <v>0</v>
      </c>
      <c r="S367" s="17">
        <v>0</v>
      </c>
      <c r="T367" s="22">
        <v>0</v>
      </c>
    </row>
    <row r="368" spans="2:20" x14ac:dyDescent="0.25">
      <c r="B368" s="21">
        <v>0</v>
      </c>
      <c r="C368" s="17">
        <v>0</v>
      </c>
      <c r="D368" s="17">
        <v>0</v>
      </c>
      <c r="E368" s="17">
        <v>0</v>
      </c>
      <c r="F368" s="17">
        <v>0</v>
      </c>
      <c r="G368" s="17">
        <v>0</v>
      </c>
      <c r="H368" s="38">
        <v>0</v>
      </c>
      <c r="I368" s="17" t="str">
        <v/>
      </c>
      <c r="J368" s="17">
        <v>0</v>
      </c>
      <c r="K368" s="38">
        <v>0</v>
      </c>
      <c r="L368" s="17" t="str">
        <v/>
      </c>
      <c r="M368" s="17">
        <v>0</v>
      </c>
      <c r="N368" s="17">
        <v>0</v>
      </c>
      <c r="O368" s="17" t="str">
        <v/>
      </c>
      <c r="P368" s="17" t="str">
        <v/>
      </c>
      <c r="Q368" s="17">
        <v>0</v>
      </c>
      <c r="R368" s="17">
        <v>0</v>
      </c>
      <c r="S368" s="17">
        <v>0</v>
      </c>
      <c r="T368" s="22">
        <v>0</v>
      </c>
    </row>
    <row r="369" spans="2:20" x14ac:dyDescent="0.25">
      <c r="B369" s="21">
        <v>0</v>
      </c>
      <c r="C369" s="17">
        <v>0</v>
      </c>
      <c r="D369" s="17">
        <v>0</v>
      </c>
      <c r="E369" s="17">
        <v>0</v>
      </c>
      <c r="F369" s="17">
        <v>0</v>
      </c>
      <c r="G369" s="17">
        <v>0</v>
      </c>
      <c r="H369" s="38">
        <v>0</v>
      </c>
      <c r="I369" s="17" t="str">
        <v/>
      </c>
      <c r="J369" s="17">
        <v>0</v>
      </c>
      <c r="K369" s="38">
        <v>0</v>
      </c>
      <c r="L369" s="17" t="str">
        <v/>
      </c>
      <c r="M369" s="17">
        <v>0</v>
      </c>
      <c r="N369" s="17">
        <v>0</v>
      </c>
      <c r="O369" s="17" t="str">
        <v/>
      </c>
      <c r="P369" s="17" t="str">
        <v/>
      </c>
      <c r="Q369" s="17">
        <v>0</v>
      </c>
      <c r="R369" s="17">
        <v>0</v>
      </c>
      <c r="S369" s="17">
        <v>0</v>
      </c>
      <c r="T369" s="22">
        <v>0</v>
      </c>
    </row>
    <row r="370" spans="2:20" x14ac:dyDescent="0.25">
      <c r="B370" s="21">
        <v>0</v>
      </c>
      <c r="C370" s="17">
        <v>0</v>
      </c>
      <c r="D370" s="17">
        <v>0</v>
      </c>
      <c r="E370" s="17">
        <v>0</v>
      </c>
      <c r="F370" s="17">
        <v>0</v>
      </c>
      <c r="G370" s="17">
        <v>0</v>
      </c>
      <c r="H370" s="38">
        <v>0</v>
      </c>
      <c r="I370" s="17" t="str">
        <v/>
      </c>
      <c r="J370" s="17">
        <v>0</v>
      </c>
      <c r="K370" s="38">
        <v>0</v>
      </c>
      <c r="L370" s="17" t="str">
        <v/>
      </c>
      <c r="M370" s="17">
        <v>0</v>
      </c>
      <c r="N370" s="17">
        <v>0</v>
      </c>
      <c r="O370" s="17" t="str">
        <v/>
      </c>
      <c r="P370" s="17" t="str">
        <v/>
      </c>
      <c r="Q370" s="17">
        <v>0</v>
      </c>
      <c r="R370" s="17">
        <v>0</v>
      </c>
      <c r="S370" s="17">
        <v>0</v>
      </c>
      <c r="T370" s="22">
        <v>0</v>
      </c>
    </row>
    <row r="371" spans="2:20" x14ac:dyDescent="0.25">
      <c r="B371" s="21">
        <v>0</v>
      </c>
      <c r="C371" s="17">
        <v>0</v>
      </c>
      <c r="D371" s="17">
        <v>0</v>
      </c>
      <c r="E371" s="17">
        <v>0</v>
      </c>
      <c r="F371" s="17">
        <v>0</v>
      </c>
      <c r="G371" s="17">
        <v>0</v>
      </c>
      <c r="H371" s="38">
        <v>0</v>
      </c>
      <c r="I371" s="17" t="str">
        <v/>
      </c>
      <c r="J371" s="17">
        <v>0</v>
      </c>
      <c r="K371" s="38">
        <v>0</v>
      </c>
      <c r="L371" s="17" t="str">
        <v/>
      </c>
      <c r="M371" s="17">
        <v>0</v>
      </c>
      <c r="N371" s="17">
        <v>0</v>
      </c>
      <c r="O371" s="17" t="str">
        <v/>
      </c>
      <c r="P371" s="17" t="str">
        <v/>
      </c>
      <c r="Q371" s="17">
        <v>0</v>
      </c>
      <c r="R371" s="17">
        <v>0</v>
      </c>
      <c r="S371" s="17">
        <v>0</v>
      </c>
      <c r="T371" s="22">
        <v>0</v>
      </c>
    </row>
    <row r="372" spans="2:20" x14ac:dyDescent="0.25">
      <c r="B372" s="21">
        <v>0</v>
      </c>
      <c r="C372" s="17">
        <v>0</v>
      </c>
      <c r="D372" s="17">
        <v>0</v>
      </c>
      <c r="E372" s="17">
        <v>0</v>
      </c>
      <c r="F372" s="17">
        <v>0</v>
      </c>
      <c r="G372" s="17">
        <v>0</v>
      </c>
      <c r="H372" s="38">
        <v>0</v>
      </c>
      <c r="I372" s="17" t="str">
        <v/>
      </c>
      <c r="J372" s="17">
        <v>0</v>
      </c>
      <c r="K372" s="38">
        <v>0</v>
      </c>
      <c r="L372" s="17" t="str">
        <v/>
      </c>
      <c r="M372" s="17">
        <v>0</v>
      </c>
      <c r="N372" s="17">
        <v>0</v>
      </c>
      <c r="O372" s="17" t="str">
        <v/>
      </c>
      <c r="P372" s="17" t="str">
        <v/>
      </c>
      <c r="Q372" s="17">
        <v>0</v>
      </c>
      <c r="R372" s="17">
        <v>0</v>
      </c>
      <c r="S372" s="17">
        <v>0</v>
      </c>
      <c r="T372" s="22">
        <v>0</v>
      </c>
    </row>
    <row r="373" spans="2:20" x14ac:dyDescent="0.25">
      <c r="B373" s="21">
        <v>0</v>
      </c>
      <c r="C373" s="17">
        <v>0</v>
      </c>
      <c r="D373" s="17">
        <v>0</v>
      </c>
      <c r="E373" s="17">
        <v>0</v>
      </c>
      <c r="F373" s="17">
        <v>0</v>
      </c>
      <c r="G373" s="17">
        <v>0</v>
      </c>
      <c r="H373" s="38">
        <v>0</v>
      </c>
      <c r="I373" s="17" t="str">
        <v/>
      </c>
      <c r="J373" s="17">
        <v>0</v>
      </c>
      <c r="K373" s="38">
        <v>0</v>
      </c>
      <c r="L373" s="17" t="str">
        <v/>
      </c>
      <c r="M373" s="17">
        <v>0</v>
      </c>
      <c r="N373" s="17">
        <v>0</v>
      </c>
      <c r="O373" s="17" t="str">
        <v/>
      </c>
      <c r="P373" s="17" t="str">
        <v/>
      </c>
      <c r="Q373" s="17">
        <v>0</v>
      </c>
      <c r="R373" s="17">
        <v>0</v>
      </c>
      <c r="S373" s="17">
        <v>0</v>
      </c>
      <c r="T373" s="22">
        <v>0</v>
      </c>
    </row>
    <row r="374" spans="2:20" x14ac:dyDescent="0.25">
      <c r="B374" s="21">
        <v>0</v>
      </c>
      <c r="C374" s="17">
        <v>0</v>
      </c>
      <c r="D374" s="17">
        <v>0</v>
      </c>
      <c r="E374" s="17">
        <v>0</v>
      </c>
      <c r="F374" s="17">
        <v>0</v>
      </c>
      <c r="G374" s="17">
        <v>0</v>
      </c>
      <c r="H374" s="38">
        <v>0</v>
      </c>
      <c r="I374" s="17" t="str">
        <v/>
      </c>
      <c r="J374" s="17">
        <v>0</v>
      </c>
      <c r="K374" s="38">
        <v>0</v>
      </c>
      <c r="L374" s="17" t="str">
        <v/>
      </c>
      <c r="M374" s="17">
        <v>0</v>
      </c>
      <c r="N374" s="17">
        <v>0</v>
      </c>
      <c r="O374" s="17" t="str">
        <v/>
      </c>
      <c r="P374" s="17" t="str">
        <v/>
      </c>
      <c r="Q374" s="17">
        <v>0</v>
      </c>
      <c r="R374" s="17">
        <v>0</v>
      </c>
      <c r="S374" s="17">
        <v>0</v>
      </c>
      <c r="T374" s="22">
        <v>0</v>
      </c>
    </row>
    <row r="375" spans="2:20" x14ac:dyDescent="0.25">
      <c r="B375" s="21">
        <v>0</v>
      </c>
      <c r="C375" s="17">
        <v>0</v>
      </c>
      <c r="D375" s="17">
        <v>0</v>
      </c>
      <c r="E375" s="17">
        <v>0</v>
      </c>
      <c r="F375" s="17">
        <v>0</v>
      </c>
      <c r="G375" s="17">
        <v>0</v>
      </c>
      <c r="H375" s="38">
        <v>0</v>
      </c>
      <c r="I375" s="17" t="str">
        <v/>
      </c>
      <c r="J375" s="17">
        <v>0</v>
      </c>
      <c r="K375" s="38">
        <v>0</v>
      </c>
      <c r="L375" s="17" t="str">
        <v/>
      </c>
      <c r="M375" s="17">
        <v>0</v>
      </c>
      <c r="N375" s="17">
        <v>0</v>
      </c>
      <c r="O375" s="17" t="str">
        <v/>
      </c>
      <c r="P375" s="17" t="str">
        <v/>
      </c>
      <c r="Q375" s="17">
        <v>0</v>
      </c>
      <c r="R375" s="17">
        <v>0</v>
      </c>
      <c r="S375" s="17">
        <v>0</v>
      </c>
      <c r="T375" s="22">
        <v>0</v>
      </c>
    </row>
    <row r="376" spans="2:20" x14ac:dyDescent="0.25">
      <c r="B376" s="21">
        <v>0</v>
      </c>
      <c r="C376" s="17">
        <v>0</v>
      </c>
      <c r="D376" s="17">
        <v>0</v>
      </c>
      <c r="E376" s="17">
        <v>0</v>
      </c>
      <c r="F376" s="17">
        <v>0</v>
      </c>
      <c r="G376" s="17">
        <v>0</v>
      </c>
      <c r="H376" s="38">
        <v>0</v>
      </c>
      <c r="I376" s="17" t="str">
        <v/>
      </c>
      <c r="J376" s="17">
        <v>0</v>
      </c>
      <c r="K376" s="38">
        <v>0</v>
      </c>
      <c r="L376" s="17" t="str">
        <v/>
      </c>
      <c r="M376" s="17">
        <v>0</v>
      </c>
      <c r="N376" s="17">
        <v>0</v>
      </c>
      <c r="O376" s="17" t="str">
        <v/>
      </c>
      <c r="P376" s="17" t="str">
        <v/>
      </c>
      <c r="Q376" s="17">
        <v>0</v>
      </c>
      <c r="R376" s="17">
        <v>0</v>
      </c>
      <c r="S376" s="17">
        <v>0</v>
      </c>
      <c r="T376" s="22">
        <v>0</v>
      </c>
    </row>
    <row r="377" spans="2:20" x14ac:dyDescent="0.25">
      <c r="B377" s="21">
        <v>0</v>
      </c>
      <c r="C377" s="17">
        <v>0</v>
      </c>
      <c r="D377" s="17">
        <v>0</v>
      </c>
      <c r="E377" s="17">
        <v>0</v>
      </c>
      <c r="F377" s="17">
        <v>0</v>
      </c>
      <c r="G377" s="17">
        <v>0</v>
      </c>
      <c r="H377" s="38">
        <v>0</v>
      </c>
      <c r="I377" s="17" t="str">
        <v/>
      </c>
      <c r="J377" s="17">
        <v>0</v>
      </c>
      <c r="K377" s="38">
        <v>0</v>
      </c>
      <c r="L377" s="17" t="str">
        <v/>
      </c>
      <c r="M377" s="17">
        <v>0</v>
      </c>
      <c r="N377" s="17">
        <v>0</v>
      </c>
      <c r="O377" s="17" t="str">
        <v/>
      </c>
      <c r="P377" s="17" t="str">
        <v/>
      </c>
      <c r="Q377" s="17">
        <v>0</v>
      </c>
      <c r="R377" s="17">
        <v>0</v>
      </c>
      <c r="S377" s="17">
        <v>0</v>
      </c>
      <c r="T377" s="22">
        <v>0</v>
      </c>
    </row>
    <row r="378" spans="2:20" x14ac:dyDescent="0.25">
      <c r="B378" s="21">
        <v>0</v>
      </c>
      <c r="C378" s="17">
        <v>0</v>
      </c>
      <c r="D378" s="17">
        <v>0</v>
      </c>
      <c r="E378" s="17">
        <v>0</v>
      </c>
      <c r="F378" s="17">
        <v>0</v>
      </c>
      <c r="G378" s="17">
        <v>0</v>
      </c>
      <c r="H378" s="38">
        <v>0</v>
      </c>
      <c r="I378" s="17" t="str">
        <v/>
      </c>
      <c r="J378" s="17">
        <v>0</v>
      </c>
      <c r="K378" s="38">
        <v>0</v>
      </c>
      <c r="L378" s="17" t="str">
        <v/>
      </c>
      <c r="M378" s="17">
        <v>0</v>
      </c>
      <c r="N378" s="17">
        <v>0</v>
      </c>
      <c r="O378" s="17" t="str">
        <v/>
      </c>
      <c r="P378" s="17" t="str">
        <v/>
      </c>
      <c r="Q378" s="17">
        <v>0</v>
      </c>
      <c r="R378" s="17">
        <v>0</v>
      </c>
      <c r="S378" s="17">
        <v>0</v>
      </c>
      <c r="T378" s="22">
        <v>0</v>
      </c>
    </row>
    <row r="379" spans="2:20" x14ac:dyDescent="0.25">
      <c r="B379" s="21">
        <v>0</v>
      </c>
      <c r="C379" s="17">
        <v>0</v>
      </c>
      <c r="D379" s="17">
        <v>0</v>
      </c>
      <c r="E379" s="17">
        <v>0</v>
      </c>
      <c r="F379" s="17">
        <v>0</v>
      </c>
      <c r="G379" s="17">
        <v>0</v>
      </c>
      <c r="H379" s="38">
        <v>0</v>
      </c>
      <c r="I379" s="17" t="str">
        <v/>
      </c>
      <c r="J379" s="17">
        <v>0</v>
      </c>
      <c r="K379" s="38">
        <v>0</v>
      </c>
      <c r="L379" s="17" t="str">
        <v/>
      </c>
      <c r="M379" s="17">
        <v>0</v>
      </c>
      <c r="N379" s="17">
        <v>0</v>
      </c>
      <c r="O379" s="17" t="str">
        <v/>
      </c>
      <c r="P379" s="17" t="str">
        <v/>
      </c>
      <c r="Q379" s="17">
        <v>0</v>
      </c>
      <c r="R379" s="17">
        <v>0</v>
      </c>
      <c r="S379" s="17">
        <v>0</v>
      </c>
      <c r="T379" s="22">
        <v>0</v>
      </c>
    </row>
    <row r="380" spans="2:20" x14ac:dyDescent="0.25">
      <c r="B380" s="21">
        <v>0</v>
      </c>
      <c r="C380" s="17">
        <v>0</v>
      </c>
      <c r="D380" s="17">
        <v>0</v>
      </c>
      <c r="E380" s="17">
        <v>0</v>
      </c>
      <c r="F380" s="17">
        <v>0</v>
      </c>
      <c r="G380" s="17">
        <v>0</v>
      </c>
      <c r="H380" s="38">
        <v>0</v>
      </c>
      <c r="I380" s="17" t="str">
        <v/>
      </c>
      <c r="J380" s="17">
        <v>0</v>
      </c>
      <c r="K380" s="38">
        <v>0</v>
      </c>
      <c r="L380" s="17" t="str">
        <v/>
      </c>
      <c r="M380" s="17">
        <v>0</v>
      </c>
      <c r="N380" s="17">
        <v>0</v>
      </c>
      <c r="O380" s="17" t="str">
        <v/>
      </c>
      <c r="P380" s="17" t="str">
        <v/>
      </c>
      <c r="Q380" s="17">
        <v>0</v>
      </c>
      <c r="R380" s="17">
        <v>0</v>
      </c>
      <c r="S380" s="17">
        <v>0</v>
      </c>
      <c r="T380" s="22">
        <v>0</v>
      </c>
    </row>
    <row r="381" spans="2:20" x14ac:dyDescent="0.25">
      <c r="B381" s="21">
        <v>0</v>
      </c>
      <c r="C381" s="17">
        <v>0</v>
      </c>
      <c r="D381" s="17">
        <v>0</v>
      </c>
      <c r="E381" s="17">
        <v>0</v>
      </c>
      <c r="F381" s="17">
        <v>0</v>
      </c>
      <c r="G381" s="17">
        <v>0</v>
      </c>
      <c r="H381" s="38">
        <v>0</v>
      </c>
      <c r="I381" s="17" t="str">
        <v/>
      </c>
      <c r="J381" s="17">
        <v>0</v>
      </c>
      <c r="K381" s="38">
        <v>0</v>
      </c>
      <c r="L381" s="17" t="str">
        <v/>
      </c>
      <c r="M381" s="17">
        <v>0</v>
      </c>
      <c r="N381" s="17">
        <v>0</v>
      </c>
      <c r="O381" s="17" t="str">
        <v/>
      </c>
      <c r="P381" s="17" t="str">
        <v/>
      </c>
      <c r="Q381" s="17">
        <v>0</v>
      </c>
      <c r="R381" s="17">
        <v>0</v>
      </c>
      <c r="S381" s="17">
        <v>0</v>
      </c>
      <c r="T381" s="22">
        <v>0</v>
      </c>
    </row>
    <row r="382" spans="2:20" x14ac:dyDescent="0.25">
      <c r="B382" s="21">
        <v>0</v>
      </c>
      <c r="C382" s="17">
        <v>0</v>
      </c>
      <c r="D382" s="17">
        <v>0</v>
      </c>
      <c r="E382" s="17">
        <v>0</v>
      </c>
      <c r="F382" s="17">
        <v>0</v>
      </c>
      <c r="G382" s="17">
        <v>0</v>
      </c>
      <c r="H382" s="38">
        <v>0</v>
      </c>
      <c r="I382" s="17" t="str">
        <v/>
      </c>
      <c r="J382" s="17">
        <v>0</v>
      </c>
      <c r="K382" s="38">
        <v>0</v>
      </c>
      <c r="L382" s="17" t="str">
        <v/>
      </c>
      <c r="M382" s="17">
        <v>0</v>
      </c>
      <c r="N382" s="17">
        <v>0</v>
      </c>
      <c r="O382" s="17" t="str">
        <v/>
      </c>
      <c r="P382" s="17" t="str">
        <v/>
      </c>
      <c r="Q382" s="17">
        <v>0</v>
      </c>
      <c r="R382" s="17">
        <v>0</v>
      </c>
      <c r="S382" s="17">
        <v>0</v>
      </c>
      <c r="T382" s="22">
        <v>0</v>
      </c>
    </row>
    <row r="383" spans="2:20" x14ac:dyDescent="0.25">
      <c r="B383" s="21">
        <v>0</v>
      </c>
      <c r="C383" s="17">
        <v>0</v>
      </c>
      <c r="D383" s="17">
        <v>0</v>
      </c>
      <c r="E383" s="17">
        <v>0</v>
      </c>
      <c r="F383" s="17">
        <v>0</v>
      </c>
      <c r="G383" s="17">
        <v>0</v>
      </c>
      <c r="H383" s="38">
        <v>0</v>
      </c>
      <c r="I383" s="17" t="str">
        <v/>
      </c>
      <c r="J383" s="17">
        <v>0</v>
      </c>
      <c r="K383" s="38">
        <v>0</v>
      </c>
      <c r="L383" s="17" t="str">
        <v/>
      </c>
      <c r="M383" s="17">
        <v>0</v>
      </c>
      <c r="N383" s="17">
        <v>0</v>
      </c>
      <c r="O383" s="17" t="str">
        <v/>
      </c>
      <c r="P383" s="17" t="str">
        <v/>
      </c>
      <c r="Q383" s="17">
        <v>0</v>
      </c>
      <c r="R383" s="17">
        <v>0</v>
      </c>
      <c r="S383" s="17">
        <v>0</v>
      </c>
      <c r="T383" s="22">
        <v>0</v>
      </c>
    </row>
    <row r="384" spans="2:20" x14ac:dyDescent="0.25">
      <c r="B384" s="21">
        <v>0</v>
      </c>
      <c r="C384" s="17">
        <v>0</v>
      </c>
      <c r="D384" s="17">
        <v>0</v>
      </c>
      <c r="E384" s="17">
        <v>0</v>
      </c>
      <c r="F384" s="17">
        <v>0</v>
      </c>
      <c r="G384" s="17">
        <v>0</v>
      </c>
      <c r="H384" s="38">
        <v>0</v>
      </c>
      <c r="I384" s="17" t="str">
        <v/>
      </c>
      <c r="J384" s="17">
        <v>0</v>
      </c>
      <c r="K384" s="38">
        <v>0</v>
      </c>
      <c r="L384" s="17" t="str">
        <v/>
      </c>
      <c r="M384" s="17">
        <v>0</v>
      </c>
      <c r="N384" s="17">
        <v>0</v>
      </c>
      <c r="O384" s="17" t="str">
        <v/>
      </c>
      <c r="P384" s="17" t="str">
        <v/>
      </c>
      <c r="Q384" s="17">
        <v>0</v>
      </c>
      <c r="R384" s="17">
        <v>0</v>
      </c>
      <c r="S384" s="17">
        <v>0</v>
      </c>
      <c r="T384" s="22">
        <v>0</v>
      </c>
    </row>
    <row r="385" spans="2:20" x14ac:dyDescent="0.25">
      <c r="B385" s="21">
        <v>0</v>
      </c>
      <c r="C385" s="17">
        <v>0</v>
      </c>
      <c r="D385" s="17">
        <v>0</v>
      </c>
      <c r="E385" s="17">
        <v>0</v>
      </c>
      <c r="F385" s="17">
        <v>0</v>
      </c>
      <c r="G385" s="17">
        <v>0</v>
      </c>
      <c r="H385" s="38">
        <v>0</v>
      </c>
      <c r="I385" s="17" t="str">
        <v/>
      </c>
      <c r="J385" s="17">
        <v>0</v>
      </c>
      <c r="K385" s="38">
        <v>0</v>
      </c>
      <c r="L385" s="17" t="str">
        <v/>
      </c>
      <c r="M385" s="17">
        <v>0</v>
      </c>
      <c r="N385" s="17">
        <v>0</v>
      </c>
      <c r="O385" s="17" t="str">
        <v/>
      </c>
      <c r="P385" s="17" t="str">
        <v/>
      </c>
      <c r="Q385" s="17">
        <v>0</v>
      </c>
      <c r="R385" s="17">
        <v>0</v>
      </c>
      <c r="S385" s="17">
        <v>0</v>
      </c>
      <c r="T385" s="22">
        <v>0</v>
      </c>
    </row>
    <row r="386" spans="2:20" x14ac:dyDescent="0.25">
      <c r="B386" s="21">
        <v>0</v>
      </c>
      <c r="C386" s="17">
        <v>0</v>
      </c>
      <c r="D386" s="17">
        <v>0</v>
      </c>
      <c r="E386" s="17">
        <v>0</v>
      </c>
      <c r="F386" s="17">
        <v>0</v>
      </c>
      <c r="G386" s="17">
        <v>0</v>
      </c>
      <c r="H386" s="38">
        <v>0</v>
      </c>
      <c r="I386" s="17" t="str">
        <v/>
      </c>
      <c r="J386" s="17">
        <v>0</v>
      </c>
      <c r="K386" s="38">
        <v>0</v>
      </c>
      <c r="L386" s="17" t="str">
        <v/>
      </c>
      <c r="M386" s="17">
        <v>0</v>
      </c>
      <c r="N386" s="17">
        <v>0</v>
      </c>
      <c r="O386" s="17" t="str">
        <v/>
      </c>
      <c r="P386" s="17" t="str">
        <v/>
      </c>
      <c r="Q386" s="17">
        <v>0</v>
      </c>
      <c r="R386" s="17">
        <v>0</v>
      </c>
      <c r="S386" s="17">
        <v>0</v>
      </c>
      <c r="T386" s="22">
        <v>0</v>
      </c>
    </row>
    <row r="387" spans="2:20" x14ac:dyDescent="0.25">
      <c r="B387" s="21">
        <v>0</v>
      </c>
      <c r="C387" s="17">
        <v>0</v>
      </c>
      <c r="D387" s="17">
        <v>0</v>
      </c>
      <c r="E387" s="17">
        <v>0</v>
      </c>
      <c r="F387" s="17">
        <v>0</v>
      </c>
      <c r="G387" s="17">
        <v>0</v>
      </c>
      <c r="H387" s="38">
        <v>0</v>
      </c>
      <c r="I387" s="17" t="str">
        <v/>
      </c>
      <c r="J387" s="17">
        <v>0</v>
      </c>
      <c r="K387" s="38">
        <v>0</v>
      </c>
      <c r="L387" s="17" t="str">
        <v/>
      </c>
      <c r="M387" s="17">
        <v>0</v>
      </c>
      <c r="N387" s="17">
        <v>0</v>
      </c>
      <c r="O387" s="17" t="str">
        <v/>
      </c>
      <c r="P387" s="17" t="str">
        <v/>
      </c>
      <c r="Q387" s="17">
        <v>0</v>
      </c>
      <c r="R387" s="17">
        <v>0</v>
      </c>
      <c r="S387" s="17">
        <v>0</v>
      </c>
      <c r="T387" s="22">
        <v>0</v>
      </c>
    </row>
    <row r="388" spans="2:20" x14ac:dyDescent="0.25">
      <c r="B388" s="21">
        <v>0</v>
      </c>
      <c r="C388" s="17">
        <v>0</v>
      </c>
      <c r="D388" s="17">
        <v>0</v>
      </c>
      <c r="E388" s="17">
        <v>0</v>
      </c>
      <c r="F388" s="17">
        <v>0</v>
      </c>
      <c r="G388" s="17">
        <v>0</v>
      </c>
      <c r="H388" s="38">
        <v>0</v>
      </c>
      <c r="I388" s="17" t="str">
        <v/>
      </c>
      <c r="J388" s="17">
        <v>0</v>
      </c>
      <c r="K388" s="38">
        <v>0</v>
      </c>
      <c r="L388" s="17" t="str">
        <v/>
      </c>
      <c r="M388" s="17">
        <v>0</v>
      </c>
      <c r="N388" s="17">
        <v>0</v>
      </c>
      <c r="O388" s="17" t="str">
        <v/>
      </c>
      <c r="P388" s="17" t="str">
        <v/>
      </c>
      <c r="Q388" s="17">
        <v>0</v>
      </c>
      <c r="R388" s="17">
        <v>0</v>
      </c>
      <c r="S388" s="17">
        <v>0</v>
      </c>
      <c r="T388" s="22">
        <v>0</v>
      </c>
    </row>
    <row r="389" spans="2:20" x14ac:dyDescent="0.25">
      <c r="B389" s="21">
        <v>0</v>
      </c>
      <c r="C389" s="17">
        <v>0</v>
      </c>
      <c r="D389" s="17">
        <v>0</v>
      </c>
      <c r="E389" s="17">
        <v>0</v>
      </c>
      <c r="F389" s="17">
        <v>0</v>
      </c>
      <c r="G389" s="17">
        <v>0</v>
      </c>
      <c r="H389" s="38">
        <v>0</v>
      </c>
      <c r="I389" s="17" t="str">
        <v/>
      </c>
      <c r="J389" s="17">
        <v>0</v>
      </c>
      <c r="K389" s="38">
        <v>0</v>
      </c>
      <c r="L389" s="17" t="str">
        <v/>
      </c>
      <c r="M389" s="17">
        <v>0</v>
      </c>
      <c r="N389" s="17">
        <v>0</v>
      </c>
      <c r="O389" s="17" t="str">
        <v/>
      </c>
      <c r="P389" s="17" t="str">
        <v/>
      </c>
      <c r="Q389" s="17">
        <v>0</v>
      </c>
      <c r="R389" s="17">
        <v>0</v>
      </c>
      <c r="S389" s="17">
        <v>0</v>
      </c>
      <c r="T389" s="22">
        <v>0</v>
      </c>
    </row>
    <row r="390" spans="2:20" x14ac:dyDescent="0.25">
      <c r="B390" s="21">
        <v>0</v>
      </c>
      <c r="C390" s="17">
        <v>0</v>
      </c>
      <c r="D390" s="17">
        <v>0</v>
      </c>
      <c r="E390" s="17">
        <v>0</v>
      </c>
      <c r="F390" s="17">
        <v>0</v>
      </c>
      <c r="G390" s="17">
        <v>0</v>
      </c>
      <c r="H390" s="38">
        <v>0</v>
      </c>
      <c r="I390" s="17" t="str">
        <v/>
      </c>
      <c r="J390" s="17">
        <v>0</v>
      </c>
      <c r="K390" s="38">
        <v>0</v>
      </c>
      <c r="L390" s="17" t="str">
        <v/>
      </c>
      <c r="M390" s="17">
        <v>0</v>
      </c>
      <c r="N390" s="17">
        <v>0</v>
      </c>
      <c r="O390" s="17" t="str">
        <v/>
      </c>
      <c r="P390" s="17" t="str">
        <v/>
      </c>
      <c r="Q390" s="17">
        <v>0</v>
      </c>
      <c r="R390" s="17">
        <v>0</v>
      </c>
      <c r="S390" s="17">
        <v>0</v>
      </c>
      <c r="T390" s="22">
        <v>0</v>
      </c>
    </row>
    <row r="391" spans="2:20" x14ac:dyDescent="0.25">
      <c r="B391" s="21">
        <v>0</v>
      </c>
      <c r="C391" s="17">
        <v>0</v>
      </c>
      <c r="D391" s="17">
        <v>0</v>
      </c>
      <c r="E391" s="17">
        <v>0</v>
      </c>
      <c r="F391" s="17">
        <v>0</v>
      </c>
      <c r="G391" s="17">
        <v>0</v>
      </c>
      <c r="H391" s="38">
        <v>0</v>
      </c>
      <c r="I391" s="17" t="str">
        <v/>
      </c>
      <c r="J391" s="17">
        <v>0</v>
      </c>
      <c r="K391" s="38">
        <v>0</v>
      </c>
      <c r="L391" s="17" t="str">
        <v/>
      </c>
      <c r="M391" s="17">
        <v>0</v>
      </c>
      <c r="N391" s="17">
        <v>0</v>
      </c>
      <c r="O391" s="17" t="str">
        <v/>
      </c>
      <c r="P391" s="17" t="str">
        <v/>
      </c>
      <c r="Q391" s="17">
        <v>0</v>
      </c>
      <c r="R391" s="17">
        <v>0</v>
      </c>
      <c r="S391" s="17">
        <v>0</v>
      </c>
      <c r="T391" s="22">
        <v>0</v>
      </c>
    </row>
    <row r="392" spans="2:20" x14ac:dyDescent="0.25">
      <c r="B392" s="21">
        <v>0</v>
      </c>
      <c r="C392" s="17">
        <v>0</v>
      </c>
      <c r="D392" s="17">
        <v>0</v>
      </c>
      <c r="E392" s="17">
        <v>0</v>
      </c>
      <c r="F392" s="17">
        <v>0</v>
      </c>
      <c r="G392" s="17">
        <v>0</v>
      </c>
      <c r="H392" s="38">
        <v>0</v>
      </c>
      <c r="I392" s="17" t="str">
        <v/>
      </c>
      <c r="J392" s="17">
        <v>0</v>
      </c>
      <c r="K392" s="38">
        <v>0</v>
      </c>
      <c r="L392" s="17" t="str">
        <v/>
      </c>
      <c r="M392" s="17">
        <v>0</v>
      </c>
      <c r="N392" s="17">
        <v>0</v>
      </c>
      <c r="O392" s="17" t="str">
        <v/>
      </c>
      <c r="P392" s="17" t="str">
        <v/>
      </c>
      <c r="Q392" s="17">
        <v>0</v>
      </c>
      <c r="R392" s="17">
        <v>0</v>
      </c>
      <c r="S392" s="17">
        <v>0</v>
      </c>
      <c r="T392" s="22">
        <v>0</v>
      </c>
    </row>
    <row r="393" spans="2:20" x14ac:dyDescent="0.25">
      <c r="B393" s="21">
        <v>0</v>
      </c>
      <c r="C393" s="17">
        <v>0</v>
      </c>
      <c r="D393" s="17">
        <v>0</v>
      </c>
      <c r="E393" s="17">
        <v>0</v>
      </c>
      <c r="F393" s="17">
        <v>0</v>
      </c>
      <c r="G393" s="17">
        <v>0</v>
      </c>
      <c r="H393" s="38">
        <v>0</v>
      </c>
      <c r="I393" s="17" t="str">
        <v/>
      </c>
      <c r="J393" s="17">
        <v>0</v>
      </c>
      <c r="K393" s="38">
        <v>0</v>
      </c>
      <c r="L393" s="17" t="str">
        <v/>
      </c>
      <c r="M393" s="17">
        <v>0</v>
      </c>
      <c r="N393" s="17">
        <v>0</v>
      </c>
      <c r="O393" s="17" t="str">
        <v/>
      </c>
      <c r="P393" s="17" t="str">
        <v/>
      </c>
      <c r="Q393" s="17">
        <v>0</v>
      </c>
      <c r="R393" s="17">
        <v>0</v>
      </c>
      <c r="S393" s="17">
        <v>0</v>
      </c>
      <c r="T393" s="22">
        <v>0</v>
      </c>
    </row>
    <row r="394" spans="2:20" x14ac:dyDescent="0.25">
      <c r="B394" s="21">
        <v>0</v>
      </c>
      <c r="C394" s="17">
        <v>0</v>
      </c>
      <c r="D394" s="17">
        <v>0</v>
      </c>
      <c r="E394" s="17">
        <v>0</v>
      </c>
      <c r="F394" s="17">
        <v>0</v>
      </c>
      <c r="G394" s="17">
        <v>0</v>
      </c>
      <c r="H394" s="38">
        <v>0</v>
      </c>
      <c r="I394" s="17" t="str">
        <v/>
      </c>
      <c r="J394" s="17">
        <v>0</v>
      </c>
      <c r="K394" s="38">
        <v>0</v>
      </c>
      <c r="L394" s="17" t="str">
        <v/>
      </c>
      <c r="M394" s="17">
        <v>0</v>
      </c>
      <c r="N394" s="17">
        <v>0</v>
      </c>
      <c r="O394" s="17" t="str">
        <v/>
      </c>
      <c r="P394" s="17" t="str">
        <v/>
      </c>
      <c r="Q394" s="17">
        <v>0</v>
      </c>
      <c r="R394" s="17">
        <v>0</v>
      </c>
      <c r="S394" s="17">
        <v>0</v>
      </c>
      <c r="T394" s="22">
        <v>0</v>
      </c>
    </row>
    <row r="395" spans="2:20" x14ac:dyDescent="0.25">
      <c r="B395" s="21">
        <v>0</v>
      </c>
      <c r="C395" s="17">
        <v>0</v>
      </c>
      <c r="D395" s="17">
        <v>0</v>
      </c>
      <c r="E395" s="17">
        <v>0</v>
      </c>
      <c r="F395" s="17">
        <v>0</v>
      </c>
      <c r="G395" s="17">
        <v>0</v>
      </c>
      <c r="H395" s="38">
        <v>0</v>
      </c>
      <c r="I395" s="17" t="str">
        <v/>
      </c>
      <c r="J395" s="17">
        <v>0</v>
      </c>
      <c r="K395" s="38">
        <v>0</v>
      </c>
      <c r="L395" s="17" t="str">
        <v/>
      </c>
      <c r="M395" s="17">
        <v>0</v>
      </c>
      <c r="N395" s="17">
        <v>0</v>
      </c>
      <c r="O395" s="17" t="str">
        <v/>
      </c>
      <c r="P395" s="17" t="str">
        <v/>
      </c>
      <c r="Q395" s="17">
        <v>0</v>
      </c>
      <c r="R395" s="17">
        <v>0</v>
      </c>
      <c r="S395" s="17">
        <v>0</v>
      </c>
      <c r="T395" s="22">
        <v>0</v>
      </c>
    </row>
    <row r="396" spans="2:20" x14ac:dyDescent="0.25">
      <c r="B396" s="21">
        <v>0</v>
      </c>
      <c r="C396" s="17">
        <v>0</v>
      </c>
      <c r="D396" s="17">
        <v>0</v>
      </c>
      <c r="E396" s="17">
        <v>0</v>
      </c>
      <c r="F396" s="17">
        <v>0</v>
      </c>
      <c r="G396" s="17">
        <v>0</v>
      </c>
      <c r="H396" s="38">
        <v>0</v>
      </c>
      <c r="I396" s="17" t="str">
        <v/>
      </c>
      <c r="J396" s="17">
        <v>0</v>
      </c>
      <c r="K396" s="38">
        <v>0</v>
      </c>
      <c r="L396" s="17" t="str">
        <v/>
      </c>
      <c r="M396" s="17">
        <v>0</v>
      </c>
      <c r="N396" s="17">
        <v>0</v>
      </c>
      <c r="O396" s="17" t="str">
        <v/>
      </c>
      <c r="P396" s="17" t="str">
        <v/>
      </c>
      <c r="Q396" s="17">
        <v>0</v>
      </c>
      <c r="R396" s="17">
        <v>0</v>
      </c>
      <c r="S396" s="17">
        <v>0</v>
      </c>
      <c r="T396" s="22">
        <v>0</v>
      </c>
    </row>
    <row r="397" spans="2:20" x14ac:dyDescent="0.25">
      <c r="B397" s="21">
        <v>0</v>
      </c>
      <c r="C397" s="17">
        <v>0</v>
      </c>
      <c r="D397" s="17">
        <v>0</v>
      </c>
      <c r="E397" s="17">
        <v>0</v>
      </c>
      <c r="F397" s="17">
        <v>0</v>
      </c>
      <c r="G397" s="17">
        <v>0</v>
      </c>
      <c r="H397" s="38">
        <v>0</v>
      </c>
      <c r="I397" s="17" t="str">
        <v/>
      </c>
      <c r="J397" s="17">
        <v>0</v>
      </c>
      <c r="K397" s="38">
        <v>0</v>
      </c>
      <c r="L397" s="17" t="str">
        <v/>
      </c>
      <c r="M397" s="17">
        <v>0</v>
      </c>
      <c r="N397" s="17">
        <v>0</v>
      </c>
      <c r="O397" s="17" t="str">
        <v/>
      </c>
      <c r="P397" s="17" t="str">
        <v/>
      </c>
      <c r="Q397" s="17">
        <v>0</v>
      </c>
      <c r="R397" s="17">
        <v>0</v>
      </c>
      <c r="S397" s="17">
        <v>0</v>
      </c>
      <c r="T397" s="22">
        <v>0</v>
      </c>
    </row>
    <row r="398" spans="2:20" x14ac:dyDescent="0.25">
      <c r="B398" s="21">
        <v>0</v>
      </c>
      <c r="C398" s="17">
        <v>0</v>
      </c>
      <c r="D398" s="17">
        <v>0</v>
      </c>
      <c r="E398" s="17">
        <v>0</v>
      </c>
      <c r="F398" s="17">
        <v>0</v>
      </c>
      <c r="G398" s="17">
        <v>0</v>
      </c>
      <c r="H398" s="38">
        <v>0</v>
      </c>
      <c r="I398" s="17" t="str">
        <v/>
      </c>
      <c r="J398" s="17">
        <v>0</v>
      </c>
      <c r="K398" s="38">
        <v>0</v>
      </c>
      <c r="L398" s="17" t="str">
        <v/>
      </c>
      <c r="M398" s="17">
        <v>0</v>
      </c>
      <c r="N398" s="17">
        <v>0</v>
      </c>
      <c r="O398" s="17" t="str">
        <v/>
      </c>
      <c r="P398" s="17" t="str">
        <v/>
      </c>
      <c r="Q398" s="17">
        <v>0</v>
      </c>
      <c r="R398" s="17">
        <v>0</v>
      </c>
      <c r="S398" s="17">
        <v>0</v>
      </c>
      <c r="T398" s="22">
        <v>0</v>
      </c>
    </row>
    <row r="399" spans="2:20" x14ac:dyDescent="0.25">
      <c r="B399" s="21">
        <v>0</v>
      </c>
      <c r="C399" s="17">
        <v>0</v>
      </c>
      <c r="D399" s="17">
        <v>0</v>
      </c>
      <c r="E399" s="17">
        <v>0</v>
      </c>
      <c r="F399" s="17">
        <v>0</v>
      </c>
      <c r="G399" s="17">
        <v>0</v>
      </c>
      <c r="H399" s="38">
        <v>0</v>
      </c>
      <c r="I399" s="17" t="str">
        <v/>
      </c>
      <c r="J399" s="17">
        <v>0</v>
      </c>
      <c r="K399" s="38">
        <v>0</v>
      </c>
      <c r="L399" s="17" t="str">
        <v/>
      </c>
      <c r="M399" s="17">
        <v>0</v>
      </c>
      <c r="N399" s="17">
        <v>0</v>
      </c>
      <c r="O399" s="17" t="str">
        <v/>
      </c>
      <c r="P399" s="17" t="str">
        <v/>
      </c>
      <c r="Q399" s="17">
        <v>0</v>
      </c>
      <c r="R399" s="17">
        <v>0</v>
      </c>
      <c r="S399" s="17">
        <v>0</v>
      </c>
      <c r="T399" s="22">
        <v>0</v>
      </c>
    </row>
    <row r="400" spans="2:20" x14ac:dyDescent="0.25">
      <c r="B400" s="21">
        <v>0</v>
      </c>
      <c r="C400" s="17">
        <v>0</v>
      </c>
      <c r="D400" s="17">
        <v>0</v>
      </c>
      <c r="E400" s="17">
        <v>0</v>
      </c>
      <c r="F400" s="17">
        <v>0</v>
      </c>
      <c r="G400" s="17">
        <v>0</v>
      </c>
      <c r="H400" s="38">
        <v>0</v>
      </c>
      <c r="I400" s="17" t="str">
        <v/>
      </c>
      <c r="J400" s="17">
        <v>0</v>
      </c>
      <c r="K400" s="38">
        <v>0</v>
      </c>
      <c r="L400" s="17" t="str">
        <v/>
      </c>
      <c r="M400" s="17">
        <v>0</v>
      </c>
      <c r="N400" s="17">
        <v>0</v>
      </c>
      <c r="O400" s="17" t="str">
        <v/>
      </c>
      <c r="P400" s="17" t="str">
        <v/>
      </c>
      <c r="Q400" s="17">
        <v>0</v>
      </c>
      <c r="R400" s="17">
        <v>0</v>
      </c>
      <c r="S400" s="17">
        <v>0</v>
      </c>
      <c r="T400" s="22">
        <v>0</v>
      </c>
    </row>
    <row r="401" spans="2:20" x14ac:dyDescent="0.25">
      <c r="B401" s="21">
        <v>0</v>
      </c>
      <c r="C401" s="17">
        <v>0</v>
      </c>
      <c r="D401" s="17">
        <v>0</v>
      </c>
      <c r="E401" s="17">
        <v>0</v>
      </c>
      <c r="F401" s="17">
        <v>0</v>
      </c>
      <c r="G401" s="17">
        <v>0</v>
      </c>
      <c r="H401" s="38">
        <v>0</v>
      </c>
      <c r="I401" s="17" t="str">
        <v/>
      </c>
      <c r="J401" s="17">
        <v>0</v>
      </c>
      <c r="K401" s="38">
        <v>0</v>
      </c>
      <c r="L401" s="17" t="str">
        <v/>
      </c>
      <c r="M401" s="17">
        <v>0</v>
      </c>
      <c r="N401" s="17">
        <v>0</v>
      </c>
      <c r="O401" s="17" t="str">
        <v/>
      </c>
      <c r="P401" s="17" t="str">
        <v/>
      </c>
      <c r="Q401" s="17">
        <v>0</v>
      </c>
      <c r="R401" s="17">
        <v>0</v>
      </c>
      <c r="S401" s="17">
        <v>0</v>
      </c>
      <c r="T401" s="22">
        <v>0</v>
      </c>
    </row>
    <row r="402" spans="2:20" x14ac:dyDescent="0.25">
      <c r="B402" s="21">
        <v>0</v>
      </c>
      <c r="C402" s="17">
        <v>0</v>
      </c>
      <c r="D402" s="17">
        <v>0</v>
      </c>
      <c r="E402" s="17">
        <v>0</v>
      </c>
      <c r="F402" s="17">
        <v>0</v>
      </c>
      <c r="G402" s="17">
        <v>0</v>
      </c>
      <c r="H402" s="38">
        <v>0</v>
      </c>
      <c r="I402" s="17" t="str">
        <v/>
      </c>
      <c r="J402" s="17">
        <v>0</v>
      </c>
      <c r="K402" s="38">
        <v>0</v>
      </c>
      <c r="L402" s="17" t="str">
        <v/>
      </c>
      <c r="M402" s="17">
        <v>0</v>
      </c>
      <c r="N402" s="17">
        <v>0</v>
      </c>
      <c r="O402" s="17" t="str">
        <v/>
      </c>
      <c r="P402" s="17" t="str">
        <v/>
      </c>
      <c r="Q402" s="17">
        <v>0</v>
      </c>
      <c r="R402" s="17">
        <v>0</v>
      </c>
      <c r="S402" s="17">
        <v>0</v>
      </c>
      <c r="T402" s="22">
        <v>0</v>
      </c>
    </row>
    <row r="403" spans="2:20" x14ac:dyDescent="0.25">
      <c r="B403" s="21">
        <v>0</v>
      </c>
      <c r="C403" s="17">
        <v>0</v>
      </c>
      <c r="D403" s="17">
        <v>0</v>
      </c>
      <c r="E403" s="17">
        <v>0</v>
      </c>
      <c r="F403" s="17">
        <v>0</v>
      </c>
      <c r="G403" s="17">
        <v>0</v>
      </c>
      <c r="H403" s="38">
        <v>0</v>
      </c>
      <c r="I403" s="17" t="str">
        <v/>
      </c>
      <c r="J403" s="17">
        <v>0</v>
      </c>
      <c r="K403" s="38">
        <v>0</v>
      </c>
      <c r="L403" s="17" t="str">
        <v/>
      </c>
      <c r="M403" s="17">
        <v>0</v>
      </c>
      <c r="N403" s="17">
        <v>0</v>
      </c>
      <c r="O403" s="17" t="str">
        <v/>
      </c>
      <c r="P403" s="17" t="str">
        <v/>
      </c>
      <c r="Q403" s="17">
        <v>0</v>
      </c>
      <c r="R403" s="17">
        <v>0</v>
      </c>
      <c r="S403" s="17">
        <v>0</v>
      </c>
      <c r="T403" s="22">
        <v>0</v>
      </c>
    </row>
    <row r="404" spans="2:20" x14ac:dyDescent="0.25">
      <c r="B404" s="21">
        <v>0</v>
      </c>
      <c r="C404" s="17">
        <v>0</v>
      </c>
      <c r="D404" s="17">
        <v>0</v>
      </c>
      <c r="E404" s="17">
        <v>0</v>
      </c>
      <c r="F404" s="17">
        <v>0</v>
      </c>
      <c r="G404" s="17">
        <v>0</v>
      </c>
      <c r="H404" s="38">
        <v>0</v>
      </c>
      <c r="I404" s="17" t="str">
        <v/>
      </c>
      <c r="J404" s="17">
        <v>0</v>
      </c>
      <c r="K404" s="38">
        <v>0</v>
      </c>
      <c r="L404" s="17" t="str">
        <v/>
      </c>
      <c r="M404" s="17">
        <v>0</v>
      </c>
      <c r="N404" s="17">
        <v>0</v>
      </c>
      <c r="O404" s="17" t="str">
        <v/>
      </c>
      <c r="P404" s="17" t="str">
        <v/>
      </c>
      <c r="Q404" s="17">
        <v>0</v>
      </c>
      <c r="R404" s="17">
        <v>0</v>
      </c>
      <c r="S404" s="17">
        <v>0</v>
      </c>
      <c r="T404" s="22">
        <v>0</v>
      </c>
    </row>
    <row r="405" spans="2:20" x14ac:dyDescent="0.25">
      <c r="B405" s="21">
        <v>0</v>
      </c>
      <c r="C405" s="17">
        <v>0</v>
      </c>
      <c r="D405" s="17">
        <v>0</v>
      </c>
      <c r="E405" s="17">
        <v>0</v>
      </c>
      <c r="F405" s="17">
        <v>0</v>
      </c>
      <c r="G405" s="17">
        <v>0</v>
      </c>
      <c r="H405" s="38">
        <v>0</v>
      </c>
      <c r="I405" s="17" t="str">
        <v/>
      </c>
      <c r="J405" s="17">
        <v>0</v>
      </c>
      <c r="K405" s="38">
        <v>0</v>
      </c>
      <c r="L405" s="17" t="str">
        <v/>
      </c>
      <c r="M405" s="17">
        <v>0</v>
      </c>
      <c r="N405" s="17">
        <v>0</v>
      </c>
      <c r="O405" s="17" t="str">
        <v/>
      </c>
      <c r="P405" s="17" t="str">
        <v/>
      </c>
      <c r="Q405" s="17">
        <v>0</v>
      </c>
      <c r="R405" s="17">
        <v>0</v>
      </c>
      <c r="S405" s="17">
        <v>0</v>
      </c>
      <c r="T405" s="22">
        <v>0</v>
      </c>
    </row>
    <row r="406" spans="2:20" x14ac:dyDescent="0.25">
      <c r="B406" s="21">
        <v>0</v>
      </c>
      <c r="C406" s="17">
        <v>0</v>
      </c>
      <c r="D406" s="17">
        <v>0</v>
      </c>
      <c r="E406" s="17">
        <v>0</v>
      </c>
      <c r="F406" s="17">
        <v>0</v>
      </c>
      <c r="G406" s="17">
        <v>0</v>
      </c>
      <c r="H406" s="38">
        <v>0</v>
      </c>
      <c r="I406" s="17" t="str">
        <v/>
      </c>
      <c r="J406" s="17">
        <v>0</v>
      </c>
      <c r="K406" s="38">
        <v>0</v>
      </c>
      <c r="L406" s="17" t="str">
        <v/>
      </c>
      <c r="M406" s="17">
        <v>0</v>
      </c>
      <c r="N406" s="17">
        <v>0</v>
      </c>
      <c r="O406" s="17" t="str">
        <v/>
      </c>
      <c r="P406" s="17" t="str">
        <v/>
      </c>
      <c r="Q406" s="17">
        <v>0</v>
      </c>
      <c r="R406" s="17">
        <v>0</v>
      </c>
      <c r="S406" s="17">
        <v>0</v>
      </c>
      <c r="T406" s="22">
        <v>0</v>
      </c>
    </row>
    <row r="407" spans="2:20" x14ac:dyDescent="0.25">
      <c r="B407" s="21">
        <v>0</v>
      </c>
      <c r="C407" s="17">
        <v>0</v>
      </c>
      <c r="D407" s="17">
        <v>0</v>
      </c>
      <c r="E407" s="17">
        <v>0</v>
      </c>
      <c r="F407" s="17">
        <v>0</v>
      </c>
      <c r="G407" s="17">
        <v>0</v>
      </c>
      <c r="H407" s="38">
        <v>0</v>
      </c>
      <c r="I407" s="17" t="str">
        <v/>
      </c>
      <c r="J407" s="17">
        <v>0</v>
      </c>
      <c r="K407" s="38">
        <v>0</v>
      </c>
      <c r="L407" s="17" t="str">
        <v/>
      </c>
      <c r="M407" s="17">
        <v>0</v>
      </c>
      <c r="N407" s="17">
        <v>0</v>
      </c>
      <c r="O407" s="17" t="str">
        <v/>
      </c>
      <c r="P407" s="17" t="str">
        <v/>
      </c>
      <c r="Q407" s="17">
        <v>0</v>
      </c>
      <c r="R407" s="17">
        <v>0</v>
      </c>
      <c r="S407" s="17">
        <v>0</v>
      </c>
      <c r="T407" s="22">
        <v>0</v>
      </c>
    </row>
    <row r="408" spans="2:20" x14ac:dyDescent="0.25">
      <c r="B408" s="21">
        <v>0</v>
      </c>
      <c r="C408" s="17">
        <v>0</v>
      </c>
      <c r="D408" s="17">
        <v>0</v>
      </c>
      <c r="E408" s="17">
        <v>0</v>
      </c>
      <c r="F408" s="17">
        <v>0</v>
      </c>
      <c r="G408" s="17">
        <v>0</v>
      </c>
      <c r="H408" s="38">
        <v>0</v>
      </c>
      <c r="I408" s="17" t="str">
        <v/>
      </c>
      <c r="J408" s="17">
        <v>0</v>
      </c>
      <c r="K408" s="38">
        <v>0</v>
      </c>
      <c r="L408" s="17" t="str">
        <v/>
      </c>
      <c r="M408" s="17">
        <v>0</v>
      </c>
      <c r="N408" s="17">
        <v>0</v>
      </c>
      <c r="O408" s="17" t="str">
        <v/>
      </c>
      <c r="P408" s="17" t="str">
        <v/>
      </c>
      <c r="Q408" s="17">
        <v>0</v>
      </c>
      <c r="R408" s="17">
        <v>0</v>
      </c>
      <c r="S408" s="17">
        <v>0</v>
      </c>
      <c r="T408" s="22">
        <v>0</v>
      </c>
    </row>
    <row r="409" spans="2:20" x14ac:dyDescent="0.25">
      <c r="B409" s="21">
        <v>0</v>
      </c>
      <c r="C409" s="17">
        <v>0</v>
      </c>
      <c r="D409" s="17">
        <v>0</v>
      </c>
      <c r="E409" s="17">
        <v>0</v>
      </c>
      <c r="F409" s="17">
        <v>0</v>
      </c>
      <c r="G409" s="17">
        <v>0</v>
      </c>
      <c r="H409" s="38">
        <v>0</v>
      </c>
      <c r="I409" s="17" t="str">
        <v/>
      </c>
      <c r="J409" s="17">
        <v>0</v>
      </c>
      <c r="K409" s="38">
        <v>0</v>
      </c>
      <c r="L409" s="17" t="str">
        <v/>
      </c>
      <c r="M409" s="17">
        <v>0</v>
      </c>
      <c r="N409" s="17">
        <v>0</v>
      </c>
      <c r="O409" s="17" t="str">
        <v/>
      </c>
      <c r="P409" s="17" t="str">
        <v/>
      </c>
      <c r="Q409" s="17">
        <v>0</v>
      </c>
      <c r="R409" s="17">
        <v>0</v>
      </c>
      <c r="S409" s="17">
        <v>0</v>
      </c>
      <c r="T409" s="22">
        <v>0</v>
      </c>
    </row>
    <row r="410" spans="2:20" x14ac:dyDescent="0.25">
      <c r="B410" s="21">
        <v>0</v>
      </c>
      <c r="C410" s="17">
        <v>0</v>
      </c>
      <c r="D410" s="17">
        <v>0</v>
      </c>
      <c r="E410" s="17">
        <v>0</v>
      </c>
      <c r="F410" s="17">
        <v>0</v>
      </c>
      <c r="G410" s="17">
        <v>0</v>
      </c>
      <c r="H410" s="38">
        <v>0</v>
      </c>
      <c r="I410" s="17" t="str">
        <v/>
      </c>
      <c r="J410" s="17">
        <v>0</v>
      </c>
      <c r="K410" s="38">
        <v>0</v>
      </c>
      <c r="L410" s="17" t="str">
        <v/>
      </c>
      <c r="M410" s="17">
        <v>0</v>
      </c>
      <c r="N410" s="17">
        <v>0</v>
      </c>
      <c r="O410" s="17" t="str">
        <v/>
      </c>
      <c r="P410" s="17" t="str">
        <v/>
      </c>
      <c r="Q410" s="17">
        <v>0</v>
      </c>
      <c r="R410" s="17">
        <v>0</v>
      </c>
      <c r="S410" s="17">
        <v>0</v>
      </c>
      <c r="T410" s="22">
        <v>0</v>
      </c>
    </row>
    <row r="411" spans="2:20" x14ac:dyDescent="0.25">
      <c r="B411" s="21">
        <v>0</v>
      </c>
      <c r="C411" s="17">
        <v>0</v>
      </c>
      <c r="D411" s="17">
        <v>0</v>
      </c>
      <c r="E411" s="17">
        <v>0</v>
      </c>
      <c r="F411" s="17">
        <v>0</v>
      </c>
      <c r="G411" s="17">
        <v>0</v>
      </c>
      <c r="H411" s="38">
        <v>0</v>
      </c>
      <c r="I411" s="17" t="str">
        <v/>
      </c>
      <c r="J411" s="17">
        <v>0</v>
      </c>
      <c r="K411" s="38">
        <v>0</v>
      </c>
      <c r="L411" s="17" t="str">
        <v/>
      </c>
      <c r="M411" s="17">
        <v>0</v>
      </c>
      <c r="N411" s="17">
        <v>0</v>
      </c>
      <c r="O411" s="17" t="str">
        <v/>
      </c>
      <c r="P411" s="17" t="str">
        <v/>
      </c>
      <c r="Q411" s="17">
        <v>0</v>
      </c>
      <c r="R411" s="17">
        <v>0</v>
      </c>
      <c r="S411" s="17">
        <v>0</v>
      </c>
      <c r="T411" s="22">
        <v>0</v>
      </c>
    </row>
    <row r="412" spans="2:20" x14ac:dyDescent="0.25">
      <c r="B412" s="21">
        <v>0</v>
      </c>
      <c r="C412" s="17">
        <v>0</v>
      </c>
      <c r="D412" s="17">
        <v>0</v>
      </c>
      <c r="E412" s="17">
        <v>0</v>
      </c>
      <c r="F412" s="17">
        <v>0</v>
      </c>
      <c r="G412" s="17">
        <v>0</v>
      </c>
      <c r="H412" s="38">
        <v>0</v>
      </c>
      <c r="I412" s="17" t="str">
        <v/>
      </c>
      <c r="J412" s="17">
        <v>0</v>
      </c>
      <c r="K412" s="38">
        <v>0</v>
      </c>
      <c r="L412" s="17" t="str">
        <v/>
      </c>
      <c r="M412" s="17">
        <v>0</v>
      </c>
      <c r="N412" s="17">
        <v>0</v>
      </c>
      <c r="O412" s="17" t="str">
        <v/>
      </c>
      <c r="P412" s="17" t="str">
        <v/>
      </c>
      <c r="Q412" s="17">
        <v>0</v>
      </c>
      <c r="R412" s="17">
        <v>0</v>
      </c>
      <c r="S412" s="17">
        <v>0</v>
      </c>
      <c r="T412" s="22">
        <v>0</v>
      </c>
    </row>
    <row r="413" spans="2:20" x14ac:dyDescent="0.25">
      <c r="B413" s="21">
        <v>0</v>
      </c>
      <c r="C413" s="17">
        <v>0</v>
      </c>
      <c r="D413" s="17">
        <v>0</v>
      </c>
      <c r="E413" s="17">
        <v>0</v>
      </c>
      <c r="F413" s="17">
        <v>0</v>
      </c>
      <c r="G413" s="17">
        <v>0</v>
      </c>
      <c r="H413" s="38">
        <v>0</v>
      </c>
      <c r="I413" s="17" t="str">
        <v/>
      </c>
      <c r="J413" s="17">
        <v>0</v>
      </c>
      <c r="K413" s="38">
        <v>0</v>
      </c>
      <c r="L413" s="17" t="str">
        <v/>
      </c>
      <c r="M413" s="17">
        <v>0</v>
      </c>
      <c r="N413" s="17">
        <v>0</v>
      </c>
      <c r="O413" s="17" t="str">
        <v/>
      </c>
      <c r="P413" s="17" t="str">
        <v/>
      </c>
      <c r="Q413" s="17">
        <v>0</v>
      </c>
      <c r="R413" s="17">
        <v>0</v>
      </c>
      <c r="S413" s="17">
        <v>0</v>
      </c>
      <c r="T413" s="22">
        <v>0</v>
      </c>
    </row>
    <row r="414" spans="2:20" x14ac:dyDescent="0.25">
      <c r="B414" s="21">
        <v>0</v>
      </c>
      <c r="C414" s="17">
        <v>0</v>
      </c>
      <c r="D414" s="17">
        <v>0</v>
      </c>
      <c r="E414" s="17">
        <v>0</v>
      </c>
      <c r="F414" s="17">
        <v>0</v>
      </c>
      <c r="G414" s="17">
        <v>0</v>
      </c>
      <c r="H414" s="38">
        <v>0</v>
      </c>
      <c r="I414" s="17" t="str">
        <v/>
      </c>
      <c r="J414" s="17">
        <v>0</v>
      </c>
      <c r="K414" s="38">
        <v>0</v>
      </c>
      <c r="L414" s="17" t="str">
        <v/>
      </c>
      <c r="M414" s="17">
        <v>0</v>
      </c>
      <c r="N414" s="17">
        <v>0</v>
      </c>
      <c r="O414" s="17" t="str">
        <v/>
      </c>
      <c r="P414" s="17" t="str">
        <v/>
      </c>
      <c r="Q414" s="17">
        <v>0</v>
      </c>
      <c r="R414" s="17">
        <v>0</v>
      </c>
      <c r="S414" s="17">
        <v>0</v>
      </c>
      <c r="T414" s="22">
        <v>0</v>
      </c>
    </row>
    <row r="415" spans="2:20" x14ac:dyDescent="0.25">
      <c r="B415" s="21">
        <v>0</v>
      </c>
      <c r="C415" s="17">
        <v>0</v>
      </c>
      <c r="D415" s="17">
        <v>0</v>
      </c>
      <c r="E415" s="17">
        <v>0</v>
      </c>
      <c r="F415" s="17">
        <v>0</v>
      </c>
      <c r="G415" s="17">
        <v>0</v>
      </c>
      <c r="H415" s="38">
        <v>0</v>
      </c>
      <c r="I415" s="17" t="str">
        <v/>
      </c>
      <c r="J415" s="17">
        <v>0</v>
      </c>
      <c r="K415" s="38">
        <v>0</v>
      </c>
      <c r="L415" s="17" t="str">
        <v/>
      </c>
      <c r="M415" s="17">
        <v>0</v>
      </c>
      <c r="N415" s="17">
        <v>0</v>
      </c>
      <c r="O415" s="17" t="str">
        <v/>
      </c>
      <c r="P415" s="17" t="str">
        <v/>
      </c>
      <c r="Q415" s="17">
        <v>0</v>
      </c>
      <c r="R415" s="17">
        <v>0</v>
      </c>
      <c r="S415" s="17">
        <v>0</v>
      </c>
      <c r="T415" s="22">
        <v>0</v>
      </c>
    </row>
    <row r="416" spans="2:20" x14ac:dyDescent="0.25">
      <c r="B416" s="21">
        <v>0</v>
      </c>
      <c r="C416" s="17">
        <v>0</v>
      </c>
      <c r="D416" s="17">
        <v>0</v>
      </c>
      <c r="E416" s="17">
        <v>0</v>
      </c>
      <c r="F416" s="17">
        <v>0</v>
      </c>
      <c r="G416" s="17">
        <v>0</v>
      </c>
      <c r="H416" s="38">
        <v>0</v>
      </c>
      <c r="I416" s="17" t="str">
        <v/>
      </c>
      <c r="J416" s="17">
        <v>0</v>
      </c>
      <c r="K416" s="38">
        <v>0</v>
      </c>
      <c r="L416" s="17" t="str">
        <v/>
      </c>
      <c r="M416" s="17">
        <v>0</v>
      </c>
      <c r="N416" s="17">
        <v>0</v>
      </c>
      <c r="O416" s="17" t="str">
        <v/>
      </c>
      <c r="P416" s="17" t="str">
        <v/>
      </c>
      <c r="Q416" s="17">
        <v>0</v>
      </c>
      <c r="R416" s="17">
        <v>0</v>
      </c>
      <c r="S416" s="17">
        <v>0</v>
      </c>
      <c r="T416" s="22">
        <v>0</v>
      </c>
    </row>
    <row r="417" spans="2:20" x14ac:dyDescent="0.25">
      <c r="B417" s="21">
        <v>0</v>
      </c>
      <c r="C417" s="17">
        <v>0</v>
      </c>
      <c r="D417" s="17">
        <v>0</v>
      </c>
      <c r="E417" s="17">
        <v>0</v>
      </c>
      <c r="F417" s="17">
        <v>0</v>
      </c>
      <c r="G417" s="17">
        <v>0</v>
      </c>
      <c r="H417" s="38">
        <v>0</v>
      </c>
      <c r="I417" s="17" t="str">
        <v/>
      </c>
      <c r="J417" s="17">
        <v>0</v>
      </c>
      <c r="K417" s="38">
        <v>0</v>
      </c>
      <c r="L417" s="17" t="str">
        <v/>
      </c>
      <c r="M417" s="17">
        <v>0</v>
      </c>
      <c r="N417" s="17">
        <v>0</v>
      </c>
      <c r="O417" s="17" t="str">
        <v/>
      </c>
      <c r="P417" s="17" t="str">
        <v/>
      </c>
      <c r="Q417" s="17">
        <v>0</v>
      </c>
      <c r="R417" s="17">
        <v>0</v>
      </c>
      <c r="S417" s="17">
        <v>0</v>
      </c>
      <c r="T417" s="22">
        <v>0</v>
      </c>
    </row>
    <row r="418" spans="2:20" x14ac:dyDescent="0.25">
      <c r="B418" s="21">
        <v>0</v>
      </c>
      <c r="C418" s="17">
        <v>0</v>
      </c>
      <c r="D418" s="17">
        <v>0</v>
      </c>
      <c r="E418" s="17">
        <v>0</v>
      </c>
      <c r="F418" s="17">
        <v>0</v>
      </c>
      <c r="G418" s="17">
        <v>0</v>
      </c>
      <c r="H418" s="38">
        <v>0</v>
      </c>
      <c r="I418" s="17" t="str">
        <v/>
      </c>
      <c r="J418" s="17">
        <v>0</v>
      </c>
      <c r="K418" s="38">
        <v>0</v>
      </c>
      <c r="L418" s="17" t="str">
        <v/>
      </c>
      <c r="M418" s="17">
        <v>0</v>
      </c>
      <c r="N418" s="17">
        <v>0</v>
      </c>
      <c r="O418" s="17" t="str">
        <v/>
      </c>
      <c r="P418" s="17" t="str">
        <v/>
      </c>
      <c r="Q418" s="17">
        <v>0</v>
      </c>
      <c r="R418" s="17">
        <v>0</v>
      </c>
      <c r="S418" s="17">
        <v>0</v>
      </c>
      <c r="T418" s="22">
        <v>0</v>
      </c>
    </row>
    <row r="419" spans="2:20" x14ac:dyDescent="0.25">
      <c r="B419" s="21">
        <v>0</v>
      </c>
      <c r="C419" s="17">
        <v>0</v>
      </c>
      <c r="D419" s="17">
        <v>0</v>
      </c>
      <c r="E419" s="17">
        <v>0</v>
      </c>
      <c r="F419" s="17">
        <v>0</v>
      </c>
      <c r="G419" s="17">
        <v>0</v>
      </c>
      <c r="H419" s="38">
        <v>0</v>
      </c>
      <c r="I419" s="17" t="str">
        <v/>
      </c>
      <c r="J419" s="17">
        <v>0</v>
      </c>
      <c r="K419" s="38">
        <v>0</v>
      </c>
      <c r="L419" s="17" t="str">
        <v/>
      </c>
      <c r="M419" s="17">
        <v>0</v>
      </c>
      <c r="N419" s="17">
        <v>0</v>
      </c>
      <c r="O419" s="17" t="str">
        <v/>
      </c>
      <c r="P419" s="17" t="str">
        <v/>
      </c>
      <c r="Q419" s="17">
        <v>0</v>
      </c>
      <c r="R419" s="17">
        <v>0</v>
      </c>
      <c r="S419" s="17">
        <v>0</v>
      </c>
      <c r="T419" s="22">
        <v>0</v>
      </c>
    </row>
    <row r="420" spans="2:20" x14ac:dyDescent="0.25">
      <c r="B420" s="21">
        <v>0</v>
      </c>
      <c r="C420" s="17">
        <v>0</v>
      </c>
      <c r="D420" s="17">
        <v>0</v>
      </c>
      <c r="E420" s="17">
        <v>0</v>
      </c>
      <c r="F420" s="17">
        <v>0</v>
      </c>
      <c r="G420" s="17">
        <v>0</v>
      </c>
      <c r="H420" s="38">
        <v>0</v>
      </c>
      <c r="I420" s="17" t="str">
        <v/>
      </c>
      <c r="J420" s="17">
        <v>0</v>
      </c>
      <c r="K420" s="38">
        <v>0</v>
      </c>
      <c r="L420" s="17" t="str">
        <v/>
      </c>
      <c r="M420" s="17">
        <v>0</v>
      </c>
      <c r="N420" s="17">
        <v>0</v>
      </c>
      <c r="O420" s="17" t="str">
        <v/>
      </c>
      <c r="P420" s="17" t="str">
        <v/>
      </c>
      <c r="Q420" s="17">
        <v>0</v>
      </c>
      <c r="R420" s="17">
        <v>0</v>
      </c>
      <c r="S420" s="17">
        <v>0</v>
      </c>
      <c r="T420" s="22">
        <v>0</v>
      </c>
    </row>
    <row r="421" spans="2:20" x14ac:dyDescent="0.25">
      <c r="B421" s="21">
        <v>0</v>
      </c>
      <c r="C421" s="17">
        <v>0</v>
      </c>
      <c r="D421" s="17">
        <v>0</v>
      </c>
      <c r="E421" s="17">
        <v>0</v>
      </c>
      <c r="F421" s="17">
        <v>0</v>
      </c>
      <c r="G421" s="17">
        <v>0</v>
      </c>
      <c r="H421" s="38">
        <v>0</v>
      </c>
      <c r="I421" s="17" t="str">
        <v/>
      </c>
      <c r="J421" s="17">
        <v>0</v>
      </c>
      <c r="K421" s="38">
        <v>0</v>
      </c>
      <c r="L421" s="17" t="str">
        <v/>
      </c>
      <c r="M421" s="17">
        <v>0</v>
      </c>
      <c r="N421" s="17">
        <v>0</v>
      </c>
      <c r="O421" s="17" t="str">
        <v/>
      </c>
      <c r="P421" s="17" t="str">
        <v/>
      </c>
      <c r="Q421" s="17">
        <v>0</v>
      </c>
      <c r="R421" s="17">
        <v>0</v>
      </c>
      <c r="S421" s="17">
        <v>0</v>
      </c>
      <c r="T421" s="22">
        <v>0</v>
      </c>
    </row>
    <row r="422" spans="2:20" x14ac:dyDescent="0.25">
      <c r="B422" s="21">
        <v>0</v>
      </c>
      <c r="C422" s="17">
        <v>0</v>
      </c>
      <c r="D422" s="17">
        <v>0</v>
      </c>
      <c r="E422" s="17">
        <v>0</v>
      </c>
      <c r="F422" s="17">
        <v>0</v>
      </c>
      <c r="G422" s="17">
        <v>0</v>
      </c>
      <c r="H422" s="38">
        <v>0</v>
      </c>
      <c r="I422" s="17" t="str">
        <v/>
      </c>
      <c r="J422" s="17">
        <v>0</v>
      </c>
      <c r="K422" s="38">
        <v>0</v>
      </c>
      <c r="L422" s="17" t="str">
        <v/>
      </c>
      <c r="M422" s="17">
        <v>0</v>
      </c>
      <c r="N422" s="17">
        <v>0</v>
      </c>
      <c r="O422" s="17" t="str">
        <v/>
      </c>
      <c r="P422" s="17" t="str">
        <v/>
      </c>
      <c r="Q422" s="17">
        <v>0</v>
      </c>
      <c r="R422" s="17">
        <v>0</v>
      </c>
      <c r="S422" s="17">
        <v>0</v>
      </c>
      <c r="T422" s="22">
        <v>0</v>
      </c>
    </row>
    <row r="423" spans="2:20" x14ac:dyDescent="0.25">
      <c r="B423" s="21">
        <v>0</v>
      </c>
      <c r="C423" s="17">
        <v>0</v>
      </c>
      <c r="D423" s="17">
        <v>0</v>
      </c>
      <c r="E423" s="17">
        <v>0</v>
      </c>
      <c r="F423" s="17">
        <v>0</v>
      </c>
      <c r="G423" s="17">
        <v>0</v>
      </c>
      <c r="H423" s="38">
        <v>0</v>
      </c>
      <c r="I423" s="17" t="str">
        <v/>
      </c>
      <c r="J423" s="17">
        <v>0</v>
      </c>
      <c r="K423" s="38">
        <v>0</v>
      </c>
      <c r="L423" s="17" t="str">
        <v/>
      </c>
      <c r="M423" s="17">
        <v>0</v>
      </c>
      <c r="N423" s="17">
        <v>0</v>
      </c>
      <c r="O423" s="17" t="str">
        <v/>
      </c>
      <c r="P423" s="17" t="str">
        <v/>
      </c>
      <c r="Q423" s="17">
        <v>0</v>
      </c>
      <c r="R423" s="17">
        <v>0</v>
      </c>
      <c r="S423" s="17">
        <v>0</v>
      </c>
      <c r="T423" s="22">
        <v>0</v>
      </c>
    </row>
    <row r="424" spans="2:20" x14ac:dyDescent="0.25">
      <c r="B424" s="21">
        <v>0</v>
      </c>
      <c r="C424" s="17">
        <v>0</v>
      </c>
      <c r="D424" s="17">
        <v>0</v>
      </c>
      <c r="E424" s="17">
        <v>0</v>
      </c>
      <c r="F424" s="17">
        <v>0</v>
      </c>
      <c r="G424" s="17">
        <v>0</v>
      </c>
      <c r="H424" s="38">
        <v>0</v>
      </c>
      <c r="I424" s="17" t="str">
        <v/>
      </c>
      <c r="J424" s="17">
        <v>0</v>
      </c>
      <c r="K424" s="38">
        <v>0</v>
      </c>
      <c r="L424" s="17" t="str">
        <v/>
      </c>
      <c r="M424" s="17">
        <v>0</v>
      </c>
      <c r="N424" s="17">
        <v>0</v>
      </c>
      <c r="O424" s="17" t="str">
        <v/>
      </c>
      <c r="P424" s="17" t="str">
        <v/>
      </c>
      <c r="Q424" s="17">
        <v>0</v>
      </c>
      <c r="R424" s="17">
        <v>0</v>
      </c>
      <c r="S424" s="17">
        <v>0</v>
      </c>
      <c r="T424" s="22">
        <v>0</v>
      </c>
    </row>
    <row r="425" spans="2:20" x14ac:dyDescent="0.25">
      <c r="B425" s="21">
        <v>0</v>
      </c>
      <c r="C425" s="17">
        <v>0</v>
      </c>
      <c r="D425" s="17">
        <v>0</v>
      </c>
      <c r="E425" s="17">
        <v>0</v>
      </c>
      <c r="F425" s="17">
        <v>0</v>
      </c>
      <c r="G425" s="17">
        <v>0</v>
      </c>
      <c r="H425" s="38">
        <v>0</v>
      </c>
      <c r="I425" s="17" t="str">
        <v/>
      </c>
      <c r="J425" s="17">
        <v>0</v>
      </c>
      <c r="K425" s="38">
        <v>0</v>
      </c>
      <c r="L425" s="17" t="str">
        <v/>
      </c>
      <c r="M425" s="17">
        <v>0</v>
      </c>
      <c r="N425" s="17">
        <v>0</v>
      </c>
      <c r="O425" s="17" t="str">
        <v/>
      </c>
      <c r="P425" s="17" t="str">
        <v/>
      </c>
      <c r="Q425" s="17">
        <v>0</v>
      </c>
      <c r="R425" s="17">
        <v>0</v>
      </c>
      <c r="S425" s="17">
        <v>0</v>
      </c>
      <c r="T425" s="22">
        <v>0</v>
      </c>
    </row>
    <row r="426" spans="2:20" x14ac:dyDescent="0.25">
      <c r="B426" s="21">
        <v>0</v>
      </c>
      <c r="C426" s="17">
        <v>0</v>
      </c>
      <c r="D426" s="17">
        <v>0</v>
      </c>
      <c r="E426" s="17">
        <v>0</v>
      </c>
      <c r="F426" s="17">
        <v>0</v>
      </c>
      <c r="G426" s="17">
        <v>0</v>
      </c>
      <c r="H426" s="38">
        <v>0</v>
      </c>
      <c r="I426" s="17" t="str">
        <v/>
      </c>
      <c r="J426" s="17">
        <v>0</v>
      </c>
      <c r="K426" s="38">
        <v>0</v>
      </c>
      <c r="L426" s="17" t="str">
        <v/>
      </c>
      <c r="M426" s="17">
        <v>0</v>
      </c>
      <c r="N426" s="17">
        <v>0</v>
      </c>
      <c r="O426" s="17" t="str">
        <v/>
      </c>
      <c r="P426" s="17" t="str">
        <v/>
      </c>
      <c r="Q426" s="17">
        <v>0</v>
      </c>
      <c r="R426" s="17">
        <v>0</v>
      </c>
      <c r="S426" s="17">
        <v>0</v>
      </c>
      <c r="T426" s="22">
        <v>0</v>
      </c>
    </row>
    <row r="427" spans="2:20" x14ac:dyDescent="0.25">
      <c r="B427" s="21">
        <v>0</v>
      </c>
      <c r="C427" s="17">
        <v>0</v>
      </c>
      <c r="D427" s="17">
        <v>0</v>
      </c>
      <c r="E427" s="17">
        <v>0</v>
      </c>
      <c r="F427" s="17">
        <v>0</v>
      </c>
      <c r="G427" s="17">
        <v>0</v>
      </c>
      <c r="H427" s="38">
        <v>0</v>
      </c>
      <c r="I427" s="17" t="str">
        <v/>
      </c>
      <c r="J427" s="17">
        <v>0</v>
      </c>
      <c r="K427" s="38">
        <v>0</v>
      </c>
      <c r="L427" s="17" t="str">
        <v/>
      </c>
      <c r="M427" s="17">
        <v>0</v>
      </c>
      <c r="N427" s="17">
        <v>0</v>
      </c>
      <c r="O427" s="17" t="str">
        <v/>
      </c>
      <c r="P427" s="17" t="str">
        <v/>
      </c>
      <c r="Q427" s="17">
        <v>0</v>
      </c>
      <c r="R427" s="17">
        <v>0</v>
      </c>
      <c r="S427" s="17">
        <v>0</v>
      </c>
      <c r="T427" s="22">
        <v>0</v>
      </c>
    </row>
    <row r="428" spans="2:20" x14ac:dyDescent="0.25">
      <c r="B428" s="21">
        <v>0</v>
      </c>
      <c r="C428" s="17">
        <v>0</v>
      </c>
      <c r="D428" s="17">
        <v>0</v>
      </c>
      <c r="E428" s="17">
        <v>0</v>
      </c>
      <c r="F428" s="17">
        <v>0</v>
      </c>
      <c r="G428" s="17">
        <v>0</v>
      </c>
      <c r="H428" s="38">
        <v>0</v>
      </c>
      <c r="I428" s="17" t="str">
        <v/>
      </c>
      <c r="J428" s="17">
        <v>0</v>
      </c>
      <c r="K428" s="38">
        <v>0</v>
      </c>
      <c r="L428" s="17" t="str">
        <v/>
      </c>
      <c r="M428" s="17">
        <v>0</v>
      </c>
      <c r="N428" s="17">
        <v>0</v>
      </c>
      <c r="O428" s="17" t="str">
        <v/>
      </c>
      <c r="P428" s="17" t="str">
        <v/>
      </c>
      <c r="Q428" s="17">
        <v>0</v>
      </c>
      <c r="R428" s="17">
        <v>0</v>
      </c>
      <c r="S428" s="17">
        <v>0</v>
      </c>
      <c r="T428" s="22">
        <v>0</v>
      </c>
    </row>
    <row r="429" spans="2:20" x14ac:dyDescent="0.25">
      <c r="B429" s="21">
        <v>0</v>
      </c>
      <c r="C429" s="17">
        <v>0</v>
      </c>
      <c r="D429" s="17">
        <v>0</v>
      </c>
      <c r="E429" s="17">
        <v>0</v>
      </c>
      <c r="F429" s="17">
        <v>0</v>
      </c>
      <c r="G429" s="17">
        <v>0</v>
      </c>
      <c r="H429" s="38">
        <v>0</v>
      </c>
      <c r="I429" s="17" t="str">
        <v/>
      </c>
      <c r="J429" s="17">
        <v>0</v>
      </c>
      <c r="K429" s="38">
        <v>0</v>
      </c>
      <c r="L429" s="17" t="str">
        <v/>
      </c>
      <c r="M429" s="17">
        <v>0</v>
      </c>
      <c r="N429" s="17">
        <v>0</v>
      </c>
      <c r="O429" s="17" t="str">
        <v/>
      </c>
      <c r="P429" s="17" t="str">
        <v/>
      </c>
      <c r="Q429" s="17">
        <v>0</v>
      </c>
      <c r="R429" s="17">
        <v>0</v>
      </c>
      <c r="S429" s="17">
        <v>0</v>
      </c>
      <c r="T429" s="22">
        <v>0</v>
      </c>
    </row>
    <row r="430" spans="2:20" x14ac:dyDescent="0.25">
      <c r="B430" s="21">
        <v>0</v>
      </c>
      <c r="C430" s="17">
        <v>0</v>
      </c>
      <c r="D430" s="17">
        <v>0</v>
      </c>
      <c r="E430" s="17">
        <v>0</v>
      </c>
      <c r="F430" s="17">
        <v>0</v>
      </c>
      <c r="G430" s="17">
        <v>0</v>
      </c>
      <c r="H430" s="38">
        <v>0</v>
      </c>
      <c r="I430" s="17" t="str">
        <v/>
      </c>
      <c r="J430" s="17">
        <v>0</v>
      </c>
      <c r="K430" s="38">
        <v>0</v>
      </c>
      <c r="L430" s="17" t="str">
        <v/>
      </c>
      <c r="M430" s="17">
        <v>0</v>
      </c>
      <c r="N430" s="17">
        <v>0</v>
      </c>
      <c r="O430" s="17" t="str">
        <v/>
      </c>
      <c r="P430" s="17" t="str">
        <v/>
      </c>
      <c r="Q430" s="17">
        <v>0</v>
      </c>
      <c r="R430" s="17">
        <v>0</v>
      </c>
      <c r="S430" s="17">
        <v>0</v>
      </c>
      <c r="T430" s="22">
        <v>0</v>
      </c>
    </row>
    <row r="431" spans="2:20" x14ac:dyDescent="0.25">
      <c r="B431" s="21">
        <v>0</v>
      </c>
      <c r="C431" s="17">
        <v>0</v>
      </c>
      <c r="D431" s="17">
        <v>0</v>
      </c>
      <c r="E431" s="17">
        <v>0</v>
      </c>
      <c r="F431" s="17">
        <v>0</v>
      </c>
      <c r="G431" s="17">
        <v>0</v>
      </c>
      <c r="H431" s="38">
        <v>0</v>
      </c>
      <c r="I431" s="17" t="str">
        <v/>
      </c>
      <c r="J431" s="17">
        <v>0</v>
      </c>
      <c r="K431" s="38">
        <v>0</v>
      </c>
      <c r="L431" s="17" t="str">
        <v/>
      </c>
      <c r="M431" s="17">
        <v>0</v>
      </c>
      <c r="N431" s="17">
        <v>0</v>
      </c>
      <c r="O431" s="17" t="str">
        <v/>
      </c>
      <c r="P431" s="17" t="str">
        <v/>
      </c>
      <c r="Q431" s="17">
        <v>0</v>
      </c>
      <c r="R431" s="17">
        <v>0</v>
      </c>
      <c r="S431" s="17">
        <v>0</v>
      </c>
      <c r="T431" s="22">
        <v>0</v>
      </c>
    </row>
    <row r="432" spans="2:20" x14ac:dyDescent="0.25">
      <c r="B432" s="21">
        <v>0</v>
      </c>
      <c r="C432" s="17">
        <v>0</v>
      </c>
      <c r="D432" s="17">
        <v>0</v>
      </c>
      <c r="E432" s="17">
        <v>0</v>
      </c>
      <c r="F432" s="17">
        <v>0</v>
      </c>
      <c r="G432" s="17">
        <v>0</v>
      </c>
      <c r="H432" s="38">
        <v>0</v>
      </c>
      <c r="I432" s="17" t="str">
        <v/>
      </c>
      <c r="J432" s="17">
        <v>0</v>
      </c>
      <c r="K432" s="38">
        <v>0</v>
      </c>
      <c r="L432" s="17" t="str">
        <v/>
      </c>
      <c r="M432" s="17">
        <v>0</v>
      </c>
      <c r="N432" s="17">
        <v>0</v>
      </c>
      <c r="O432" s="17" t="str">
        <v/>
      </c>
      <c r="P432" s="17" t="str">
        <v/>
      </c>
      <c r="Q432" s="17">
        <v>0</v>
      </c>
      <c r="R432" s="17">
        <v>0</v>
      </c>
      <c r="S432" s="17">
        <v>0</v>
      </c>
      <c r="T432" s="22">
        <v>0</v>
      </c>
    </row>
    <row r="433" spans="2:20" x14ac:dyDescent="0.25">
      <c r="B433" s="21">
        <v>0</v>
      </c>
      <c r="C433" s="17">
        <v>0</v>
      </c>
      <c r="D433" s="17">
        <v>0</v>
      </c>
      <c r="E433" s="17">
        <v>0</v>
      </c>
      <c r="F433" s="17">
        <v>0</v>
      </c>
      <c r="G433" s="17">
        <v>0</v>
      </c>
      <c r="H433" s="38">
        <v>0</v>
      </c>
      <c r="I433" s="17" t="str">
        <v/>
      </c>
      <c r="J433" s="17">
        <v>0</v>
      </c>
      <c r="K433" s="38">
        <v>0</v>
      </c>
      <c r="L433" s="17" t="str">
        <v/>
      </c>
      <c r="M433" s="17">
        <v>0</v>
      </c>
      <c r="N433" s="17">
        <v>0</v>
      </c>
      <c r="O433" s="17" t="str">
        <v/>
      </c>
      <c r="P433" s="17" t="str">
        <v/>
      </c>
      <c r="Q433" s="17">
        <v>0</v>
      </c>
      <c r="R433" s="17">
        <v>0</v>
      </c>
      <c r="S433" s="17">
        <v>0</v>
      </c>
      <c r="T433" s="22">
        <v>0</v>
      </c>
    </row>
    <row r="434" spans="2:20" x14ac:dyDescent="0.25">
      <c r="B434" s="21">
        <v>0</v>
      </c>
      <c r="C434" s="17">
        <v>0</v>
      </c>
      <c r="D434" s="17">
        <v>0</v>
      </c>
      <c r="E434" s="17">
        <v>0</v>
      </c>
      <c r="F434" s="17">
        <v>0</v>
      </c>
      <c r="G434" s="17">
        <v>0</v>
      </c>
      <c r="H434" s="38">
        <v>0</v>
      </c>
      <c r="I434" s="17" t="str">
        <v/>
      </c>
      <c r="J434" s="17">
        <v>0</v>
      </c>
      <c r="K434" s="38">
        <v>0</v>
      </c>
      <c r="L434" s="17" t="str">
        <v/>
      </c>
      <c r="M434" s="17">
        <v>0</v>
      </c>
      <c r="N434" s="17">
        <v>0</v>
      </c>
      <c r="O434" s="17" t="str">
        <v/>
      </c>
      <c r="P434" s="17" t="str">
        <v/>
      </c>
      <c r="Q434" s="17">
        <v>0</v>
      </c>
      <c r="R434" s="17">
        <v>0</v>
      </c>
      <c r="S434" s="17">
        <v>0</v>
      </c>
      <c r="T434" s="22">
        <v>0</v>
      </c>
    </row>
    <row r="435" spans="2:20" x14ac:dyDescent="0.25">
      <c r="B435" s="21">
        <v>0</v>
      </c>
      <c r="C435" s="17">
        <v>0</v>
      </c>
      <c r="D435" s="17">
        <v>0</v>
      </c>
      <c r="E435" s="17">
        <v>0</v>
      </c>
      <c r="F435" s="17">
        <v>0</v>
      </c>
      <c r="G435" s="17">
        <v>0</v>
      </c>
      <c r="H435" s="38">
        <v>0</v>
      </c>
      <c r="I435" s="17" t="str">
        <v/>
      </c>
      <c r="J435" s="17">
        <v>0</v>
      </c>
      <c r="K435" s="38">
        <v>0</v>
      </c>
      <c r="L435" s="17" t="str">
        <v/>
      </c>
      <c r="M435" s="17">
        <v>0</v>
      </c>
      <c r="N435" s="17">
        <v>0</v>
      </c>
      <c r="O435" s="17" t="str">
        <v/>
      </c>
      <c r="P435" s="17" t="str">
        <v/>
      </c>
      <c r="Q435" s="17">
        <v>0</v>
      </c>
      <c r="R435" s="17">
        <v>0</v>
      </c>
      <c r="S435" s="17">
        <v>0</v>
      </c>
      <c r="T435" s="22">
        <v>0</v>
      </c>
    </row>
    <row r="436" spans="2:20" x14ac:dyDescent="0.25">
      <c r="B436" s="21">
        <v>0</v>
      </c>
      <c r="C436" s="17">
        <v>0</v>
      </c>
      <c r="D436" s="17">
        <v>0</v>
      </c>
      <c r="E436" s="17">
        <v>0</v>
      </c>
      <c r="F436" s="17">
        <v>0</v>
      </c>
      <c r="G436" s="17">
        <v>0</v>
      </c>
      <c r="H436" s="38">
        <v>0</v>
      </c>
      <c r="I436" s="17" t="str">
        <v/>
      </c>
      <c r="J436" s="17">
        <v>0</v>
      </c>
      <c r="K436" s="38">
        <v>0</v>
      </c>
      <c r="L436" s="17" t="str">
        <v/>
      </c>
      <c r="M436" s="17">
        <v>0</v>
      </c>
      <c r="N436" s="17">
        <v>0</v>
      </c>
      <c r="O436" s="17" t="str">
        <v/>
      </c>
      <c r="P436" s="17" t="str">
        <v/>
      </c>
      <c r="Q436" s="17">
        <v>0</v>
      </c>
      <c r="R436" s="17">
        <v>0</v>
      </c>
      <c r="S436" s="17">
        <v>0</v>
      </c>
      <c r="T436" s="22">
        <v>0</v>
      </c>
    </row>
    <row r="437" spans="2:20" x14ac:dyDescent="0.25">
      <c r="B437" s="21">
        <v>0</v>
      </c>
      <c r="C437" s="17">
        <v>0</v>
      </c>
      <c r="D437" s="17">
        <v>0</v>
      </c>
      <c r="E437" s="17">
        <v>0</v>
      </c>
      <c r="F437" s="17">
        <v>0</v>
      </c>
      <c r="G437" s="17">
        <v>0</v>
      </c>
      <c r="H437" s="38">
        <v>0</v>
      </c>
      <c r="I437" s="17" t="str">
        <v/>
      </c>
      <c r="J437" s="17">
        <v>0</v>
      </c>
      <c r="K437" s="38">
        <v>0</v>
      </c>
      <c r="L437" s="17" t="str">
        <v/>
      </c>
      <c r="M437" s="17">
        <v>0</v>
      </c>
      <c r="N437" s="17">
        <v>0</v>
      </c>
      <c r="O437" s="17" t="str">
        <v/>
      </c>
      <c r="P437" s="17" t="str">
        <v/>
      </c>
      <c r="Q437" s="17">
        <v>0</v>
      </c>
      <c r="R437" s="17">
        <v>0</v>
      </c>
      <c r="S437" s="17">
        <v>0</v>
      </c>
      <c r="T437" s="22">
        <v>0</v>
      </c>
    </row>
    <row r="438" spans="2:20" x14ac:dyDescent="0.25">
      <c r="B438" s="21">
        <v>0</v>
      </c>
      <c r="C438" s="17">
        <v>0</v>
      </c>
      <c r="D438" s="17">
        <v>0</v>
      </c>
      <c r="E438" s="17">
        <v>0</v>
      </c>
      <c r="F438" s="17">
        <v>0</v>
      </c>
      <c r="G438" s="17">
        <v>0</v>
      </c>
      <c r="H438" s="38">
        <v>0</v>
      </c>
      <c r="I438" s="17" t="str">
        <v/>
      </c>
      <c r="J438" s="17">
        <v>0</v>
      </c>
      <c r="K438" s="38">
        <v>0</v>
      </c>
      <c r="L438" s="17" t="str">
        <v/>
      </c>
      <c r="M438" s="17">
        <v>0</v>
      </c>
      <c r="N438" s="17">
        <v>0</v>
      </c>
      <c r="O438" s="17" t="str">
        <v/>
      </c>
      <c r="P438" s="17" t="str">
        <v/>
      </c>
      <c r="Q438" s="17">
        <v>0</v>
      </c>
      <c r="R438" s="17">
        <v>0</v>
      </c>
      <c r="S438" s="17">
        <v>0</v>
      </c>
      <c r="T438" s="22">
        <v>0</v>
      </c>
    </row>
    <row r="439" spans="2:20" x14ac:dyDescent="0.25">
      <c r="B439" s="21">
        <v>0</v>
      </c>
      <c r="C439" s="17">
        <v>0</v>
      </c>
      <c r="D439" s="17">
        <v>0</v>
      </c>
      <c r="E439" s="17">
        <v>0</v>
      </c>
      <c r="F439" s="17">
        <v>0</v>
      </c>
      <c r="G439" s="17">
        <v>0</v>
      </c>
      <c r="H439" s="38">
        <v>0</v>
      </c>
      <c r="I439" s="17" t="str">
        <v/>
      </c>
      <c r="J439" s="17">
        <v>0</v>
      </c>
      <c r="K439" s="38">
        <v>0</v>
      </c>
      <c r="L439" s="17" t="str">
        <v/>
      </c>
      <c r="M439" s="17">
        <v>0</v>
      </c>
      <c r="N439" s="17">
        <v>0</v>
      </c>
      <c r="O439" s="17" t="str">
        <v/>
      </c>
      <c r="P439" s="17" t="str">
        <v/>
      </c>
      <c r="Q439" s="17">
        <v>0</v>
      </c>
      <c r="R439" s="17">
        <v>0</v>
      </c>
      <c r="S439" s="17">
        <v>0</v>
      </c>
      <c r="T439" s="22">
        <v>0</v>
      </c>
    </row>
    <row r="440" spans="2:20" x14ac:dyDescent="0.25">
      <c r="B440" s="21">
        <v>0</v>
      </c>
      <c r="C440" s="17">
        <v>0</v>
      </c>
      <c r="D440" s="17">
        <v>0</v>
      </c>
      <c r="E440" s="17">
        <v>0</v>
      </c>
      <c r="F440" s="17">
        <v>0</v>
      </c>
      <c r="G440" s="17">
        <v>0</v>
      </c>
      <c r="H440" s="38">
        <v>0</v>
      </c>
      <c r="I440" s="17" t="str">
        <v/>
      </c>
      <c r="J440" s="17">
        <v>0</v>
      </c>
      <c r="K440" s="38">
        <v>0</v>
      </c>
      <c r="L440" s="17" t="str">
        <v/>
      </c>
      <c r="M440" s="17">
        <v>0</v>
      </c>
      <c r="N440" s="17">
        <v>0</v>
      </c>
      <c r="O440" s="17" t="str">
        <v/>
      </c>
      <c r="P440" s="17" t="str">
        <v/>
      </c>
      <c r="Q440" s="17">
        <v>0</v>
      </c>
      <c r="R440" s="17">
        <v>0</v>
      </c>
      <c r="S440" s="17">
        <v>0</v>
      </c>
      <c r="T440" s="22">
        <v>0</v>
      </c>
    </row>
    <row r="441" spans="2:20" x14ac:dyDescent="0.25">
      <c r="B441" s="21">
        <v>0</v>
      </c>
      <c r="C441" s="17">
        <v>0</v>
      </c>
      <c r="D441" s="17">
        <v>0</v>
      </c>
      <c r="E441" s="17">
        <v>0</v>
      </c>
      <c r="F441" s="17">
        <v>0</v>
      </c>
      <c r="G441" s="17">
        <v>0</v>
      </c>
      <c r="H441" s="38">
        <v>0</v>
      </c>
      <c r="I441" s="17" t="str">
        <v/>
      </c>
      <c r="J441" s="17">
        <v>0</v>
      </c>
      <c r="K441" s="38">
        <v>0</v>
      </c>
      <c r="L441" s="17" t="str">
        <v/>
      </c>
      <c r="M441" s="17">
        <v>0</v>
      </c>
      <c r="N441" s="17">
        <v>0</v>
      </c>
      <c r="O441" s="17" t="str">
        <v/>
      </c>
      <c r="P441" s="17" t="str">
        <v/>
      </c>
      <c r="Q441" s="17">
        <v>0</v>
      </c>
      <c r="R441" s="17">
        <v>0</v>
      </c>
      <c r="S441" s="17">
        <v>0</v>
      </c>
      <c r="T441" s="22">
        <v>0</v>
      </c>
    </row>
    <row r="442" spans="2:20" x14ac:dyDescent="0.25">
      <c r="B442" s="21">
        <v>0</v>
      </c>
      <c r="C442" s="17">
        <v>0</v>
      </c>
      <c r="D442" s="17">
        <v>0</v>
      </c>
      <c r="E442" s="17">
        <v>0</v>
      </c>
      <c r="F442" s="17">
        <v>0</v>
      </c>
      <c r="G442" s="17">
        <v>0</v>
      </c>
      <c r="H442" s="38">
        <v>0</v>
      </c>
      <c r="I442" s="17" t="str">
        <v/>
      </c>
      <c r="J442" s="17">
        <v>0</v>
      </c>
      <c r="K442" s="38">
        <v>0</v>
      </c>
      <c r="L442" s="17" t="str">
        <v/>
      </c>
      <c r="M442" s="17">
        <v>0</v>
      </c>
      <c r="N442" s="17">
        <v>0</v>
      </c>
      <c r="O442" s="17" t="str">
        <v/>
      </c>
      <c r="P442" s="17" t="str">
        <v/>
      </c>
      <c r="Q442" s="17">
        <v>0</v>
      </c>
      <c r="R442" s="17">
        <v>0</v>
      </c>
      <c r="S442" s="17">
        <v>0</v>
      </c>
      <c r="T442" s="22">
        <v>0</v>
      </c>
    </row>
    <row r="443" spans="2:20" x14ac:dyDescent="0.25">
      <c r="B443" s="21">
        <v>0</v>
      </c>
      <c r="C443" s="17">
        <v>0</v>
      </c>
      <c r="D443" s="17">
        <v>0</v>
      </c>
      <c r="E443" s="17">
        <v>0</v>
      </c>
      <c r="F443" s="17">
        <v>0</v>
      </c>
      <c r="G443" s="17">
        <v>0</v>
      </c>
      <c r="H443" s="38">
        <v>0</v>
      </c>
      <c r="I443" s="17" t="str">
        <v/>
      </c>
      <c r="J443" s="17">
        <v>0</v>
      </c>
      <c r="K443" s="38">
        <v>0</v>
      </c>
      <c r="L443" s="17" t="str">
        <v/>
      </c>
      <c r="M443" s="17">
        <v>0</v>
      </c>
      <c r="N443" s="17">
        <v>0</v>
      </c>
      <c r="O443" s="17" t="str">
        <v/>
      </c>
      <c r="P443" s="17" t="str">
        <v/>
      </c>
      <c r="Q443" s="17">
        <v>0</v>
      </c>
      <c r="R443" s="17">
        <v>0</v>
      </c>
      <c r="S443" s="17">
        <v>0</v>
      </c>
      <c r="T443" s="22">
        <v>0</v>
      </c>
    </row>
    <row r="444" spans="2:20" x14ac:dyDescent="0.25">
      <c r="B444" s="21">
        <v>0</v>
      </c>
      <c r="C444" s="17">
        <v>0</v>
      </c>
      <c r="D444" s="17">
        <v>0</v>
      </c>
      <c r="E444" s="17">
        <v>0</v>
      </c>
      <c r="F444" s="17">
        <v>0</v>
      </c>
      <c r="G444" s="17">
        <v>0</v>
      </c>
      <c r="H444" s="38">
        <v>0</v>
      </c>
      <c r="I444" s="17" t="str">
        <v/>
      </c>
      <c r="J444" s="17">
        <v>0</v>
      </c>
      <c r="K444" s="38">
        <v>0</v>
      </c>
      <c r="L444" s="17" t="str">
        <v/>
      </c>
      <c r="M444" s="17">
        <v>0</v>
      </c>
      <c r="N444" s="17">
        <v>0</v>
      </c>
      <c r="O444" s="17" t="str">
        <v/>
      </c>
      <c r="P444" s="17" t="str">
        <v/>
      </c>
      <c r="Q444" s="17">
        <v>0</v>
      </c>
      <c r="R444" s="17">
        <v>0</v>
      </c>
      <c r="S444" s="17">
        <v>0</v>
      </c>
      <c r="T444" s="22">
        <v>0</v>
      </c>
    </row>
    <row r="445" spans="2:20" x14ac:dyDescent="0.25">
      <c r="B445" s="21">
        <v>0</v>
      </c>
      <c r="C445" s="17">
        <v>0</v>
      </c>
      <c r="D445" s="17">
        <v>0</v>
      </c>
      <c r="E445" s="17">
        <v>0</v>
      </c>
      <c r="F445" s="17">
        <v>0</v>
      </c>
      <c r="G445" s="17">
        <v>0</v>
      </c>
      <c r="H445" s="38">
        <v>0</v>
      </c>
      <c r="I445" s="17" t="str">
        <v/>
      </c>
      <c r="J445" s="17">
        <v>0</v>
      </c>
      <c r="K445" s="38">
        <v>0</v>
      </c>
      <c r="L445" s="17" t="str">
        <v/>
      </c>
      <c r="M445" s="17">
        <v>0</v>
      </c>
      <c r="N445" s="17">
        <v>0</v>
      </c>
      <c r="O445" s="17" t="str">
        <v/>
      </c>
      <c r="P445" s="17" t="str">
        <v/>
      </c>
      <c r="Q445" s="17">
        <v>0</v>
      </c>
      <c r="R445" s="17">
        <v>0</v>
      </c>
      <c r="S445" s="17">
        <v>0</v>
      </c>
      <c r="T445" s="22">
        <v>0</v>
      </c>
    </row>
    <row r="446" spans="2:20" x14ac:dyDescent="0.25">
      <c r="B446" s="21">
        <v>0</v>
      </c>
      <c r="C446" s="17">
        <v>0</v>
      </c>
      <c r="D446" s="17">
        <v>0</v>
      </c>
      <c r="E446" s="17">
        <v>0</v>
      </c>
      <c r="F446" s="17">
        <v>0</v>
      </c>
      <c r="G446" s="17">
        <v>0</v>
      </c>
      <c r="H446" s="38">
        <v>0</v>
      </c>
      <c r="I446" s="17" t="str">
        <v/>
      </c>
      <c r="J446" s="17">
        <v>0</v>
      </c>
      <c r="K446" s="38">
        <v>0</v>
      </c>
      <c r="L446" s="17" t="str">
        <v/>
      </c>
      <c r="M446" s="17">
        <v>0</v>
      </c>
      <c r="N446" s="17">
        <v>0</v>
      </c>
      <c r="O446" s="17" t="str">
        <v/>
      </c>
      <c r="P446" s="17" t="str">
        <v/>
      </c>
      <c r="Q446" s="17">
        <v>0</v>
      </c>
      <c r="R446" s="17">
        <v>0</v>
      </c>
      <c r="S446" s="17">
        <v>0</v>
      </c>
      <c r="T446" s="22">
        <v>0</v>
      </c>
    </row>
    <row r="447" spans="2:20" x14ac:dyDescent="0.25">
      <c r="B447" s="21">
        <v>0</v>
      </c>
      <c r="C447" s="17">
        <v>0</v>
      </c>
      <c r="D447" s="17">
        <v>0</v>
      </c>
      <c r="E447" s="17">
        <v>0</v>
      </c>
      <c r="F447" s="17">
        <v>0</v>
      </c>
      <c r="G447" s="17">
        <v>0</v>
      </c>
      <c r="H447" s="38">
        <v>0</v>
      </c>
      <c r="I447" s="17" t="str">
        <v/>
      </c>
      <c r="J447" s="17">
        <v>0</v>
      </c>
      <c r="K447" s="38">
        <v>0</v>
      </c>
      <c r="L447" s="17" t="str">
        <v/>
      </c>
      <c r="M447" s="17">
        <v>0</v>
      </c>
      <c r="N447" s="17">
        <v>0</v>
      </c>
      <c r="O447" s="17" t="str">
        <v/>
      </c>
      <c r="P447" s="17" t="str">
        <v/>
      </c>
      <c r="Q447" s="17">
        <v>0</v>
      </c>
      <c r="R447" s="17">
        <v>0</v>
      </c>
      <c r="S447" s="17">
        <v>0</v>
      </c>
      <c r="T447" s="22">
        <v>0</v>
      </c>
    </row>
    <row r="448" spans="2:20" x14ac:dyDescent="0.25">
      <c r="B448" s="21">
        <v>0</v>
      </c>
      <c r="C448" s="17">
        <v>0</v>
      </c>
      <c r="D448" s="17">
        <v>0</v>
      </c>
      <c r="E448" s="17">
        <v>0</v>
      </c>
      <c r="F448" s="17">
        <v>0</v>
      </c>
      <c r="G448" s="17">
        <v>0</v>
      </c>
      <c r="H448" s="38">
        <v>0</v>
      </c>
      <c r="I448" s="17" t="str">
        <v/>
      </c>
      <c r="J448" s="17">
        <v>0</v>
      </c>
      <c r="K448" s="38">
        <v>0</v>
      </c>
      <c r="L448" s="17" t="str">
        <v/>
      </c>
      <c r="M448" s="17">
        <v>0</v>
      </c>
      <c r="N448" s="17">
        <v>0</v>
      </c>
      <c r="O448" s="17" t="str">
        <v/>
      </c>
      <c r="P448" s="17" t="str">
        <v/>
      </c>
      <c r="Q448" s="17">
        <v>0</v>
      </c>
      <c r="R448" s="17">
        <v>0</v>
      </c>
      <c r="S448" s="17">
        <v>0</v>
      </c>
      <c r="T448" s="22">
        <v>0</v>
      </c>
    </row>
    <row r="449" spans="2:20" x14ac:dyDescent="0.25">
      <c r="B449" s="21">
        <v>0</v>
      </c>
      <c r="C449" s="17">
        <v>0</v>
      </c>
      <c r="D449" s="17">
        <v>0</v>
      </c>
      <c r="E449" s="17">
        <v>0</v>
      </c>
      <c r="F449" s="17">
        <v>0</v>
      </c>
      <c r="G449" s="17">
        <v>0</v>
      </c>
      <c r="H449" s="38">
        <v>0</v>
      </c>
      <c r="I449" s="17" t="str">
        <v/>
      </c>
      <c r="J449" s="17">
        <v>0</v>
      </c>
      <c r="K449" s="38">
        <v>0</v>
      </c>
      <c r="L449" s="17" t="str">
        <v/>
      </c>
      <c r="M449" s="17">
        <v>0</v>
      </c>
      <c r="N449" s="17">
        <v>0</v>
      </c>
      <c r="O449" s="17" t="str">
        <v/>
      </c>
      <c r="P449" s="17" t="str">
        <v/>
      </c>
      <c r="Q449" s="17">
        <v>0</v>
      </c>
      <c r="R449" s="17">
        <v>0</v>
      </c>
      <c r="S449" s="17">
        <v>0</v>
      </c>
      <c r="T449" s="22">
        <v>0</v>
      </c>
    </row>
    <row r="450" spans="2:20" x14ac:dyDescent="0.25">
      <c r="B450" s="21">
        <v>0</v>
      </c>
      <c r="C450" s="17">
        <v>0</v>
      </c>
      <c r="D450" s="17">
        <v>0</v>
      </c>
      <c r="E450" s="17">
        <v>0</v>
      </c>
      <c r="F450" s="17">
        <v>0</v>
      </c>
      <c r="G450" s="17">
        <v>0</v>
      </c>
      <c r="H450" s="38">
        <v>0</v>
      </c>
      <c r="I450" s="17" t="str">
        <v/>
      </c>
      <c r="J450" s="17">
        <v>0</v>
      </c>
      <c r="K450" s="38">
        <v>0</v>
      </c>
      <c r="L450" s="17" t="str">
        <v/>
      </c>
      <c r="M450" s="17">
        <v>0</v>
      </c>
      <c r="N450" s="17">
        <v>0</v>
      </c>
      <c r="O450" s="17" t="str">
        <v/>
      </c>
      <c r="P450" s="17" t="str">
        <v/>
      </c>
      <c r="Q450" s="17">
        <v>0</v>
      </c>
      <c r="R450" s="17">
        <v>0</v>
      </c>
      <c r="S450" s="17">
        <v>0</v>
      </c>
      <c r="T450" s="22">
        <v>0</v>
      </c>
    </row>
    <row r="451" spans="2:20" x14ac:dyDescent="0.25">
      <c r="B451" s="21">
        <v>0</v>
      </c>
      <c r="C451" s="17">
        <v>0</v>
      </c>
      <c r="D451" s="17">
        <v>0</v>
      </c>
      <c r="E451" s="17">
        <v>0</v>
      </c>
      <c r="F451" s="17">
        <v>0</v>
      </c>
      <c r="G451" s="17">
        <v>0</v>
      </c>
      <c r="H451" s="38">
        <v>0</v>
      </c>
      <c r="I451" s="17" t="str">
        <v/>
      </c>
      <c r="J451" s="17">
        <v>0</v>
      </c>
      <c r="K451" s="38">
        <v>0</v>
      </c>
      <c r="L451" s="17" t="str">
        <v/>
      </c>
      <c r="M451" s="17">
        <v>0</v>
      </c>
      <c r="N451" s="17">
        <v>0</v>
      </c>
      <c r="O451" s="17" t="str">
        <v/>
      </c>
      <c r="P451" s="17" t="str">
        <v/>
      </c>
      <c r="Q451" s="17">
        <v>0</v>
      </c>
      <c r="R451" s="17">
        <v>0</v>
      </c>
      <c r="S451" s="17">
        <v>0</v>
      </c>
      <c r="T451" s="22">
        <v>0</v>
      </c>
    </row>
    <row r="452" spans="2:20" x14ac:dyDescent="0.25">
      <c r="B452" s="21">
        <v>0</v>
      </c>
      <c r="C452" s="17">
        <v>0</v>
      </c>
      <c r="D452" s="17">
        <v>0</v>
      </c>
      <c r="E452" s="17">
        <v>0</v>
      </c>
      <c r="F452" s="17">
        <v>0</v>
      </c>
      <c r="G452" s="17">
        <v>0</v>
      </c>
      <c r="H452" s="38">
        <v>0</v>
      </c>
      <c r="I452" s="17" t="str">
        <v/>
      </c>
      <c r="J452" s="17">
        <v>0</v>
      </c>
      <c r="K452" s="38">
        <v>0</v>
      </c>
      <c r="L452" s="17" t="str">
        <v/>
      </c>
      <c r="M452" s="17">
        <v>0</v>
      </c>
      <c r="N452" s="17">
        <v>0</v>
      </c>
      <c r="O452" s="17" t="str">
        <v/>
      </c>
      <c r="P452" s="17" t="str">
        <v/>
      </c>
      <c r="Q452" s="17">
        <v>0</v>
      </c>
      <c r="R452" s="17">
        <v>0</v>
      </c>
      <c r="S452" s="17">
        <v>0</v>
      </c>
      <c r="T452" s="22">
        <v>0</v>
      </c>
    </row>
    <row r="453" spans="2:20" x14ac:dyDescent="0.25">
      <c r="B453" s="21">
        <v>0</v>
      </c>
      <c r="C453" s="17">
        <v>0</v>
      </c>
      <c r="D453" s="17">
        <v>0</v>
      </c>
      <c r="E453" s="17">
        <v>0</v>
      </c>
      <c r="F453" s="17">
        <v>0</v>
      </c>
      <c r="G453" s="17">
        <v>0</v>
      </c>
      <c r="H453" s="38">
        <v>0</v>
      </c>
      <c r="I453" s="17" t="str">
        <v/>
      </c>
      <c r="J453" s="17">
        <v>0</v>
      </c>
      <c r="K453" s="38">
        <v>0</v>
      </c>
      <c r="L453" s="17" t="str">
        <v/>
      </c>
      <c r="M453" s="17">
        <v>0</v>
      </c>
      <c r="N453" s="17">
        <v>0</v>
      </c>
      <c r="O453" s="17" t="str">
        <v/>
      </c>
      <c r="P453" s="17" t="str">
        <v/>
      </c>
      <c r="Q453" s="17">
        <v>0</v>
      </c>
      <c r="R453" s="17">
        <v>0</v>
      </c>
      <c r="S453" s="17">
        <v>0</v>
      </c>
      <c r="T453" s="22">
        <v>0</v>
      </c>
    </row>
    <row r="454" spans="2:20" x14ac:dyDescent="0.25">
      <c r="B454" s="21">
        <v>0</v>
      </c>
      <c r="C454" s="17">
        <v>0</v>
      </c>
      <c r="D454" s="17">
        <v>0</v>
      </c>
      <c r="E454" s="17">
        <v>0</v>
      </c>
      <c r="F454" s="17">
        <v>0</v>
      </c>
      <c r="G454" s="17">
        <v>0</v>
      </c>
      <c r="H454" s="38">
        <v>0</v>
      </c>
      <c r="I454" s="17" t="str">
        <v/>
      </c>
      <c r="J454" s="17">
        <v>0</v>
      </c>
      <c r="K454" s="38">
        <v>0</v>
      </c>
      <c r="L454" s="17" t="str">
        <v/>
      </c>
      <c r="M454" s="17">
        <v>0</v>
      </c>
      <c r="N454" s="17">
        <v>0</v>
      </c>
      <c r="O454" s="17" t="str">
        <v/>
      </c>
      <c r="P454" s="17" t="str">
        <v/>
      </c>
      <c r="Q454" s="17">
        <v>0</v>
      </c>
      <c r="R454" s="17">
        <v>0</v>
      </c>
      <c r="S454" s="17">
        <v>0</v>
      </c>
      <c r="T454" s="22">
        <v>0</v>
      </c>
    </row>
    <row r="455" spans="2:20" x14ac:dyDescent="0.25">
      <c r="B455" s="21">
        <v>0</v>
      </c>
      <c r="C455" s="17">
        <v>0</v>
      </c>
      <c r="D455" s="17">
        <v>0</v>
      </c>
      <c r="E455" s="17">
        <v>0</v>
      </c>
      <c r="F455" s="17">
        <v>0</v>
      </c>
      <c r="G455" s="17">
        <v>0</v>
      </c>
      <c r="H455" s="38">
        <v>0</v>
      </c>
      <c r="I455" s="17" t="str">
        <v/>
      </c>
      <c r="J455" s="17">
        <v>0</v>
      </c>
      <c r="K455" s="38">
        <v>0</v>
      </c>
      <c r="L455" s="17" t="str">
        <v/>
      </c>
      <c r="M455" s="17">
        <v>0</v>
      </c>
      <c r="N455" s="17">
        <v>0</v>
      </c>
      <c r="O455" s="17" t="str">
        <v/>
      </c>
      <c r="P455" s="17" t="str">
        <v/>
      </c>
      <c r="Q455" s="17">
        <v>0</v>
      </c>
      <c r="R455" s="17">
        <v>0</v>
      </c>
      <c r="S455" s="17">
        <v>0</v>
      </c>
      <c r="T455" s="22">
        <v>0</v>
      </c>
    </row>
    <row r="456" spans="2:20" x14ac:dyDescent="0.25">
      <c r="B456" s="21">
        <v>0</v>
      </c>
      <c r="C456" s="17">
        <v>0</v>
      </c>
      <c r="D456" s="17">
        <v>0</v>
      </c>
      <c r="E456" s="17">
        <v>0</v>
      </c>
      <c r="F456" s="17">
        <v>0</v>
      </c>
      <c r="G456" s="17">
        <v>0</v>
      </c>
      <c r="H456" s="38">
        <v>0</v>
      </c>
      <c r="I456" s="17" t="str">
        <v/>
      </c>
      <c r="J456" s="17">
        <v>0</v>
      </c>
      <c r="K456" s="38">
        <v>0</v>
      </c>
      <c r="L456" s="17" t="str">
        <v/>
      </c>
      <c r="M456" s="17">
        <v>0</v>
      </c>
      <c r="N456" s="17">
        <v>0</v>
      </c>
      <c r="O456" s="17" t="str">
        <v/>
      </c>
      <c r="P456" s="17" t="str">
        <v/>
      </c>
      <c r="Q456" s="17">
        <v>0</v>
      </c>
      <c r="R456" s="17">
        <v>0</v>
      </c>
      <c r="S456" s="17">
        <v>0</v>
      </c>
      <c r="T456" s="22">
        <v>0</v>
      </c>
    </row>
    <row r="457" spans="2:20" x14ac:dyDescent="0.25">
      <c r="B457" s="21">
        <v>0</v>
      </c>
      <c r="C457" s="17">
        <v>0</v>
      </c>
      <c r="D457" s="17">
        <v>0</v>
      </c>
      <c r="E457" s="17">
        <v>0</v>
      </c>
      <c r="F457" s="17">
        <v>0</v>
      </c>
      <c r="G457" s="17">
        <v>0</v>
      </c>
      <c r="H457" s="38">
        <v>0</v>
      </c>
      <c r="I457" s="17" t="str">
        <v/>
      </c>
      <c r="J457" s="17">
        <v>0</v>
      </c>
      <c r="K457" s="38">
        <v>0</v>
      </c>
      <c r="L457" s="17" t="str">
        <v/>
      </c>
      <c r="M457" s="17">
        <v>0</v>
      </c>
      <c r="N457" s="17">
        <v>0</v>
      </c>
      <c r="O457" s="17" t="str">
        <v/>
      </c>
      <c r="P457" s="17" t="str">
        <v/>
      </c>
      <c r="Q457" s="17">
        <v>0</v>
      </c>
      <c r="R457" s="17">
        <v>0</v>
      </c>
      <c r="S457" s="17">
        <v>0</v>
      </c>
      <c r="T457" s="22">
        <v>0</v>
      </c>
    </row>
    <row r="458" spans="2:20" x14ac:dyDescent="0.25">
      <c r="B458" s="21">
        <v>0</v>
      </c>
      <c r="C458" s="17">
        <v>0</v>
      </c>
      <c r="D458" s="17">
        <v>0</v>
      </c>
      <c r="E458" s="17">
        <v>0</v>
      </c>
      <c r="F458" s="17">
        <v>0</v>
      </c>
      <c r="G458" s="17">
        <v>0</v>
      </c>
      <c r="H458" s="38">
        <v>0</v>
      </c>
      <c r="I458" s="17" t="str">
        <v/>
      </c>
      <c r="J458" s="17">
        <v>0</v>
      </c>
      <c r="K458" s="38">
        <v>0</v>
      </c>
      <c r="L458" s="17" t="str">
        <v/>
      </c>
      <c r="M458" s="17">
        <v>0</v>
      </c>
      <c r="N458" s="17">
        <v>0</v>
      </c>
      <c r="O458" s="17" t="str">
        <v/>
      </c>
      <c r="P458" s="17" t="str">
        <v/>
      </c>
      <c r="Q458" s="17">
        <v>0</v>
      </c>
      <c r="R458" s="17">
        <v>0</v>
      </c>
      <c r="S458" s="17">
        <v>0</v>
      </c>
      <c r="T458" s="22">
        <v>0</v>
      </c>
    </row>
    <row r="459" spans="2:20" x14ac:dyDescent="0.25">
      <c r="B459" s="21">
        <v>0</v>
      </c>
      <c r="C459" s="17">
        <v>0</v>
      </c>
      <c r="D459" s="17">
        <v>0</v>
      </c>
      <c r="E459" s="17">
        <v>0</v>
      </c>
      <c r="F459" s="17">
        <v>0</v>
      </c>
      <c r="G459" s="17">
        <v>0</v>
      </c>
      <c r="H459" s="38">
        <v>0</v>
      </c>
      <c r="I459" s="17" t="str">
        <v/>
      </c>
      <c r="J459" s="17">
        <v>0</v>
      </c>
      <c r="K459" s="38">
        <v>0</v>
      </c>
      <c r="L459" s="17" t="str">
        <v/>
      </c>
      <c r="M459" s="17">
        <v>0</v>
      </c>
      <c r="N459" s="17">
        <v>0</v>
      </c>
      <c r="O459" s="17" t="str">
        <v/>
      </c>
      <c r="P459" s="17" t="str">
        <v/>
      </c>
      <c r="Q459" s="17">
        <v>0</v>
      </c>
      <c r="R459" s="17">
        <v>0</v>
      </c>
      <c r="S459" s="17">
        <v>0</v>
      </c>
      <c r="T459" s="22">
        <v>0</v>
      </c>
    </row>
    <row r="460" spans="2:20" x14ac:dyDescent="0.25">
      <c r="B460" s="21">
        <v>0</v>
      </c>
      <c r="C460" s="17">
        <v>0</v>
      </c>
      <c r="D460" s="17">
        <v>0</v>
      </c>
      <c r="E460" s="17">
        <v>0</v>
      </c>
      <c r="F460" s="17">
        <v>0</v>
      </c>
      <c r="G460" s="17">
        <v>0</v>
      </c>
      <c r="H460" s="38">
        <v>0</v>
      </c>
      <c r="I460" s="17" t="str">
        <v/>
      </c>
      <c r="J460" s="17">
        <v>0</v>
      </c>
      <c r="K460" s="38">
        <v>0</v>
      </c>
      <c r="L460" s="17" t="str">
        <v/>
      </c>
      <c r="M460" s="17">
        <v>0</v>
      </c>
      <c r="N460" s="17">
        <v>0</v>
      </c>
      <c r="O460" s="17" t="str">
        <v/>
      </c>
      <c r="P460" s="17" t="str">
        <v/>
      </c>
      <c r="Q460" s="17">
        <v>0</v>
      </c>
      <c r="R460" s="17">
        <v>0</v>
      </c>
      <c r="S460" s="17">
        <v>0</v>
      </c>
      <c r="T460" s="22">
        <v>0</v>
      </c>
    </row>
    <row r="461" spans="2:20" x14ac:dyDescent="0.25">
      <c r="B461" s="21">
        <v>0</v>
      </c>
      <c r="C461" s="17">
        <v>0</v>
      </c>
      <c r="D461" s="17">
        <v>0</v>
      </c>
      <c r="E461" s="17">
        <v>0</v>
      </c>
      <c r="F461" s="17">
        <v>0</v>
      </c>
      <c r="G461" s="17">
        <v>0</v>
      </c>
      <c r="H461" s="38">
        <v>0</v>
      </c>
      <c r="I461" s="17" t="str">
        <v/>
      </c>
      <c r="J461" s="17">
        <v>0</v>
      </c>
      <c r="K461" s="38">
        <v>0</v>
      </c>
      <c r="L461" s="17" t="str">
        <v/>
      </c>
      <c r="M461" s="17">
        <v>0</v>
      </c>
      <c r="N461" s="17">
        <v>0</v>
      </c>
      <c r="O461" s="17" t="str">
        <v/>
      </c>
      <c r="P461" s="17" t="str">
        <v/>
      </c>
      <c r="Q461" s="17">
        <v>0</v>
      </c>
      <c r="R461" s="17">
        <v>0</v>
      </c>
      <c r="S461" s="17">
        <v>0</v>
      </c>
      <c r="T461" s="22">
        <v>0</v>
      </c>
    </row>
    <row r="462" spans="2:20" x14ac:dyDescent="0.25">
      <c r="B462" s="21">
        <v>0</v>
      </c>
      <c r="C462" s="17">
        <v>0</v>
      </c>
      <c r="D462" s="17">
        <v>0</v>
      </c>
      <c r="E462" s="17">
        <v>0</v>
      </c>
      <c r="F462" s="17">
        <v>0</v>
      </c>
      <c r="G462" s="17">
        <v>0</v>
      </c>
      <c r="H462" s="38">
        <v>0</v>
      </c>
      <c r="I462" s="17" t="str">
        <v/>
      </c>
      <c r="J462" s="17">
        <v>0</v>
      </c>
      <c r="K462" s="38">
        <v>0</v>
      </c>
      <c r="L462" s="17" t="str">
        <v/>
      </c>
      <c r="M462" s="17">
        <v>0</v>
      </c>
      <c r="N462" s="17">
        <v>0</v>
      </c>
      <c r="O462" s="17" t="str">
        <v/>
      </c>
      <c r="P462" s="17" t="str">
        <v/>
      </c>
      <c r="Q462" s="17">
        <v>0</v>
      </c>
      <c r="R462" s="17">
        <v>0</v>
      </c>
      <c r="S462" s="17">
        <v>0</v>
      </c>
      <c r="T462" s="22">
        <v>0</v>
      </c>
    </row>
    <row r="463" spans="2:20" x14ac:dyDescent="0.25">
      <c r="B463" s="21">
        <v>0</v>
      </c>
      <c r="C463" s="17">
        <v>0</v>
      </c>
      <c r="D463" s="17">
        <v>0</v>
      </c>
      <c r="E463" s="17">
        <v>0</v>
      </c>
      <c r="F463" s="17">
        <v>0</v>
      </c>
      <c r="G463" s="17">
        <v>0</v>
      </c>
      <c r="H463" s="38">
        <v>0</v>
      </c>
      <c r="I463" s="17" t="str">
        <v/>
      </c>
      <c r="J463" s="17">
        <v>0</v>
      </c>
      <c r="K463" s="38">
        <v>0</v>
      </c>
      <c r="L463" s="17" t="str">
        <v/>
      </c>
      <c r="M463" s="17">
        <v>0</v>
      </c>
      <c r="N463" s="17">
        <v>0</v>
      </c>
      <c r="O463" s="17" t="str">
        <v/>
      </c>
      <c r="P463" s="17" t="str">
        <v/>
      </c>
      <c r="Q463" s="17">
        <v>0</v>
      </c>
      <c r="R463" s="17">
        <v>0</v>
      </c>
      <c r="S463" s="17">
        <v>0</v>
      </c>
      <c r="T463" s="22">
        <v>0</v>
      </c>
    </row>
    <row r="464" spans="2:20" x14ac:dyDescent="0.25">
      <c r="B464" s="21">
        <v>0</v>
      </c>
      <c r="C464" s="17">
        <v>0</v>
      </c>
      <c r="D464" s="17">
        <v>0</v>
      </c>
      <c r="E464" s="17">
        <v>0</v>
      </c>
      <c r="F464" s="17">
        <v>0</v>
      </c>
      <c r="G464" s="17">
        <v>0</v>
      </c>
      <c r="H464" s="38">
        <v>0</v>
      </c>
      <c r="I464" s="17" t="str">
        <v/>
      </c>
      <c r="J464" s="17">
        <v>0</v>
      </c>
      <c r="K464" s="38">
        <v>0</v>
      </c>
      <c r="L464" s="17" t="str">
        <v/>
      </c>
      <c r="M464" s="17">
        <v>0</v>
      </c>
      <c r="N464" s="17">
        <v>0</v>
      </c>
      <c r="O464" s="17" t="str">
        <v/>
      </c>
      <c r="P464" s="17" t="str">
        <v/>
      </c>
      <c r="Q464" s="17">
        <v>0</v>
      </c>
      <c r="R464" s="17">
        <v>0</v>
      </c>
      <c r="S464" s="17">
        <v>0</v>
      </c>
      <c r="T464" s="22">
        <v>0</v>
      </c>
    </row>
    <row r="465" spans="2:20" x14ac:dyDescent="0.25">
      <c r="B465" s="21">
        <v>0</v>
      </c>
      <c r="C465" s="17">
        <v>0</v>
      </c>
      <c r="D465" s="17">
        <v>0</v>
      </c>
      <c r="E465" s="17">
        <v>0</v>
      </c>
      <c r="F465" s="17">
        <v>0</v>
      </c>
      <c r="G465" s="17">
        <v>0</v>
      </c>
      <c r="H465" s="38">
        <v>0</v>
      </c>
      <c r="I465" s="17" t="str">
        <v/>
      </c>
      <c r="J465" s="17">
        <v>0</v>
      </c>
      <c r="K465" s="38">
        <v>0</v>
      </c>
      <c r="L465" s="17" t="str">
        <v/>
      </c>
      <c r="M465" s="17">
        <v>0</v>
      </c>
      <c r="N465" s="17">
        <v>0</v>
      </c>
      <c r="O465" s="17" t="str">
        <v/>
      </c>
      <c r="P465" s="17" t="str">
        <v/>
      </c>
      <c r="Q465" s="17">
        <v>0</v>
      </c>
      <c r="R465" s="17">
        <v>0</v>
      </c>
      <c r="S465" s="17">
        <v>0</v>
      </c>
      <c r="T465" s="22">
        <v>0</v>
      </c>
    </row>
    <row r="466" spans="2:20" x14ac:dyDescent="0.25">
      <c r="B466" s="21">
        <v>0</v>
      </c>
      <c r="C466" s="17">
        <v>0</v>
      </c>
      <c r="D466" s="17">
        <v>0</v>
      </c>
      <c r="E466" s="17">
        <v>0</v>
      </c>
      <c r="F466" s="17">
        <v>0</v>
      </c>
      <c r="G466" s="17">
        <v>0</v>
      </c>
      <c r="H466" s="38">
        <v>0</v>
      </c>
      <c r="I466" s="17" t="str">
        <v/>
      </c>
      <c r="J466" s="17">
        <v>0</v>
      </c>
      <c r="K466" s="38">
        <v>0</v>
      </c>
      <c r="L466" s="17" t="str">
        <v/>
      </c>
      <c r="M466" s="17">
        <v>0</v>
      </c>
      <c r="N466" s="17">
        <v>0</v>
      </c>
      <c r="O466" s="17" t="str">
        <v/>
      </c>
      <c r="P466" s="17" t="str">
        <v/>
      </c>
      <c r="Q466" s="17">
        <v>0</v>
      </c>
      <c r="R466" s="17">
        <v>0</v>
      </c>
      <c r="S466" s="17">
        <v>0</v>
      </c>
      <c r="T466" s="22">
        <v>0</v>
      </c>
    </row>
    <row r="467" spans="2:20" x14ac:dyDescent="0.25">
      <c r="B467" s="21">
        <v>0</v>
      </c>
      <c r="C467" s="17">
        <v>0</v>
      </c>
      <c r="D467" s="17">
        <v>0</v>
      </c>
      <c r="E467" s="17">
        <v>0</v>
      </c>
      <c r="F467" s="17">
        <v>0</v>
      </c>
      <c r="G467" s="17">
        <v>0</v>
      </c>
      <c r="H467" s="38">
        <v>0</v>
      </c>
      <c r="I467" s="17" t="str">
        <v/>
      </c>
      <c r="J467" s="17">
        <v>0</v>
      </c>
      <c r="K467" s="38">
        <v>0</v>
      </c>
      <c r="L467" s="17" t="str">
        <v/>
      </c>
      <c r="M467" s="17">
        <v>0</v>
      </c>
      <c r="N467" s="17">
        <v>0</v>
      </c>
      <c r="O467" s="17" t="str">
        <v/>
      </c>
      <c r="P467" s="17" t="str">
        <v/>
      </c>
      <c r="Q467" s="17">
        <v>0</v>
      </c>
      <c r="R467" s="17">
        <v>0</v>
      </c>
      <c r="S467" s="17">
        <v>0</v>
      </c>
      <c r="T467" s="22">
        <v>0</v>
      </c>
    </row>
    <row r="468" spans="2:20" x14ac:dyDescent="0.25">
      <c r="B468" s="21">
        <v>0</v>
      </c>
      <c r="C468" s="17">
        <v>0</v>
      </c>
      <c r="D468" s="17">
        <v>0</v>
      </c>
      <c r="E468" s="17">
        <v>0</v>
      </c>
      <c r="F468" s="17">
        <v>0</v>
      </c>
      <c r="G468" s="17">
        <v>0</v>
      </c>
      <c r="H468" s="38">
        <v>0</v>
      </c>
      <c r="I468" s="17" t="str">
        <v/>
      </c>
      <c r="J468" s="17">
        <v>0</v>
      </c>
      <c r="K468" s="38">
        <v>0</v>
      </c>
      <c r="L468" s="17" t="str">
        <v/>
      </c>
      <c r="M468" s="17">
        <v>0</v>
      </c>
      <c r="N468" s="17">
        <v>0</v>
      </c>
      <c r="O468" s="17" t="str">
        <v/>
      </c>
      <c r="P468" s="17" t="str">
        <v/>
      </c>
      <c r="Q468" s="17">
        <v>0</v>
      </c>
      <c r="R468" s="17">
        <v>0</v>
      </c>
      <c r="S468" s="17">
        <v>0</v>
      </c>
      <c r="T468" s="22">
        <v>0</v>
      </c>
    </row>
    <row r="469" spans="2:20" x14ac:dyDescent="0.25">
      <c r="B469" s="21">
        <v>0</v>
      </c>
      <c r="C469" s="17">
        <v>0</v>
      </c>
      <c r="D469" s="17">
        <v>0</v>
      </c>
      <c r="E469" s="17">
        <v>0</v>
      </c>
      <c r="F469" s="17">
        <v>0</v>
      </c>
      <c r="G469" s="17">
        <v>0</v>
      </c>
      <c r="H469" s="38">
        <v>0</v>
      </c>
      <c r="I469" s="17" t="str">
        <v/>
      </c>
      <c r="J469" s="17">
        <v>0</v>
      </c>
      <c r="K469" s="38">
        <v>0</v>
      </c>
      <c r="L469" s="17" t="str">
        <v/>
      </c>
      <c r="M469" s="17">
        <v>0</v>
      </c>
      <c r="N469" s="17">
        <v>0</v>
      </c>
      <c r="O469" s="17" t="str">
        <v/>
      </c>
      <c r="P469" s="17" t="str">
        <v/>
      </c>
      <c r="Q469" s="17">
        <v>0</v>
      </c>
      <c r="R469" s="17">
        <v>0</v>
      </c>
      <c r="S469" s="17">
        <v>0</v>
      </c>
      <c r="T469" s="22">
        <v>0</v>
      </c>
    </row>
    <row r="470" spans="2:20" x14ac:dyDescent="0.25">
      <c r="B470" s="21">
        <v>0</v>
      </c>
      <c r="C470" s="17">
        <v>0</v>
      </c>
      <c r="D470" s="17">
        <v>0</v>
      </c>
      <c r="E470" s="17">
        <v>0</v>
      </c>
      <c r="F470" s="17">
        <v>0</v>
      </c>
      <c r="G470" s="17">
        <v>0</v>
      </c>
      <c r="H470" s="38">
        <v>0</v>
      </c>
      <c r="I470" s="17" t="str">
        <v/>
      </c>
      <c r="J470" s="17">
        <v>0</v>
      </c>
      <c r="K470" s="38">
        <v>0</v>
      </c>
      <c r="L470" s="17" t="str">
        <v/>
      </c>
      <c r="M470" s="17">
        <v>0</v>
      </c>
      <c r="N470" s="17">
        <v>0</v>
      </c>
      <c r="O470" s="17" t="str">
        <v/>
      </c>
      <c r="P470" s="17" t="str">
        <v/>
      </c>
      <c r="Q470" s="17">
        <v>0</v>
      </c>
      <c r="R470" s="17">
        <v>0</v>
      </c>
      <c r="S470" s="17">
        <v>0</v>
      </c>
      <c r="T470" s="22">
        <v>0</v>
      </c>
    </row>
    <row r="471" spans="2:20" x14ac:dyDescent="0.25">
      <c r="B471" s="21">
        <v>0</v>
      </c>
      <c r="C471" s="17">
        <v>0</v>
      </c>
      <c r="D471" s="17">
        <v>0</v>
      </c>
      <c r="E471" s="17">
        <v>0</v>
      </c>
      <c r="F471" s="17">
        <v>0</v>
      </c>
      <c r="G471" s="17">
        <v>0</v>
      </c>
      <c r="H471" s="38">
        <v>0</v>
      </c>
      <c r="I471" s="17" t="str">
        <v/>
      </c>
      <c r="J471" s="17">
        <v>0</v>
      </c>
      <c r="K471" s="38">
        <v>0</v>
      </c>
      <c r="L471" s="17" t="str">
        <v/>
      </c>
      <c r="M471" s="17">
        <v>0</v>
      </c>
      <c r="N471" s="17">
        <v>0</v>
      </c>
      <c r="O471" s="17" t="str">
        <v/>
      </c>
      <c r="P471" s="17" t="str">
        <v/>
      </c>
      <c r="Q471" s="17">
        <v>0</v>
      </c>
      <c r="R471" s="17">
        <v>0</v>
      </c>
      <c r="S471" s="17">
        <v>0</v>
      </c>
      <c r="T471" s="22">
        <v>0</v>
      </c>
    </row>
    <row r="472" spans="2:20" x14ac:dyDescent="0.25">
      <c r="B472" s="21">
        <v>0</v>
      </c>
      <c r="C472" s="17">
        <v>0</v>
      </c>
      <c r="D472" s="17">
        <v>0</v>
      </c>
      <c r="E472" s="17">
        <v>0</v>
      </c>
      <c r="F472" s="17">
        <v>0</v>
      </c>
      <c r="G472" s="17">
        <v>0</v>
      </c>
      <c r="H472" s="38">
        <v>0</v>
      </c>
      <c r="I472" s="17" t="str">
        <v/>
      </c>
      <c r="J472" s="17">
        <v>0</v>
      </c>
      <c r="K472" s="38">
        <v>0</v>
      </c>
      <c r="L472" s="17" t="str">
        <v/>
      </c>
      <c r="M472" s="17">
        <v>0</v>
      </c>
      <c r="N472" s="17">
        <v>0</v>
      </c>
      <c r="O472" s="17" t="str">
        <v/>
      </c>
      <c r="P472" s="17" t="str">
        <v/>
      </c>
      <c r="Q472" s="17">
        <v>0</v>
      </c>
      <c r="R472" s="17">
        <v>0</v>
      </c>
      <c r="S472" s="17">
        <v>0</v>
      </c>
      <c r="T472" s="22">
        <v>0</v>
      </c>
    </row>
    <row r="473" spans="2:20" x14ac:dyDescent="0.25">
      <c r="B473" s="21">
        <v>0</v>
      </c>
      <c r="C473" s="17">
        <v>0</v>
      </c>
      <c r="D473" s="17">
        <v>0</v>
      </c>
      <c r="E473" s="17">
        <v>0</v>
      </c>
      <c r="F473" s="17">
        <v>0</v>
      </c>
      <c r="G473" s="17">
        <v>0</v>
      </c>
      <c r="H473" s="38">
        <v>0</v>
      </c>
      <c r="I473" s="17" t="str">
        <v/>
      </c>
      <c r="J473" s="17">
        <v>0</v>
      </c>
      <c r="K473" s="38">
        <v>0</v>
      </c>
      <c r="L473" s="17" t="str">
        <v/>
      </c>
      <c r="M473" s="17">
        <v>0</v>
      </c>
      <c r="N473" s="17">
        <v>0</v>
      </c>
      <c r="O473" s="17" t="str">
        <v/>
      </c>
      <c r="P473" s="17" t="str">
        <v/>
      </c>
      <c r="Q473" s="17">
        <v>0</v>
      </c>
      <c r="R473" s="17">
        <v>0</v>
      </c>
      <c r="S473" s="17">
        <v>0</v>
      </c>
      <c r="T473" s="22">
        <v>0</v>
      </c>
    </row>
    <row r="474" spans="2:20" x14ac:dyDescent="0.25">
      <c r="B474" s="21">
        <v>0</v>
      </c>
      <c r="C474" s="17">
        <v>0</v>
      </c>
      <c r="D474" s="17">
        <v>0</v>
      </c>
      <c r="E474" s="17">
        <v>0</v>
      </c>
      <c r="F474" s="17">
        <v>0</v>
      </c>
      <c r="G474" s="17">
        <v>0</v>
      </c>
      <c r="H474" s="38">
        <v>0</v>
      </c>
      <c r="I474" s="17" t="str">
        <v/>
      </c>
      <c r="J474" s="17">
        <v>0</v>
      </c>
      <c r="K474" s="38">
        <v>0</v>
      </c>
      <c r="L474" s="17" t="str">
        <v/>
      </c>
      <c r="M474" s="17">
        <v>0</v>
      </c>
      <c r="N474" s="17">
        <v>0</v>
      </c>
      <c r="O474" s="17" t="str">
        <v/>
      </c>
      <c r="P474" s="17" t="str">
        <v/>
      </c>
      <c r="Q474" s="17">
        <v>0</v>
      </c>
      <c r="R474" s="17">
        <v>0</v>
      </c>
      <c r="S474" s="17">
        <v>0</v>
      </c>
      <c r="T474" s="22">
        <v>0</v>
      </c>
    </row>
    <row r="475" spans="2:20" x14ac:dyDescent="0.25">
      <c r="B475" s="21">
        <v>0</v>
      </c>
      <c r="C475" s="17">
        <v>0</v>
      </c>
      <c r="D475" s="17">
        <v>0</v>
      </c>
      <c r="E475" s="17">
        <v>0</v>
      </c>
      <c r="F475" s="17">
        <v>0</v>
      </c>
      <c r="G475" s="17">
        <v>0</v>
      </c>
      <c r="H475" s="38">
        <v>0</v>
      </c>
      <c r="I475" s="17" t="str">
        <v/>
      </c>
      <c r="J475" s="17">
        <v>0</v>
      </c>
      <c r="K475" s="38">
        <v>0</v>
      </c>
      <c r="L475" s="17" t="str">
        <v/>
      </c>
      <c r="M475" s="17">
        <v>0</v>
      </c>
      <c r="N475" s="17">
        <v>0</v>
      </c>
      <c r="O475" s="17" t="str">
        <v/>
      </c>
      <c r="P475" s="17" t="str">
        <v/>
      </c>
      <c r="Q475" s="17">
        <v>0</v>
      </c>
      <c r="R475" s="17">
        <v>0</v>
      </c>
      <c r="S475" s="17">
        <v>0</v>
      </c>
      <c r="T475" s="22">
        <v>0</v>
      </c>
    </row>
    <row r="476" spans="2:20" x14ac:dyDescent="0.25">
      <c r="B476" s="21">
        <v>0</v>
      </c>
      <c r="C476" s="17">
        <v>0</v>
      </c>
      <c r="D476" s="17">
        <v>0</v>
      </c>
      <c r="E476" s="17">
        <v>0</v>
      </c>
      <c r="F476" s="17">
        <v>0</v>
      </c>
      <c r="G476" s="17">
        <v>0</v>
      </c>
      <c r="H476" s="38">
        <v>0</v>
      </c>
      <c r="I476" s="17" t="str">
        <v/>
      </c>
      <c r="J476" s="17">
        <v>0</v>
      </c>
      <c r="K476" s="38">
        <v>0</v>
      </c>
      <c r="L476" s="17" t="str">
        <v/>
      </c>
      <c r="M476" s="17">
        <v>0</v>
      </c>
      <c r="N476" s="17">
        <v>0</v>
      </c>
      <c r="O476" s="17" t="str">
        <v/>
      </c>
      <c r="P476" s="17" t="str">
        <v/>
      </c>
      <c r="Q476" s="17">
        <v>0</v>
      </c>
      <c r="R476" s="17">
        <v>0</v>
      </c>
      <c r="S476" s="17">
        <v>0</v>
      </c>
      <c r="T476" s="22">
        <v>0</v>
      </c>
    </row>
    <row r="477" spans="2:20" x14ac:dyDescent="0.25">
      <c r="B477" s="21">
        <v>0</v>
      </c>
      <c r="C477" s="17">
        <v>0</v>
      </c>
      <c r="D477" s="17">
        <v>0</v>
      </c>
      <c r="E477" s="17">
        <v>0</v>
      </c>
      <c r="F477" s="17">
        <v>0</v>
      </c>
      <c r="G477" s="17">
        <v>0</v>
      </c>
      <c r="H477" s="38">
        <v>0</v>
      </c>
      <c r="I477" s="17" t="str">
        <v/>
      </c>
      <c r="J477" s="17">
        <v>0</v>
      </c>
      <c r="K477" s="38">
        <v>0</v>
      </c>
      <c r="L477" s="17" t="str">
        <v/>
      </c>
      <c r="M477" s="17">
        <v>0</v>
      </c>
      <c r="N477" s="17">
        <v>0</v>
      </c>
      <c r="O477" s="17" t="str">
        <v/>
      </c>
      <c r="P477" s="17" t="str">
        <v/>
      </c>
      <c r="Q477" s="17">
        <v>0</v>
      </c>
      <c r="R477" s="17">
        <v>0</v>
      </c>
      <c r="S477" s="17">
        <v>0</v>
      </c>
      <c r="T477" s="22">
        <v>0</v>
      </c>
    </row>
    <row r="478" spans="2:20" x14ac:dyDescent="0.25">
      <c r="B478" s="21">
        <v>0</v>
      </c>
      <c r="C478" s="17">
        <v>0</v>
      </c>
      <c r="D478" s="17">
        <v>0</v>
      </c>
      <c r="E478" s="17">
        <v>0</v>
      </c>
      <c r="F478" s="17">
        <v>0</v>
      </c>
      <c r="G478" s="17">
        <v>0</v>
      </c>
      <c r="H478" s="38">
        <v>0</v>
      </c>
      <c r="I478" s="17" t="str">
        <v/>
      </c>
      <c r="J478" s="17">
        <v>0</v>
      </c>
      <c r="K478" s="38">
        <v>0</v>
      </c>
      <c r="L478" s="17" t="str">
        <v/>
      </c>
      <c r="M478" s="17">
        <v>0</v>
      </c>
      <c r="N478" s="17">
        <v>0</v>
      </c>
      <c r="O478" s="17" t="str">
        <v/>
      </c>
      <c r="P478" s="17" t="str">
        <v/>
      </c>
      <c r="Q478" s="17">
        <v>0</v>
      </c>
      <c r="R478" s="17">
        <v>0</v>
      </c>
      <c r="S478" s="17">
        <v>0</v>
      </c>
      <c r="T478" s="22">
        <v>0</v>
      </c>
    </row>
    <row r="479" spans="2:20" x14ac:dyDescent="0.25">
      <c r="B479" s="21">
        <v>0</v>
      </c>
      <c r="C479" s="17">
        <v>0</v>
      </c>
      <c r="D479" s="17">
        <v>0</v>
      </c>
      <c r="E479" s="17">
        <v>0</v>
      </c>
      <c r="F479" s="17">
        <v>0</v>
      </c>
      <c r="G479" s="17">
        <v>0</v>
      </c>
      <c r="H479" s="38">
        <v>0</v>
      </c>
      <c r="I479" s="17" t="str">
        <v/>
      </c>
      <c r="J479" s="17">
        <v>0</v>
      </c>
      <c r="K479" s="38">
        <v>0</v>
      </c>
      <c r="L479" s="17" t="str">
        <v/>
      </c>
      <c r="M479" s="17">
        <v>0</v>
      </c>
      <c r="N479" s="17">
        <v>0</v>
      </c>
      <c r="O479" s="17" t="str">
        <v/>
      </c>
      <c r="P479" s="17" t="str">
        <v/>
      </c>
      <c r="Q479" s="17">
        <v>0</v>
      </c>
      <c r="R479" s="17">
        <v>0</v>
      </c>
      <c r="S479" s="17">
        <v>0</v>
      </c>
      <c r="T479" s="22">
        <v>0</v>
      </c>
    </row>
    <row r="480" spans="2:20" x14ac:dyDescent="0.25">
      <c r="B480" s="21">
        <v>0</v>
      </c>
      <c r="C480" s="17">
        <v>0</v>
      </c>
      <c r="D480" s="17">
        <v>0</v>
      </c>
      <c r="E480" s="17">
        <v>0</v>
      </c>
      <c r="F480" s="17">
        <v>0</v>
      </c>
      <c r="G480" s="17">
        <v>0</v>
      </c>
      <c r="H480" s="38">
        <v>0</v>
      </c>
      <c r="I480" s="17" t="str">
        <v/>
      </c>
      <c r="J480" s="17">
        <v>0</v>
      </c>
      <c r="K480" s="38">
        <v>0</v>
      </c>
      <c r="L480" s="17" t="str">
        <v/>
      </c>
      <c r="M480" s="17">
        <v>0</v>
      </c>
      <c r="N480" s="17">
        <v>0</v>
      </c>
      <c r="O480" s="17" t="str">
        <v/>
      </c>
      <c r="P480" s="17" t="str">
        <v/>
      </c>
      <c r="Q480" s="17">
        <v>0</v>
      </c>
      <c r="R480" s="17">
        <v>0</v>
      </c>
      <c r="S480" s="17">
        <v>0</v>
      </c>
      <c r="T480" s="22">
        <v>0</v>
      </c>
    </row>
    <row r="481" spans="2:20" x14ac:dyDescent="0.25">
      <c r="B481" s="21">
        <v>0</v>
      </c>
      <c r="C481" s="17">
        <v>0</v>
      </c>
      <c r="D481" s="17">
        <v>0</v>
      </c>
      <c r="E481" s="17">
        <v>0</v>
      </c>
      <c r="F481" s="17">
        <v>0</v>
      </c>
      <c r="G481" s="17">
        <v>0</v>
      </c>
      <c r="H481" s="38">
        <v>0</v>
      </c>
      <c r="I481" s="17" t="str">
        <v/>
      </c>
      <c r="J481" s="17">
        <v>0</v>
      </c>
      <c r="K481" s="38">
        <v>0</v>
      </c>
      <c r="L481" s="17" t="str">
        <v/>
      </c>
      <c r="M481" s="17">
        <v>0</v>
      </c>
      <c r="N481" s="17">
        <v>0</v>
      </c>
      <c r="O481" s="17" t="str">
        <v/>
      </c>
      <c r="P481" s="17" t="str">
        <v/>
      </c>
      <c r="Q481" s="17">
        <v>0</v>
      </c>
      <c r="R481" s="17">
        <v>0</v>
      </c>
      <c r="S481" s="17">
        <v>0</v>
      </c>
      <c r="T481" s="22">
        <v>0</v>
      </c>
    </row>
    <row r="482" spans="2:20" x14ac:dyDescent="0.25">
      <c r="B482" s="21">
        <v>0</v>
      </c>
      <c r="C482" s="17">
        <v>0</v>
      </c>
      <c r="D482" s="17">
        <v>0</v>
      </c>
      <c r="E482" s="17">
        <v>0</v>
      </c>
      <c r="F482" s="17">
        <v>0</v>
      </c>
      <c r="G482" s="17">
        <v>0</v>
      </c>
      <c r="H482" s="38">
        <v>0</v>
      </c>
      <c r="I482" s="17" t="str">
        <v/>
      </c>
      <c r="J482" s="17">
        <v>0</v>
      </c>
      <c r="K482" s="38">
        <v>0</v>
      </c>
      <c r="L482" s="17" t="str">
        <v/>
      </c>
      <c r="M482" s="17">
        <v>0</v>
      </c>
      <c r="N482" s="17">
        <v>0</v>
      </c>
      <c r="O482" s="17" t="str">
        <v/>
      </c>
      <c r="P482" s="17" t="str">
        <v/>
      </c>
      <c r="Q482" s="17">
        <v>0</v>
      </c>
      <c r="R482" s="17">
        <v>0</v>
      </c>
      <c r="S482" s="17">
        <v>0</v>
      </c>
      <c r="T482" s="22">
        <v>0</v>
      </c>
    </row>
    <row r="483" spans="2:20" x14ac:dyDescent="0.25">
      <c r="B483" s="21">
        <v>0</v>
      </c>
      <c r="C483" s="17">
        <v>0</v>
      </c>
      <c r="D483" s="17">
        <v>0</v>
      </c>
      <c r="E483" s="17">
        <v>0</v>
      </c>
      <c r="F483" s="17">
        <v>0</v>
      </c>
      <c r="G483" s="17">
        <v>0</v>
      </c>
      <c r="H483" s="38">
        <v>0</v>
      </c>
      <c r="I483" s="17" t="str">
        <v/>
      </c>
      <c r="J483" s="17">
        <v>0</v>
      </c>
      <c r="K483" s="38">
        <v>0</v>
      </c>
      <c r="L483" s="17" t="str">
        <v/>
      </c>
      <c r="M483" s="17">
        <v>0</v>
      </c>
      <c r="N483" s="17">
        <v>0</v>
      </c>
      <c r="O483" s="17" t="str">
        <v/>
      </c>
      <c r="P483" s="17" t="str">
        <v/>
      </c>
      <c r="Q483" s="17">
        <v>0</v>
      </c>
      <c r="R483" s="17">
        <v>0</v>
      </c>
      <c r="S483" s="17">
        <v>0</v>
      </c>
      <c r="T483" s="22">
        <v>0</v>
      </c>
    </row>
    <row r="484" spans="2:20" x14ac:dyDescent="0.25">
      <c r="B484" s="21">
        <v>0</v>
      </c>
      <c r="C484" s="17">
        <v>0</v>
      </c>
      <c r="D484" s="17">
        <v>0</v>
      </c>
      <c r="E484" s="17">
        <v>0</v>
      </c>
      <c r="F484" s="17">
        <v>0</v>
      </c>
      <c r="G484" s="17">
        <v>0</v>
      </c>
      <c r="H484" s="38">
        <v>0</v>
      </c>
      <c r="I484" s="17" t="str">
        <v/>
      </c>
      <c r="J484" s="17">
        <v>0</v>
      </c>
      <c r="K484" s="38">
        <v>0</v>
      </c>
      <c r="L484" s="17" t="str">
        <v/>
      </c>
      <c r="M484" s="17">
        <v>0</v>
      </c>
      <c r="N484" s="17">
        <v>0</v>
      </c>
      <c r="O484" s="17" t="str">
        <v/>
      </c>
      <c r="P484" s="17" t="str">
        <v/>
      </c>
      <c r="Q484" s="17">
        <v>0</v>
      </c>
      <c r="R484" s="17">
        <v>0</v>
      </c>
      <c r="S484" s="17">
        <v>0</v>
      </c>
      <c r="T484" s="22">
        <v>0</v>
      </c>
    </row>
    <row r="485" spans="2:20" x14ac:dyDescent="0.25">
      <c r="B485" s="21">
        <v>0</v>
      </c>
      <c r="C485" s="17">
        <v>0</v>
      </c>
      <c r="D485" s="17">
        <v>0</v>
      </c>
      <c r="E485" s="17">
        <v>0</v>
      </c>
      <c r="F485" s="17">
        <v>0</v>
      </c>
      <c r="G485" s="17">
        <v>0</v>
      </c>
      <c r="H485" s="38">
        <v>0</v>
      </c>
      <c r="I485" s="17" t="str">
        <v/>
      </c>
      <c r="J485" s="17">
        <v>0</v>
      </c>
      <c r="K485" s="38">
        <v>0</v>
      </c>
      <c r="L485" s="17" t="str">
        <v/>
      </c>
      <c r="M485" s="17">
        <v>0</v>
      </c>
      <c r="N485" s="17">
        <v>0</v>
      </c>
      <c r="O485" s="17" t="str">
        <v/>
      </c>
      <c r="P485" s="17" t="str">
        <v/>
      </c>
      <c r="Q485" s="17">
        <v>0</v>
      </c>
      <c r="R485" s="17">
        <v>0</v>
      </c>
      <c r="S485" s="17">
        <v>0</v>
      </c>
      <c r="T485" s="22">
        <v>0</v>
      </c>
    </row>
    <row r="486" spans="2:20" x14ac:dyDescent="0.25">
      <c r="B486" s="21">
        <v>0</v>
      </c>
      <c r="C486" s="17">
        <v>0</v>
      </c>
      <c r="D486" s="17">
        <v>0</v>
      </c>
      <c r="E486" s="17">
        <v>0</v>
      </c>
      <c r="F486" s="17">
        <v>0</v>
      </c>
      <c r="G486" s="17">
        <v>0</v>
      </c>
      <c r="H486" s="38">
        <v>0</v>
      </c>
      <c r="I486" s="17" t="str">
        <v/>
      </c>
      <c r="J486" s="17">
        <v>0</v>
      </c>
      <c r="K486" s="38">
        <v>0</v>
      </c>
      <c r="L486" s="17" t="str">
        <v/>
      </c>
      <c r="M486" s="17">
        <v>0</v>
      </c>
      <c r="N486" s="17">
        <v>0</v>
      </c>
      <c r="O486" s="17" t="str">
        <v/>
      </c>
      <c r="P486" s="17" t="str">
        <v/>
      </c>
      <c r="Q486" s="17">
        <v>0</v>
      </c>
      <c r="R486" s="17">
        <v>0</v>
      </c>
      <c r="S486" s="17">
        <v>0</v>
      </c>
      <c r="T486" s="22">
        <v>0</v>
      </c>
    </row>
    <row r="487" spans="2:20" x14ac:dyDescent="0.25">
      <c r="B487" s="21">
        <v>0</v>
      </c>
      <c r="C487" s="17">
        <v>0</v>
      </c>
      <c r="D487" s="17">
        <v>0</v>
      </c>
      <c r="E487" s="17">
        <v>0</v>
      </c>
      <c r="F487" s="17">
        <v>0</v>
      </c>
      <c r="G487" s="17">
        <v>0</v>
      </c>
      <c r="H487" s="38">
        <v>0</v>
      </c>
      <c r="I487" s="17" t="str">
        <v/>
      </c>
      <c r="J487" s="17">
        <v>0</v>
      </c>
      <c r="K487" s="38">
        <v>0</v>
      </c>
      <c r="L487" s="17" t="str">
        <v/>
      </c>
      <c r="M487" s="17">
        <v>0</v>
      </c>
      <c r="N487" s="17">
        <v>0</v>
      </c>
      <c r="O487" s="17" t="str">
        <v/>
      </c>
      <c r="P487" s="17" t="str">
        <v/>
      </c>
      <c r="Q487" s="17">
        <v>0</v>
      </c>
      <c r="R487" s="17">
        <v>0</v>
      </c>
      <c r="S487" s="17">
        <v>0</v>
      </c>
      <c r="T487" s="22">
        <v>0</v>
      </c>
    </row>
    <row r="488" spans="2:20" x14ac:dyDescent="0.25">
      <c r="B488" s="21">
        <v>0</v>
      </c>
      <c r="C488" s="17">
        <v>0</v>
      </c>
      <c r="D488" s="17">
        <v>0</v>
      </c>
      <c r="E488" s="17">
        <v>0</v>
      </c>
      <c r="F488" s="17">
        <v>0</v>
      </c>
      <c r="G488" s="17">
        <v>0</v>
      </c>
      <c r="H488" s="38">
        <v>0</v>
      </c>
      <c r="I488" s="17" t="str">
        <v/>
      </c>
      <c r="J488" s="17">
        <v>0</v>
      </c>
      <c r="K488" s="38">
        <v>0</v>
      </c>
      <c r="L488" s="17" t="str">
        <v/>
      </c>
      <c r="M488" s="17">
        <v>0</v>
      </c>
      <c r="N488" s="17">
        <v>0</v>
      </c>
      <c r="O488" s="17" t="str">
        <v/>
      </c>
      <c r="P488" s="17" t="str">
        <v/>
      </c>
      <c r="Q488" s="17">
        <v>0</v>
      </c>
      <c r="R488" s="17">
        <v>0</v>
      </c>
      <c r="S488" s="17">
        <v>0</v>
      </c>
      <c r="T488" s="22">
        <v>0</v>
      </c>
    </row>
    <row r="489" spans="2:20" x14ac:dyDescent="0.25">
      <c r="B489" s="21">
        <v>0</v>
      </c>
      <c r="C489" s="17">
        <v>0</v>
      </c>
      <c r="D489" s="17">
        <v>0</v>
      </c>
      <c r="E489" s="17">
        <v>0</v>
      </c>
      <c r="F489" s="17">
        <v>0</v>
      </c>
      <c r="G489" s="17">
        <v>0</v>
      </c>
      <c r="H489" s="38">
        <v>0</v>
      </c>
      <c r="I489" s="17" t="str">
        <v/>
      </c>
      <c r="J489" s="17">
        <v>0</v>
      </c>
      <c r="K489" s="38">
        <v>0</v>
      </c>
      <c r="L489" s="17" t="str">
        <v/>
      </c>
      <c r="M489" s="17">
        <v>0</v>
      </c>
      <c r="N489" s="17">
        <v>0</v>
      </c>
      <c r="O489" s="17" t="str">
        <v/>
      </c>
      <c r="P489" s="17" t="str">
        <v/>
      </c>
      <c r="Q489" s="17">
        <v>0</v>
      </c>
      <c r="R489" s="17">
        <v>0</v>
      </c>
      <c r="S489" s="17">
        <v>0</v>
      </c>
      <c r="T489" s="22">
        <v>0</v>
      </c>
    </row>
    <row r="490" spans="2:20" x14ac:dyDescent="0.25">
      <c r="B490" s="21">
        <v>0</v>
      </c>
      <c r="C490" s="17">
        <v>0</v>
      </c>
      <c r="D490" s="17">
        <v>0</v>
      </c>
      <c r="E490" s="17">
        <v>0</v>
      </c>
      <c r="F490" s="17">
        <v>0</v>
      </c>
      <c r="G490" s="17">
        <v>0</v>
      </c>
      <c r="H490" s="38">
        <v>0</v>
      </c>
      <c r="I490" s="17" t="str">
        <v/>
      </c>
      <c r="J490" s="17">
        <v>0</v>
      </c>
      <c r="K490" s="38">
        <v>0</v>
      </c>
      <c r="L490" s="17" t="str">
        <v/>
      </c>
      <c r="M490" s="17">
        <v>0</v>
      </c>
      <c r="N490" s="17">
        <v>0</v>
      </c>
      <c r="O490" s="17" t="str">
        <v/>
      </c>
      <c r="P490" s="17" t="str">
        <v/>
      </c>
      <c r="Q490" s="17">
        <v>0</v>
      </c>
      <c r="R490" s="17">
        <v>0</v>
      </c>
      <c r="S490" s="17">
        <v>0</v>
      </c>
      <c r="T490" s="22">
        <v>0</v>
      </c>
    </row>
    <row r="491" spans="2:20" x14ac:dyDescent="0.25">
      <c r="B491" s="21">
        <v>0</v>
      </c>
      <c r="C491" s="17">
        <v>0</v>
      </c>
      <c r="D491" s="17">
        <v>0</v>
      </c>
      <c r="E491" s="17">
        <v>0</v>
      </c>
      <c r="F491" s="17">
        <v>0</v>
      </c>
      <c r="G491" s="17">
        <v>0</v>
      </c>
      <c r="H491" s="38">
        <v>0</v>
      </c>
      <c r="I491" s="17" t="str">
        <v/>
      </c>
      <c r="J491" s="17">
        <v>0</v>
      </c>
      <c r="K491" s="38">
        <v>0</v>
      </c>
      <c r="L491" s="17" t="str">
        <v/>
      </c>
      <c r="M491" s="17">
        <v>0</v>
      </c>
      <c r="N491" s="17">
        <v>0</v>
      </c>
      <c r="O491" s="17" t="str">
        <v/>
      </c>
      <c r="P491" s="17" t="str">
        <v/>
      </c>
      <c r="Q491" s="17">
        <v>0</v>
      </c>
      <c r="R491" s="17">
        <v>0</v>
      </c>
      <c r="S491" s="17">
        <v>0</v>
      </c>
      <c r="T491" s="22">
        <v>0</v>
      </c>
    </row>
    <row r="492" spans="2:20" x14ac:dyDescent="0.25">
      <c r="B492" s="21">
        <v>0</v>
      </c>
      <c r="C492" s="17">
        <v>0</v>
      </c>
      <c r="D492" s="17">
        <v>0</v>
      </c>
      <c r="E492" s="17">
        <v>0</v>
      </c>
      <c r="F492" s="17">
        <v>0</v>
      </c>
      <c r="G492" s="17">
        <v>0</v>
      </c>
      <c r="H492" s="38">
        <v>0</v>
      </c>
      <c r="I492" s="17" t="str">
        <v/>
      </c>
      <c r="J492" s="17">
        <v>0</v>
      </c>
      <c r="K492" s="38">
        <v>0</v>
      </c>
      <c r="L492" s="17" t="str">
        <v/>
      </c>
      <c r="M492" s="17">
        <v>0</v>
      </c>
      <c r="N492" s="17">
        <v>0</v>
      </c>
      <c r="O492" s="17" t="str">
        <v/>
      </c>
      <c r="P492" s="17" t="str">
        <v/>
      </c>
      <c r="Q492" s="17">
        <v>0</v>
      </c>
      <c r="R492" s="17">
        <v>0</v>
      </c>
      <c r="S492" s="17">
        <v>0</v>
      </c>
      <c r="T492" s="22">
        <v>0</v>
      </c>
    </row>
    <row r="493" spans="2:20" x14ac:dyDescent="0.25">
      <c r="B493" s="21">
        <v>0</v>
      </c>
      <c r="C493" s="17">
        <v>0</v>
      </c>
      <c r="D493" s="17">
        <v>0</v>
      </c>
      <c r="E493" s="17">
        <v>0</v>
      </c>
      <c r="F493" s="17">
        <v>0</v>
      </c>
      <c r="G493" s="17">
        <v>0</v>
      </c>
      <c r="H493" s="38">
        <v>0</v>
      </c>
      <c r="I493" s="17" t="str">
        <v/>
      </c>
      <c r="J493" s="17">
        <v>0</v>
      </c>
      <c r="K493" s="38">
        <v>0</v>
      </c>
      <c r="L493" s="17" t="str">
        <v/>
      </c>
      <c r="M493" s="17">
        <v>0</v>
      </c>
      <c r="N493" s="17">
        <v>0</v>
      </c>
      <c r="O493" s="17" t="str">
        <v/>
      </c>
      <c r="P493" s="17" t="str">
        <v/>
      </c>
      <c r="Q493" s="17">
        <v>0</v>
      </c>
      <c r="R493" s="17">
        <v>0</v>
      </c>
      <c r="S493" s="17">
        <v>0</v>
      </c>
      <c r="T493" s="22">
        <v>0</v>
      </c>
    </row>
    <row r="494" spans="2:20" x14ac:dyDescent="0.25">
      <c r="B494" s="21">
        <v>0</v>
      </c>
      <c r="C494" s="17">
        <v>0</v>
      </c>
      <c r="D494" s="17">
        <v>0</v>
      </c>
      <c r="E494" s="17">
        <v>0</v>
      </c>
      <c r="F494" s="17">
        <v>0</v>
      </c>
      <c r="G494" s="17">
        <v>0</v>
      </c>
      <c r="H494" s="38">
        <v>0</v>
      </c>
      <c r="I494" s="17" t="str">
        <v/>
      </c>
      <c r="J494" s="17">
        <v>0</v>
      </c>
      <c r="K494" s="38">
        <v>0</v>
      </c>
      <c r="L494" s="17" t="str">
        <v/>
      </c>
      <c r="M494" s="17">
        <v>0</v>
      </c>
      <c r="N494" s="17">
        <v>0</v>
      </c>
      <c r="O494" s="17" t="str">
        <v/>
      </c>
      <c r="P494" s="17" t="str">
        <v/>
      </c>
      <c r="Q494" s="17">
        <v>0</v>
      </c>
      <c r="R494" s="17">
        <v>0</v>
      </c>
      <c r="S494" s="17">
        <v>0</v>
      </c>
      <c r="T494" s="22">
        <v>0</v>
      </c>
    </row>
    <row r="495" spans="2:20" x14ac:dyDescent="0.25">
      <c r="B495" s="21">
        <v>0</v>
      </c>
      <c r="C495" s="17">
        <v>0</v>
      </c>
      <c r="D495" s="17">
        <v>0</v>
      </c>
      <c r="E495" s="17">
        <v>0</v>
      </c>
      <c r="F495" s="17">
        <v>0</v>
      </c>
      <c r="G495" s="17">
        <v>0</v>
      </c>
      <c r="H495" s="38">
        <v>0</v>
      </c>
      <c r="I495" s="17" t="str">
        <v/>
      </c>
      <c r="J495" s="17">
        <v>0</v>
      </c>
      <c r="K495" s="38">
        <v>0</v>
      </c>
      <c r="L495" s="17" t="str">
        <v/>
      </c>
      <c r="M495" s="17">
        <v>0</v>
      </c>
      <c r="N495" s="17">
        <v>0</v>
      </c>
      <c r="O495" s="17" t="str">
        <v/>
      </c>
      <c r="P495" s="17" t="str">
        <v/>
      </c>
      <c r="Q495" s="17">
        <v>0</v>
      </c>
      <c r="R495" s="17">
        <v>0</v>
      </c>
      <c r="S495" s="17">
        <v>0</v>
      </c>
      <c r="T495" s="22">
        <v>0</v>
      </c>
    </row>
    <row r="496" spans="2:20" x14ac:dyDescent="0.25">
      <c r="B496" s="21">
        <v>0</v>
      </c>
      <c r="C496" s="17">
        <v>0</v>
      </c>
      <c r="D496" s="17">
        <v>0</v>
      </c>
      <c r="E496" s="17">
        <v>0</v>
      </c>
      <c r="F496" s="17">
        <v>0</v>
      </c>
      <c r="G496" s="17">
        <v>0</v>
      </c>
      <c r="H496" s="38">
        <v>0</v>
      </c>
      <c r="I496" s="17" t="str">
        <v/>
      </c>
      <c r="J496" s="17">
        <v>0</v>
      </c>
      <c r="K496" s="38">
        <v>0</v>
      </c>
      <c r="L496" s="17" t="str">
        <v/>
      </c>
      <c r="M496" s="17">
        <v>0</v>
      </c>
      <c r="N496" s="17">
        <v>0</v>
      </c>
      <c r="O496" s="17" t="str">
        <v/>
      </c>
      <c r="P496" s="17" t="str">
        <v/>
      </c>
      <c r="Q496" s="17">
        <v>0</v>
      </c>
      <c r="R496" s="17">
        <v>0</v>
      </c>
      <c r="S496" s="17">
        <v>0</v>
      </c>
      <c r="T496" s="22">
        <v>0</v>
      </c>
    </row>
    <row r="497" spans="2:20" x14ac:dyDescent="0.25">
      <c r="B497" s="21">
        <v>0</v>
      </c>
      <c r="C497" s="17">
        <v>0</v>
      </c>
      <c r="D497" s="17">
        <v>0</v>
      </c>
      <c r="E497" s="17">
        <v>0</v>
      </c>
      <c r="F497" s="17">
        <v>0</v>
      </c>
      <c r="G497" s="17">
        <v>0</v>
      </c>
      <c r="H497" s="38">
        <v>0</v>
      </c>
      <c r="I497" s="17" t="str">
        <v/>
      </c>
      <c r="J497" s="17">
        <v>0</v>
      </c>
      <c r="K497" s="38">
        <v>0</v>
      </c>
      <c r="L497" s="17" t="str">
        <v/>
      </c>
      <c r="M497" s="17">
        <v>0</v>
      </c>
      <c r="N497" s="17">
        <v>0</v>
      </c>
      <c r="O497" s="17" t="str">
        <v/>
      </c>
      <c r="P497" s="17" t="str">
        <v/>
      </c>
      <c r="Q497" s="17">
        <v>0</v>
      </c>
      <c r="R497" s="17">
        <v>0</v>
      </c>
      <c r="S497" s="17">
        <v>0</v>
      </c>
      <c r="T497" s="22">
        <v>0</v>
      </c>
    </row>
    <row r="498" spans="2:20" x14ac:dyDescent="0.25">
      <c r="B498" s="21">
        <v>0</v>
      </c>
      <c r="C498" s="17">
        <v>0</v>
      </c>
      <c r="D498" s="17">
        <v>0</v>
      </c>
      <c r="E498" s="17">
        <v>0</v>
      </c>
      <c r="F498" s="17">
        <v>0</v>
      </c>
      <c r="G498" s="17">
        <v>0</v>
      </c>
      <c r="H498" s="38">
        <v>0</v>
      </c>
      <c r="I498" s="17" t="str">
        <v/>
      </c>
      <c r="J498" s="17">
        <v>0</v>
      </c>
      <c r="K498" s="38">
        <v>0</v>
      </c>
      <c r="L498" s="17" t="str">
        <v/>
      </c>
      <c r="M498" s="17">
        <v>0</v>
      </c>
      <c r="N498" s="17">
        <v>0</v>
      </c>
      <c r="O498" s="17" t="str">
        <v/>
      </c>
      <c r="P498" s="17" t="str">
        <v/>
      </c>
      <c r="Q498" s="17">
        <v>0</v>
      </c>
      <c r="R498" s="17">
        <v>0</v>
      </c>
      <c r="S498" s="17">
        <v>0</v>
      </c>
      <c r="T498" s="22">
        <v>0</v>
      </c>
    </row>
    <row r="499" spans="2:20" x14ac:dyDescent="0.25">
      <c r="B499" s="21">
        <v>0</v>
      </c>
      <c r="C499" s="17">
        <v>0</v>
      </c>
      <c r="D499" s="17">
        <v>0</v>
      </c>
      <c r="E499" s="17">
        <v>0</v>
      </c>
      <c r="F499" s="17">
        <v>0</v>
      </c>
      <c r="G499" s="17">
        <v>0</v>
      </c>
      <c r="H499" s="38">
        <v>0</v>
      </c>
      <c r="I499" s="17" t="str">
        <v/>
      </c>
      <c r="J499" s="17">
        <v>0</v>
      </c>
      <c r="K499" s="38">
        <v>0</v>
      </c>
      <c r="L499" s="17" t="str">
        <v/>
      </c>
      <c r="M499" s="17">
        <v>0</v>
      </c>
      <c r="N499" s="17">
        <v>0</v>
      </c>
      <c r="O499" s="17" t="str">
        <v/>
      </c>
      <c r="P499" s="17" t="str">
        <v/>
      </c>
      <c r="Q499" s="17">
        <v>0</v>
      </c>
      <c r="R499" s="17">
        <v>0</v>
      </c>
      <c r="S499" s="17">
        <v>0</v>
      </c>
      <c r="T499" s="22">
        <v>0</v>
      </c>
    </row>
    <row r="500" spans="2:20" x14ac:dyDescent="0.25">
      <c r="B500" s="21">
        <v>0</v>
      </c>
      <c r="C500" s="17">
        <v>0</v>
      </c>
      <c r="D500" s="17">
        <v>0</v>
      </c>
      <c r="E500" s="17">
        <v>0</v>
      </c>
      <c r="F500" s="17">
        <v>0</v>
      </c>
      <c r="G500" s="17">
        <v>0</v>
      </c>
      <c r="H500" s="38">
        <v>0</v>
      </c>
      <c r="I500" s="17" t="str">
        <v/>
      </c>
      <c r="J500" s="17">
        <v>0</v>
      </c>
      <c r="K500" s="38">
        <v>0</v>
      </c>
      <c r="L500" s="17" t="str">
        <v/>
      </c>
      <c r="M500" s="17">
        <v>0</v>
      </c>
      <c r="N500" s="17">
        <v>0</v>
      </c>
      <c r="O500" s="17" t="str">
        <v/>
      </c>
      <c r="P500" s="17" t="str">
        <v/>
      </c>
      <c r="Q500" s="17">
        <v>0</v>
      </c>
      <c r="R500" s="17">
        <v>0</v>
      </c>
      <c r="S500" s="17">
        <v>0</v>
      </c>
      <c r="T500" s="22">
        <v>0</v>
      </c>
    </row>
    <row r="501" spans="2:20" x14ac:dyDescent="0.25">
      <c r="B501" s="21">
        <v>0</v>
      </c>
      <c r="C501" s="17">
        <v>0</v>
      </c>
      <c r="D501" s="17">
        <v>0</v>
      </c>
      <c r="E501" s="17">
        <v>0</v>
      </c>
      <c r="F501" s="17">
        <v>0</v>
      </c>
      <c r="G501" s="17">
        <v>0</v>
      </c>
      <c r="H501" s="38">
        <v>0</v>
      </c>
      <c r="I501" s="17" t="str">
        <v/>
      </c>
      <c r="J501" s="17">
        <v>0</v>
      </c>
      <c r="K501" s="38">
        <v>0</v>
      </c>
      <c r="L501" s="17" t="str">
        <v/>
      </c>
      <c r="M501" s="17">
        <v>0</v>
      </c>
      <c r="N501" s="17">
        <v>0</v>
      </c>
      <c r="O501" s="17" t="str">
        <v/>
      </c>
      <c r="P501" s="17" t="str">
        <v/>
      </c>
      <c r="Q501" s="17">
        <v>0</v>
      </c>
      <c r="R501" s="17">
        <v>0</v>
      </c>
      <c r="S501" s="17">
        <v>0</v>
      </c>
      <c r="T501" s="22">
        <v>0</v>
      </c>
    </row>
    <row r="502" spans="2:20" x14ac:dyDescent="0.25">
      <c r="B502" s="21">
        <v>0</v>
      </c>
      <c r="C502" s="17">
        <v>0</v>
      </c>
      <c r="D502" s="17">
        <v>0</v>
      </c>
      <c r="E502" s="17">
        <v>0</v>
      </c>
      <c r="F502" s="17">
        <v>0</v>
      </c>
      <c r="G502" s="17">
        <v>0</v>
      </c>
      <c r="H502" s="38">
        <v>0</v>
      </c>
      <c r="I502" s="17" t="str">
        <v/>
      </c>
      <c r="J502" s="17">
        <v>0</v>
      </c>
      <c r="K502" s="38">
        <v>0</v>
      </c>
      <c r="L502" s="17" t="str">
        <v/>
      </c>
      <c r="M502" s="17">
        <v>0</v>
      </c>
      <c r="N502" s="17">
        <v>0</v>
      </c>
      <c r="O502" s="17" t="str">
        <v/>
      </c>
      <c r="P502" s="17" t="str">
        <v/>
      </c>
      <c r="Q502" s="17">
        <v>0</v>
      </c>
      <c r="R502" s="17">
        <v>0</v>
      </c>
      <c r="S502" s="17">
        <v>0</v>
      </c>
      <c r="T502" s="22">
        <v>0</v>
      </c>
    </row>
    <row r="503" spans="2:20" x14ac:dyDescent="0.25">
      <c r="B503" s="21">
        <v>0</v>
      </c>
      <c r="C503" s="17">
        <v>0</v>
      </c>
      <c r="D503" s="17">
        <v>0</v>
      </c>
      <c r="E503" s="17">
        <v>0</v>
      </c>
      <c r="F503" s="17">
        <v>0</v>
      </c>
      <c r="G503" s="17">
        <v>0</v>
      </c>
      <c r="H503" s="38">
        <v>0</v>
      </c>
      <c r="I503" s="17" t="str">
        <v/>
      </c>
      <c r="J503" s="17">
        <v>0</v>
      </c>
      <c r="K503" s="38">
        <v>0</v>
      </c>
      <c r="L503" s="17" t="str">
        <v/>
      </c>
      <c r="M503" s="17">
        <v>0</v>
      </c>
      <c r="N503" s="17">
        <v>0</v>
      </c>
      <c r="O503" s="17" t="str">
        <v/>
      </c>
      <c r="P503" s="17" t="str">
        <v/>
      </c>
      <c r="Q503" s="17">
        <v>0</v>
      </c>
      <c r="R503" s="17">
        <v>0</v>
      </c>
      <c r="S503" s="17">
        <v>0</v>
      </c>
      <c r="T503" s="22">
        <v>0</v>
      </c>
    </row>
    <row r="504" spans="2:20" x14ac:dyDescent="0.25">
      <c r="B504" s="21">
        <v>0</v>
      </c>
      <c r="C504" s="17">
        <v>0</v>
      </c>
      <c r="D504" s="17">
        <v>0</v>
      </c>
      <c r="E504" s="17">
        <v>0</v>
      </c>
      <c r="F504" s="17">
        <v>0</v>
      </c>
      <c r="G504" s="17">
        <v>0</v>
      </c>
      <c r="H504" s="38">
        <v>0</v>
      </c>
      <c r="I504" s="17" t="str">
        <v/>
      </c>
      <c r="J504" s="17">
        <v>0</v>
      </c>
      <c r="K504" s="38">
        <v>0</v>
      </c>
      <c r="L504" s="17" t="str">
        <v/>
      </c>
      <c r="M504" s="17">
        <v>0</v>
      </c>
      <c r="N504" s="17">
        <v>0</v>
      </c>
      <c r="O504" s="17" t="str">
        <v/>
      </c>
      <c r="P504" s="17" t="str">
        <v/>
      </c>
      <c r="Q504" s="17">
        <v>0</v>
      </c>
      <c r="R504" s="17">
        <v>0</v>
      </c>
      <c r="S504" s="17">
        <v>0</v>
      </c>
      <c r="T504" s="22">
        <v>0</v>
      </c>
    </row>
    <row r="505" spans="2:20" x14ac:dyDescent="0.25">
      <c r="B505" s="21">
        <v>0</v>
      </c>
      <c r="C505" s="17">
        <v>0</v>
      </c>
      <c r="D505" s="17">
        <v>0</v>
      </c>
      <c r="E505" s="17">
        <v>0</v>
      </c>
      <c r="F505" s="17">
        <v>0</v>
      </c>
      <c r="G505" s="17">
        <v>0</v>
      </c>
      <c r="H505" s="38">
        <v>0</v>
      </c>
      <c r="I505" s="17" t="str">
        <v/>
      </c>
      <c r="J505" s="17">
        <v>0</v>
      </c>
      <c r="K505" s="38">
        <v>0</v>
      </c>
      <c r="L505" s="17" t="str">
        <v/>
      </c>
      <c r="M505" s="17">
        <v>0</v>
      </c>
      <c r="N505" s="17">
        <v>0</v>
      </c>
      <c r="O505" s="17" t="str">
        <v/>
      </c>
      <c r="P505" s="17" t="str">
        <v/>
      </c>
      <c r="Q505" s="17">
        <v>0</v>
      </c>
      <c r="R505" s="17">
        <v>0</v>
      </c>
      <c r="S505" s="17">
        <v>0</v>
      </c>
      <c r="T505" s="22">
        <v>0</v>
      </c>
    </row>
    <row r="506" spans="2:20" x14ac:dyDescent="0.25">
      <c r="B506" s="21">
        <v>0</v>
      </c>
      <c r="C506" s="17">
        <v>0</v>
      </c>
      <c r="D506" s="17">
        <v>0</v>
      </c>
      <c r="E506" s="17">
        <v>0</v>
      </c>
      <c r="F506" s="17">
        <v>0</v>
      </c>
      <c r="G506" s="17">
        <v>0</v>
      </c>
      <c r="H506" s="38">
        <v>0</v>
      </c>
      <c r="I506" s="17" t="str">
        <v/>
      </c>
      <c r="J506" s="17">
        <v>0</v>
      </c>
      <c r="K506" s="38">
        <v>0</v>
      </c>
      <c r="L506" s="17" t="str">
        <v/>
      </c>
      <c r="M506" s="17">
        <v>0</v>
      </c>
      <c r="N506" s="17">
        <v>0</v>
      </c>
      <c r="O506" s="17" t="str">
        <v/>
      </c>
      <c r="P506" s="17" t="str">
        <v/>
      </c>
      <c r="Q506" s="17">
        <v>0</v>
      </c>
      <c r="R506" s="17">
        <v>0</v>
      </c>
      <c r="S506" s="17">
        <v>0</v>
      </c>
      <c r="T506" s="22">
        <v>0</v>
      </c>
    </row>
    <row r="507" spans="2:20" x14ac:dyDescent="0.25">
      <c r="B507" s="21">
        <v>0</v>
      </c>
      <c r="C507" s="17">
        <v>0</v>
      </c>
      <c r="D507" s="17">
        <v>0</v>
      </c>
      <c r="E507" s="17">
        <v>0</v>
      </c>
      <c r="F507" s="17">
        <v>0</v>
      </c>
      <c r="G507" s="17">
        <v>0</v>
      </c>
      <c r="H507" s="38">
        <v>0</v>
      </c>
      <c r="I507" s="17" t="str">
        <v/>
      </c>
      <c r="J507" s="17">
        <v>0</v>
      </c>
      <c r="K507" s="38">
        <v>0</v>
      </c>
      <c r="L507" s="17" t="str">
        <v/>
      </c>
      <c r="M507" s="17">
        <v>0</v>
      </c>
      <c r="N507" s="17">
        <v>0</v>
      </c>
      <c r="O507" s="17" t="str">
        <v/>
      </c>
      <c r="P507" s="17" t="str">
        <v/>
      </c>
      <c r="Q507" s="17">
        <v>0</v>
      </c>
      <c r="R507" s="17">
        <v>0</v>
      </c>
      <c r="S507" s="17">
        <v>0</v>
      </c>
      <c r="T507" s="22">
        <v>0</v>
      </c>
    </row>
    <row r="508" spans="2:20" x14ac:dyDescent="0.25">
      <c r="B508" s="21">
        <v>0</v>
      </c>
      <c r="C508" s="17">
        <v>0</v>
      </c>
      <c r="D508" s="17">
        <v>0</v>
      </c>
      <c r="E508" s="17">
        <v>0</v>
      </c>
      <c r="F508" s="17">
        <v>0</v>
      </c>
      <c r="G508" s="17">
        <v>0</v>
      </c>
      <c r="H508" s="38">
        <v>0</v>
      </c>
      <c r="I508" s="17" t="str">
        <v/>
      </c>
      <c r="J508" s="17">
        <v>0</v>
      </c>
      <c r="K508" s="38">
        <v>0</v>
      </c>
      <c r="L508" s="17" t="str">
        <v/>
      </c>
      <c r="M508" s="17">
        <v>0</v>
      </c>
      <c r="N508" s="17">
        <v>0</v>
      </c>
      <c r="O508" s="17" t="str">
        <v/>
      </c>
      <c r="P508" s="17" t="str">
        <v/>
      </c>
      <c r="Q508" s="17">
        <v>0</v>
      </c>
      <c r="R508" s="17">
        <v>0</v>
      </c>
      <c r="S508" s="17">
        <v>0</v>
      </c>
      <c r="T508" s="22">
        <v>0</v>
      </c>
    </row>
    <row r="509" spans="2:20" x14ac:dyDescent="0.25">
      <c r="B509" s="21">
        <v>0</v>
      </c>
      <c r="C509" s="17">
        <v>0</v>
      </c>
      <c r="D509" s="17">
        <v>0</v>
      </c>
      <c r="E509" s="17">
        <v>0</v>
      </c>
      <c r="F509" s="17">
        <v>0</v>
      </c>
      <c r="G509" s="17">
        <v>0</v>
      </c>
      <c r="H509" s="38">
        <v>0</v>
      </c>
      <c r="I509" s="17" t="str">
        <v/>
      </c>
      <c r="J509" s="17">
        <v>0</v>
      </c>
      <c r="K509" s="38">
        <v>0</v>
      </c>
      <c r="L509" s="17" t="str">
        <v/>
      </c>
      <c r="M509" s="17">
        <v>0</v>
      </c>
      <c r="N509" s="17">
        <v>0</v>
      </c>
      <c r="O509" s="17" t="str">
        <v/>
      </c>
      <c r="P509" s="17" t="str">
        <v/>
      </c>
      <c r="Q509" s="17">
        <v>0</v>
      </c>
      <c r="R509" s="17">
        <v>0</v>
      </c>
      <c r="S509" s="17">
        <v>0</v>
      </c>
      <c r="T509" s="22">
        <v>0</v>
      </c>
    </row>
    <row r="510" spans="2:20" x14ac:dyDescent="0.25">
      <c r="B510" s="21">
        <v>0</v>
      </c>
      <c r="C510" s="17">
        <v>0</v>
      </c>
      <c r="D510" s="17">
        <v>0</v>
      </c>
      <c r="E510" s="17">
        <v>0</v>
      </c>
      <c r="F510" s="17">
        <v>0</v>
      </c>
      <c r="G510" s="17">
        <v>0</v>
      </c>
      <c r="H510" s="38">
        <v>0</v>
      </c>
      <c r="I510" s="17" t="str">
        <v/>
      </c>
      <c r="J510" s="17">
        <v>0</v>
      </c>
      <c r="K510" s="38">
        <v>0</v>
      </c>
      <c r="L510" s="17" t="str">
        <v/>
      </c>
      <c r="M510" s="17">
        <v>0</v>
      </c>
      <c r="N510" s="17">
        <v>0</v>
      </c>
      <c r="O510" s="17" t="str">
        <v/>
      </c>
      <c r="P510" s="17" t="str">
        <v/>
      </c>
      <c r="Q510" s="17">
        <v>0</v>
      </c>
      <c r="R510" s="17">
        <v>0</v>
      </c>
      <c r="S510" s="17">
        <v>0</v>
      </c>
      <c r="T510" s="22">
        <v>0</v>
      </c>
    </row>
    <row r="511" spans="2:20" x14ac:dyDescent="0.25">
      <c r="B511" s="21">
        <v>0</v>
      </c>
      <c r="C511" s="17">
        <v>0</v>
      </c>
      <c r="D511" s="17">
        <v>0</v>
      </c>
      <c r="E511" s="17">
        <v>0</v>
      </c>
      <c r="F511" s="17">
        <v>0</v>
      </c>
      <c r="G511" s="17">
        <v>0</v>
      </c>
      <c r="H511" s="38">
        <v>0</v>
      </c>
      <c r="I511" s="17" t="str">
        <v/>
      </c>
      <c r="J511" s="17">
        <v>0</v>
      </c>
      <c r="K511" s="38">
        <v>0</v>
      </c>
      <c r="L511" s="17" t="str">
        <v/>
      </c>
      <c r="M511" s="17">
        <v>0</v>
      </c>
      <c r="N511" s="17">
        <v>0</v>
      </c>
      <c r="O511" s="17" t="str">
        <v/>
      </c>
      <c r="P511" s="17" t="str">
        <v/>
      </c>
      <c r="Q511" s="17">
        <v>0</v>
      </c>
      <c r="R511" s="17">
        <v>0</v>
      </c>
      <c r="S511" s="17">
        <v>0</v>
      </c>
      <c r="T511" s="22">
        <v>0</v>
      </c>
    </row>
    <row r="512" spans="2:20" x14ac:dyDescent="0.25">
      <c r="B512" s="21">
        <v>0</v>
      </c>
      <c r="C512" s="17">
        <v>0</v>
      </c>
      <c r="D512" s="17">
        <v>0</v>
      </c>
      <c r="E512" s="17">
        <v>0</v>
      </c>
      <c r="F512" s="17">
        <v>0</v>
      </c>
      <c r="G512" s="17">
        <v>0</v>
      </c>
      <c r="H512" s="38">
        <v>0</v>
      </c>
      <c r="I512" s="17" t="str">
        <v/>
      </c>
      <c r="J512" s="17">
        <v>0</v>
      </c>
      <c r="K512" s="38">
        <v>0</v>
      </c>
      <c r="L512" s="17" t="str">
        <v/>
      </c>
      <c r="M512" s="17">
        <v>0</v>
      </c>
      <c r="N512" s="17">
        <v>0</v>
      </c>
      <c r="O512" s="17" t="str">
        <v/>
      </c>
      <c r="P512" s="17" t="str">
        <v/>
      </c>
      <c r="Q512" s="17">
        <v>0</v>
      </c>
      <c r="R512" s="17">
        <v>0</v>
      </c>
      <c r="S512" s="17">
        <v>0</v>
      </c>
      <c r="T512" s="22">
        <v>0</v>
      </c>
    </row>
    <row r="513" spans="2:20" x14ac:dyDescent="0.25">
      <c r="B513" s="21">
        <v>0</v>
      </c>
      <c r="C513" s="17">
        <v>0</v>
      </c>
      <c r="D513" s="17">
        <v>0</v>
      </c>
      <c r="E513" s="17">
        <v>0</v>
      </c>
      <c r="F513" s="17">
        <v>0</v>
      </c>
      <c r="G513" s="17">
        <v>0</v>
      </c>
      <c r="H513" s="38">
        <v>0</v>
      </c>
      <c r="I513" s="17" t="str">
        <v/>
      </c>
      <c r="J513" s="17">
        <v>0</v>
      </c>
      <c r="K513" s="38">
        <v>0</v>
      </c>
      <c r="L513" s="17" t="str">
        <v/>
      </c>
      <c r="M513" s="17">
        <v>0</v>
      </c>
      <c r="N513" s="17">
        <v>0</v>
      </c>
      <c r="O513" s="17" t="str">
        <v/>
      </c>
      <c r="P513" s="17" t="str">
        <v/>
      </c>
      <c r="Q513" s="17">
        <v>0</v>
      </c>
      <c r="R513" s="17">
        <v>0</v>
      </c>
      <c r="S513" s="17">
        <v>0</v>
      </c>
      <c r="T513" s="22">
        <v>0</v>
      </c>
    </row>
    <row r="514" spans="2:20" x14ac:dyDescent="0.25">
      <c r="B514" s="21">
        <v>0</v>
      </c>
      <c r="C514" s="17">
        <v>0</v>
      </c>
      <c r="D514" s="17">
        <v>0</v>
      </c>
      <c r="E514" s="17">
        <v>0</v>
      </c>
      <c r="F514" s="17">
        <v>0</v>
      </c>
      <c r="G514" s="17">
        <v>0</v>
      </c>
      <c r="H514" s="38">
        <v>0</v>
      </c>
      <c r="I514" s="17" t="str">
        <v/>
      </c>
      <c r="J514" s="17">
        <v>0</v>
      </c>
      <c r="K514" s="38">
        <v>0</v>
      </c>
      <c r="L514" s="17" t="str">
        <v/>
      </c>
      <c r="M514" s="17">
        <v>0</v>
      </c>
      <c r="N514" s="17">
        <v>0</v>
      </c>
      <c r="O514" s="17" t="str">
        <v/>
      </c>
      <c r="P514" s="17" t="str">
        <v/>
      </c>
      <c r="Q514" s="17">
        <v>0</v>
      </c>
      <c r="R514" s="17">
        <v>0</v>
      </c>
      <c r="S514" s="17">
        <v>0</v>
      </c>
      <c r="T514" s="22">
        <v>0</v>
      </c>
    </row>
    <row r="515" spans="2:20" x14ac:dyDescent="0.25">
      <c r="B515" s="21">
        <v>0</v>
      </c>
      <c r="C515" s="17">
        <v>0</v>
      </c>
      <c r="D515" s="17">
        <v>0</v>
      </c>
      <c r="E515" s="17">
        <v>0</v>
      </c>
      <c r="F515" s="17">
        <v>0</v>
      </c>
      <c r="G515" s="17">
        <v>0</v>
      </c>
      <c r="H515" s="38">
        <v>0</v>
      </c>
      <c r="I515" s="17" t="str">
        <v/>
      </c>
      <c r="J515" s="17">
        <v>0</v>
      </c>
      <c r="K515" s="38">
        <v>0</v>
      </c>
      <c r="L515" s="17" t="str">
        <v/>
      </c>
      <c r="M515" s="17">
        <v>0</v>
      </c>
      <c r="N515" s="17">
        <v>0</v>
      </c>
      <c r="O515" s="17" t="str">
        <v/>
      </c>
      <c r="P515" s="17" t="str">
        <v/>
      </c>
      <c r="Q515" s="17">
        <v>0</v>
      </c>
      <c r="R515" s="17">
        <v>0</v>
      </c>
      <c r="S515" s="17">
        <v>0</v>
      </c>
      <c r="T515" s="22">
        <v>0</v>
      </c>
    </row>
    <row r="516" spans="2:20" x14ac:dyDescent="0.25">
      <c r="B516" s="21">
        <v>0</v>
      </c>
      <c r="C516" s="17">
        <v>0</v>
      </c>
      <c r="D516" s="17">
        <v>0</v>
      </c>
      <c r="E516" s="17">
        <v>0</v>
      </c>
      <c r="F516" s="17">
        <v>0</v>
      </c>
      <c r="G516" s="17">
        <v>0</v>
      </c>
      <c r="H516" s="38">
        <v>0</v>
      </c>
      <c r="I516" s="17" t="str">
        <v/>
      </c>
      <c r="J516" s="17">
        <v>0</v>
      </c>
      <c r="K516" s="38">
        <v>0</v>
      </c>
      <c r="L516" s="17" t="str">
        <v/>
      </c>
      <c r="M516" s="17">
        <v>0</v>
      </c>
      <c r="N516" s="17">
        <v>0</v>
      </c>
      <c r="O516" s="17" t="str">
        <v/>
      </c>
      <c r="P516" s="17" t="str">
        <v/>
      </c>
      <c r="Q516" s="17">
        <v>0</v>
      </c>
      <c r="R516" s="17">
        <v>0</v>
      </c>
      <c r="S516" s="17">
        <v>0</v>
      </c>
      <c r="T516" s="22">
        <v>0</v>
      </c>
    </row>
    <row r="517" spans="2:20" x14ac:dyDescent="0.25">
      <c r="B517" s="21">
        <v>0</v>
      </c>
      <c r="C517" s="17">
        <v>0</v>
      </c>
      <c r="D517" s="17">
        <v>0</v>
      </c>
      <c r="E517" s="17">
        <v>0</v>
      </c>
      <c r="F517" s="17">
        <v>0</v>
      </c>
      <c r="G517" s="17">
        <v>0</v>
      </c>
      <c r="H517" s="38">
        <v>0</v>
      </c>
      <c r="I517" s="17" t="str">
        <v/>
      </c>
      <c r="J517" s="17">
        <v>0</v>
      </c>
      <c r="K517" s="38">
        <v>0</v>
      </c>
      <c r="L517" s="17" t="str">
        <v/>
      </c>
      <c r="M517" s="17">
        <v>0</v>
      </c>
      <c r="N517" s="17">
        <v>0</v>
      </c>
      <c r="O517" s="17" t="str">
        <v/>
      </c>
      <c r="P517" s="17" t="str">
        <v/>
      </c>
      <c r="Q517" s="17">
        <v>0</v>
      </c>
      <c r="R517" s="17">
        <v>0</v>
      </c>
      <c r="S517" s="17">
        <v>0</v>
      </c>
      <c r="T517" s="22">
        <v>0</v>
      </c>
    </row>
    <row r="518" spans="2:20" x14ac:dyDescent="0.25">
      <c r="B518" s="21">
        <v>0</v>
      </c>
      <c r="C518" s="17">
        <v>0</v>
      </c>
      <c r="D518" s="17">
        <v>0</v>
      </c>
      <c r="E518" s="17">
        <v>0</v>
      </c>
      <c r="F518" s="17">
        <v>0</v>
      </c>
      <c r="G518" s="17">
        <v>0</v>
      </c>
      <c r="H518" s="38">
        <v>0</v>
      </c>
      <c r="I518" s="17" t="str">
        <v/>
      </c>
      <c r="J518" s="17">
        <v>0</v>
      </c>
      <c r="K518" s="38">
        <v>0</v>
      </c>
      <c r="L518" s="17" t="str">
        <v/>
      </c>
      <c r="M518" s="17">
        <v>0</v>
      </c>
      <c r="N518" s="17">
        <v>0</v>
      </c>
      <c r="O518" s="17" t="str">
        <v/>
      </c>
      <c r="P518" s="17" t="str">
        <v/>
      </c>
      <c r="Q518" s="17">
        <v>0</v>
      </c>
      <c r="R518" s="17">
        <v>0</v>
      </c>
      <c r="S518" s="17">
        <v>0</v>
      </c>
      <c r="T518" s="22">
        <v>0</v>
      </c>
    </row>
    <row r="519" spans="2:20" x14ac:dyDescent="0.25">
      <c r="B519" s="21">
        <v>0</v>
      </c>
      <c r="C519" s="17">
        <v>0</v>
      </c>
      <c r="D519" s="17">
        <v>0</v>
      </c>
      <c r="E519" s="17">
        <v>0</v>
      </c>
      <c r="F519" s="17">
        <v>0</v>
      </c>
      <c r="G519" s="17">
        <v>0</v>
      </c>
      <c r="H519" s="38">
        <v>0</v>
      </c>
      <c r="I519" s="17" t="str">
        <v/>
      </c>
      <c r="J519" s="17">
        <v>0</v>
      </c>
      <c r="K519" s="38">
        <v>0</v>
      </c>
      <c r="L519" s="17" t="str">
        <v/>
      </c>
      <c r="M519" s="17">
        <v>0</v>
      </c>
      <c r="N519" s="17">
        <v>0</v>
      </c>
      <c r="O519" s="17" t="str">
        <v/>
      </c>
      <c r="P519" s="17" t="str">
        <v/>
      </c>
      <c r="Q519" s="17">
        <v>0</v>
      </c>
      <c r="R519" s="17">
        <v>0</v>
      </c>
      <c r="S519" s="17">
        <v>0</v>
      </c>
      <c r="T519" s="22">
        <v>0</v>
      </c>
    </row>
    <row r="520" spans="2:20" x14ac:dyDescent="0.25">
      <c r="B520" s="21">
        <v>0</v>
      </c>
      <c r="C520" s="17">
        <v>0</v>
      </c>
      <c r="D520" s="17">
        <v>0</v>
      </c>
      <c r="E520" s="17">
        <v>0</v>
      </c>
      <c r="F520" s="17">
        <v>0</v>
      </c>
      <c r="G520" s="17">
        <v>0</v>
      </c>
      <c r="H520" s="38">
        <v>0</v>
      </c>
      <c r="I520" s="17" t="str">
        <v/>
      </c>
      <c r="J520" s="17">
        <v>0</v>
      </c>
      <c r="K520" s="38">
        <v>0</v>
      </c>
      <c r="L520" s="17" t="str">
        <v/>
      </c>
      <c r="M520" s="17">
        <v>0</v>
      </c>
      <c r="N520" s="17">
        <v>0</v>
      </c>
      <c r="O520" s="17" t="str">
        <v/>
      </c>
      <c r="P520" s="17" t="str">
        <v/>
      </c>
      <c r="Q520" s="17">
        <v>0</v>
      </c>
      <c r="R520" s="17">
        <v>0</v>
      </c>
      <c r="S520" s="17">
        <v>0</v>
      </c>
      <c r="T520" s="22">
        <v>0</v>
      </c>
    </row>
    <row r="521" spans="2:20" x14ac:dyDescent="0.25">
      <c r="B521" s="21">
        <v>0</v>
      </c>
      <c r="C521" s="17">
        <v>0</v>
      </c>
      <c r="D521" s="17">
        <v>0</v>
      </c>
      <c r="E521" s="17">
        <v>0</v>
      </c>
      <c r="F521" s="17">
        <v>0</v>
      </c>
      <c r="G521" s="17">
        <v>0</v>
      </c>
      <c r="H521" s="38">
        <v>0</v>
      </c>
      <c r="I521" s="17" t="str">
        <v/>
      </c>
      <c r="J521" s="17">
        <v>0</v>
      </c>
      <c r="K521" s="38">
        <v>0</v>
      </c>
      <c r="L521" s="17" t="str">
        <v/>
      </c>
      <c r="M521" s="17">
        <v>0</v>
      </c>
      <c r="N521" s="17">
        <v>0</v>
      </c>
      <c r="O521" s="17" t="str">
        <v/>
      </c>
      <c r="P521" s="17" t="str">
        <v/>
      </c>
      <c r="Q521" s="17">
        <v>0</v>
      </c>
      <c r="R521" s="17">
        <v>0</v>
      </c>
      <c r="S521" s="17">
        <v>0</v>
      </c>
      <c r="T521" s="22">
        <v>0</v>
      </c>
    </row>
    <row r="522" spans="2:20" x14ac:dyDescent="0.25">
      <c r="B522" s="21">
        <v>0</v>
      </c>
      <c r="C522" s="17">
        <v>0</v>
      </c>
      <c r="D522" s="17">
        <v>0</v>
      </c>
      <c r="E522" s="17">
        <v>0</v>
      </c>
      <c r="F522" s="17">
        <v>0</v>
      </c>
      <c r="G522" s="17">
        <v>0</v>
      </c>
      <c r="H522" s="38">
        <v>0</v>
      </c>
      <c r="I522" s="17" t="str">
        <v/>
      </c>
      <c r="J522" s="17">
        <v>0</v>
      </c>
      <c r="K522" s="38">
        <v>0</v>
      </c>
      <c r="L522" s="17" t="str">
        <v/>
      </c>
      <c r="M522" s="17">
        <v>0</v>
      </c>
      <c r="N522" s="17">
        <v>0</v>
      </c>
      <c r="O522" s="17" t="str">
        <v/>
      </c>
      <c r="P522" s="17" t="str">
        <v/>
      </c>
      <c r="Q522" s="17">
        <v>0</v>
      </c>
      <c r="R522" s="17">
        <v>0</v>
      </c>
      <c r="S522" s="17">
        <v>0</v>
      </c>
      <c r="T522" s="22">
        <v>0</v>
      </c>
    </row>
    <row r="523" spans="2:20" x14ac:dyDescent="0.25">
      <c r="B523" s="21">
        <v>0</v>
      </c>
      <c r="C523" s="17">
        <v>0</v>
      </c>
      <c r="D523" s="17">
        <v>0</v>
      </c>
      <c r="E523" s="17">
        <v>0</v>
      </c>
      <c r="F523" s="17">
        <v>0</v>
      </c>
      <c r="G523" s="17">
        <v>0</v>
      </c>
      <c r="H523" s="38">
        <v>0</v>
      </c>
      <c r="I523" s="17" t="str">
        <v/>
      </c>
      <c r="J523" s="17">
        <v>0</v>
      </c>
      <c r="K523" s="38">
        <v>0</v>
      </c>
      <c r="L523" s="17" t="str">
        <v/>
      </c>
      <c r="M523" s="17">
        <v>0</v>
      </c>
      <c r="N523" s="17">
        <v>0</v>
      </c>
      <c r="O523" s="17" t="str">
        <v/>
      </c>
      <c r="P523" s="17" t="str">
        <v/>
      </c>
      <c r="Q523" s="17">
        <v>0</v>
      </c>
      <c r="R523" s="17">
        <v>0</v>
      </c>
      <c r="S523" s="17">
        <v>0</v>
      </c>
      <c r="T523" s="22">
        <v>0</v>
      </c>
    </row>
    <row r="524" spans="2:20" x14ac:dyDescent="0.25">
      <c r="B524" s="21">
        <v>0</v>
      </c>
      <c r="C524" s="17">
        <v>0</v>
      </c>
      <c r="D524" s="17">
        <v>0</v>
      </c>
      <c r="E524" s="17">
        <v>0</v>
      </c>
      <c r="F524" s="17">
        <v>0</v>
      </c>
      <c r="G524" s="17">
        <v>0</v>
      </c>
      <c r="H524" s="38">
        <v>0</v>
      </c>
      <c r="I524" s="17" t="str">
        <v/>
      </c>
      <c r="J524" s="17">
        <v>0</v>
      </c>
      <c r="K524" s="38">
        <v>0</v>
      </c>
      <c r="L524" s="17" t="str">
        <v/>
      </c>
      <c r="M524" s="17">
        <v>0</v>
      </c>
      <c r="N524" s="17">
        <v>0</v>
      </c>
      <c r="O524" s="17" t="str">
        <v/>
      </c>
      <c r="P524" s="17" t="str">
        <v/>
      </c>
      <c r="Q524" s="17">
        <v>0</v>
      </c>
      <c r="R524" s="17">
        <v>0</v>
      </c>
      <c r="S524" s="17">
        <v>0</v>
      </c>
      <c r="T524" s="22">
        <v>0</v>
      </c>
    </row>
    <row r="525" spans="2:20" x14ac:dyDescent="0.25">
      <c r="B525" s="21">
        <v>0</v>
      </c>
      <c r="C525" s="17">
        <v>0</v>
      </c>
      <c r="D525" s="17">
        <v>0</v>
      </c>
      <c r="E525" s="17">
        <v>0</v>
      </c>
      <c r="F525" s="17">
        <v>0</v>
      </c>
      <c r="G525" s="17">
        <v>0</v>
      </c>
      <c r="H525" s="38">
        <v>0</v>
      </c>
      <c r="I525" s="17" t="str">
        <v/>
      </c>
      <c r="J525" s="17">
        <v>0</v>
      </c>
      <c r="K525" s="38">
        <v>0</v>
      </c>
      <c r="L525" s="17" t="str">
        <v/>
      </c>
      <c r="M525" s="17">
        <v>0</v>
      </c>
      <c r="N525" s="17">
        <v>0</v>
      </c>
      <c r="O525" s="17" t="str">
        <v/>
      </c>
      <c r="P525" s="17" t="str">
        <v/>
      </c>
      <c r="Q525" s="17">
        <v>0</v>
      </c>
      <c r="R525" s="17">
        <v>0</v>
      </c>
      <c r="S525" s="17">
        <v>0</v>
      </c>
      <c r="T525" s="22">
        <v>0</v>
      </c>
    </row>
    <row r="526" spans="2:20" x14ac:dyDescent="0.25">
      <c r="B526" s="21">
        <v>0</v>
      </c>
      <c r="C526" s="17">
        <v>0</v>
      </c>
      <c r="D526" s="17">
        <v>0</v>
      </c>
      <c r="E526" s="17">
        <v>0</v>
      </c>
      <c r="F526" s="17">
        <v>0</v>
      </c>
      <c r="G526" s="17">
        <v>0</v>
      </c>
      <c r="H526" s="38">
        <v>0</v>
      </c>
      <c r="I526" s="17" t="str">
        <v/>
      </c>
      <c r="J526" s="17">
        <v>0</v>
      </c>
      <c r="K526" s="38">
        <v>0</v>
      </c>
      <c r="L526" s="17" t="str">
        <v/>
      </c>
      <c r="M526" s="17">
        <v>0</v>
      </c>
      <c r="N526" s="17">
        <v>0</v>
      </c>
      <c r="O526" s="17" t="str">
        <v/>
      </c>
      <c r="P526" s="17" t="str">
        <v/>
      </c>
      <c r="Q526" s="17">
        <v>0</v>
      </c>
      <c r="R526" s="17">
        <v>0</v>
      </c>
      <c r="S526" s="17">
        <v>0</v>
      </c>
      <c r="T526" s="22">
        <v>0</v>
      </c>
    </row>
    <row r="527" spans="2:20" x14ac:dyDescent="0.25">
      <c r="B527" s="21">
        <v>0</v>
      </c>
      <c r="C527" s="17">
        <v>0</v>
      </c>
      <c r="D527" s="17">
        <v>0</v>
      </c>
      <c r="E527" s="17">
        <v>0</v>
      </c>
      <c r="F527" s="17">
        <v>0</v>
      </c>
      <c r="G527" s="17">
        <v>0</v>
      </c>
      <c r="H527" s="38">
        <v>0</v>
      </c>
      <c r="I527" s="17" t="str">
        <v/>
      </c>
      <c r="J527" s="17">
        <v>0</v>
      </c>
      <c r="K527" s="38">
        <v>0</v>
      </c>
      <c r="L527" s="17" t="str">
        <v/>
      </c>
      <c r="M527" s="17">
        <v>0</v>
      </c>
      <c r="N527" s="17">
        <v>0</v>
      </c>
      <c r="O527" s="17" t="str">
        <v/>
      </c>
      <c r="P527" s="17" t="str">
        <v/>
      </c>
      <c r="Q527" s="17">
        <v>0</v>
      </c>
      <c r="R527" s="17">
        <v>0</v>
      </c>
      <c r="S527" s="17">
        <v>0</v>
      </c>
      <c r="T527" s="22">
        <v>0</v>
      </c>
    </row>
    <row r="528" spans="2:20" x14ac:dyDescent="0.25">
      <c r="B528" s="21">
        <v>0</v>
      </c>
      <c r="C528" s="17">
        <v>0</v>
      </c>
      <c r="D528" s="17">
        <v>0</v>
      </c>
      <c r="E528" s="17">
        <v>0</v>
      </c>
      <c r="F528" s="17">
        <v>0</v>
      </c>
      <c r="G528" s="17">
        <v>0</v>
      </c>
      <c r="H528" s="38">
        <v>0</v>
      </c>
      <c r="I528" s="17" t="str">
        <v/>
      </c>
      <c r="J528" s="17">
        <v>0</v>
      </c>
      <c r="K528" s="38">
        <v>0</v>
      </c>
      <c r="L528" s="17" t="str">
        <v/>
      </c>
      <c r="M528" s="17">
        <v>0</v>
      </c>
      <c r="N528" s="17">
        <v>0</v>
      </c>
      <c r="O528" s="17" t="str">
        <v/>
      </c>
      <c r="P528" s="17" t="str">
        <v/>
      </c>
      <c r="Q528" s="17">
        <v>0</v>
      </c>
      <c r="R528" s="17">
        <v>0</v>
      </c>
      <c r="S528" s="17">
        <v>0</v>
      </c>
      <c r="T528" s="22">
        <v>0</v>
      </c>
    </row>
    <row r="529" spans="2:20" x14ac:dyDescent="0.25">
      <c r="B529" s="21">
        <v>0</v>
      </c>
      <c r="C529" s="17">
        <v>0</v>
      </c>
      <c r="D529" s="17">
        <v>0</v>
      </c>
      <c r="E529" s="17">
        <v>0</v>
      </c>
      <c r="F529" s="17">
        <v>0</v>
      </c>
      <c r="G529" s="17">
        <v>0</v>
      </c>
      <c r="H529" s="38">
        <v>0</v>
      </c>
      <c r="I529" s="17" t="str">
        <v/>
      </c>
      <c r="J529" s="17">
        <v>0</v>
      </c>
      <c r="K529" s="38">
        <v>0</v>
      </c>
      <c r="L529" s="17" t="str">
        <v/>
      </c>
      <c r="M529" s="17">
        <v>0</v>
      </c>
      <c r="N529" s="17">
        <v>0</v>
      </c>
      <c r="O529" s="17" t="str">
        <v/>
      </c>
      <c r="P529" s="17" t="str">
        <v/>
      </c>
      <c r="Q529" s="17">
        <v>0</v>
      </c>
      <c r="R529" s="17">
        <v>0</v>
      </c>
      <c r="S529" s="17">
        <v>0</v>
      </c>
      <c r="T529" s="22">
        <v>0</v>
      </c>
    </row>
    <row r="530" spans="2:20" x14ac:dyDescent="0.25">
      <c r="B530" s="21">
        <v>0</v>
      </c>
      <c r="C530" s="17">
        <v>0</v>
      </c>
      <c r="D530" s="17">
        <v>0</v>
      </c>
      <c r="E530" s="17">
        <v>0</v>
      </c>
      <c r="F530" s="17">
        <v>0</v>
      </c>
      <c r="G530" s="17">
        <v>0</v>
      </c>
      <c r="H530" s="38">
        <v>0</v>
      </c>
      <c r="I530" s="17" t="str">
        <v/>
      </c>
      <c r="J530" s="17">
        <v>0</v>
      </c>
      <c r="K530" s="38">
        <v>0</v>
      </c>
      <c r="L530" s="17" t="str">
        <v/>
      </c>
      <c r="M530" s="17">
        <v>0</v>
      </c>
      <c r="N530" s="17">
        <v>0</v>
      </c>
      <c r="O530" s="17" t="str">
        <v/>
      </c>
      <c r="P530" s="17" t="str">
        <v/>
      </c>
      <c r="Q530" s="17">
        <v>0</v>
      </c>
      <c r="R530" s="17">
        <v>0</v>
      </c>
      <c r="S530" s="17">
        <v>0</v>
      </c>
      <c r="T530" s="22">
        <v>0</v>
      </c>
    </row>
    <row r="531" spans="2:20" x14ac:dyDescent="0.25">
      <c r="B531" s="21">
        <v>0</v>
      </c>
      <c r="C531" s="17">
        <v>0</v>
      </c>
      <c r="D531" s="17">
        <v>0</v>
      </c>
      <c r="E531" s="17">
        <v>0</v>
      </c>
      <c r="F531" s="17">
        <v>0</v>
      </c>
      <c r="G531" s="17">
        <v>0</v>
      </c>
      <c r="H531" s="38">
        <v>0</v>
      </c>
      <c r="I531" s="17" t="str">
        <v/>
      </c>
      <c r="J531" s="17">
        <v>0</v>
      </c>
      <c r="K531" s="38">
        <v>0</v>
      </c>
      <c r="L531" s="17" t="str">
        <v/>
      </c>
      <c r="M531" s="17">
        <v>0</v>
      </c>
      <c r="N531" s="17">
        <v>0</v>
      </c>
      <c r="O531" s="17" t="str">
        <v/>
      </c>
      <c r="P531" s="17" t="str">
        <v/>
      </c>
      <c r="Q531" s="17">
        <v>0</v>
      </c>
      <c r="R531" s="17">
        <v>0</v>
      </c>
      <c r="S531" s="17">
        <v>0</v>
      </c>
      <c r="T531" s="22">
        <v>0</v>
      </c>
    </row>
    <row r="532" spans="2:20" x14ac:dyDescent="0.25">
      <c r="B532" s="21">
        <v>0</v>
      </c>
      <c r="C532" s="17">
        <v>0</v>
      </c>
      <c r="D532" s="17">
        <v>0</v>
      </c>
      <c r="E532" s="17">
        <v>0</v>
      </c>
      <c r="F532" s="17">
        <v>0</v>
      </c>
      <c r="G532" s="17">
        <v>0</v>
      </c>
      <c r="H532" s="38">
        <v>0</v>
      </c>
      <c r="I532" s="17" t="str">
        <v/>
      </c>
      <c r="J532" s="17">
        <v>0</v>
      </c>
      <c r="K532" s="38">
        <v>0</v>
      </c>
      <c r="L532" s="17" t="str">
        <v/>
      </c>
      <c r="M532" s="17">
        <v>0</v>
      </c>
      <c r="N532" s="17">
        <v>0</v>
      </c>
      <c r="O532" s="17" t="str">
        <v/>
      </c>
      <c r="P532" s="17" t="str">
        <v/>
      </c>
      <c r="Q532" s="17">
        <v>0</v>
      </c>
      <c r="R532" s="17">
        <v>0</v>
      </c>
      <c r="S532" s="17">
        <v>0</v>
      </c>
      <c r="T532" s="22">
        <v>0</v>
      </c>
    </row>
    <row r="533" spans="2:20" x14ac:dyDescent="0.25">
      <c r="B533" s="21">
        <v>0</v>
      </c>
      <c r="C533" s="17">
        <v>0</v>
      </c>
      <c r="D533" s="17">
        <v>0</v>
      </c>
      <c r="E533" s="17">
        <v>0</v>
      </c>
      <c r="F533" s="17">
        <v>0</v>
      </c>
      <c r="G533" s="17">
        <v>0</v>
      </c>
      <c r="H533" s="38">
        <v>0</v>
      </c>
      <c r="I533" s="17" t="str">
        <v/>
      </c>
      <c r="J533" s="17">
        <v>0</v>
      </c>
      <c r="K533" s="38">
        <v>0</v>
      </c>
      <c r="L533" s="17" t="str">
        <v/>
      </c>
      <c r="M533" s="17">
        <v>0</v>
      </c>
      <c r="N533" s="17">
        <v>0</v>
      </c>
      <c r="O533" s="17" t="str">
        <v/>
      </c>
      <c r="P533" s="17" t="str">
        <v/>
      </c>
      <c r="Q533" s="17">
        <v>0</v>
      </c>
      <c r="R533" s="17">
        <v>0</v>
      </c>
      <c r="S533" s="17">
        <v>0</v>
      </c>
      <c r="T533" s="22">
        <v>0</v>
      </c>
    </row>
    <row r="534" spans="2:20" x14ac:dyDescent="0.25">
      <c r="B534" s="21">
        <v>0</v>
      </c>
      <c r="C534" s="17">
        <v>0</v>
      </c>
      <c r="D534" s="17">
        <v>0</v>
      </c>
      <c r="E534" s="17">
        <v>0</v>
      </c>
      <c r="F534" s="17">
        <v>0</v>
      </c>
      <c r="G534" s="17">
        <v>0</v>
      </c>
      <c r="H534" s="38">
        <v>0</v>
      </c>
      <c r="I534" s="17" t="str">
        <v/>
      </c>
      <c r="J534" s="17">
        <v>0</v>
      </c>
      <c r="K534" s="38">
        <v>0</v>
      </c>
      <c r="L534" s="17" t="str">
        <v/>
      </c>
      <c r="M534" s="17">
        <v>0</v>
      </c>
      <c r="N534" s="17">
        <v>0</v>
      </c>
      <c r="O534" s="17" t="str">
        <v/>
      </c>
      <c r="P534" s="17" t="str">
        <v/>
      </c>
      <c r="Q534" s="17">
        <v>0</v>
      </c>
      <c r="R534" s="17">
        <v>0</v>
      </c>
      <c r="S534" s="17">
        <v>0</v>
      </c>
      <c r="T534" s="22">
        <v>0</v>
      </c>
    </row>
    <row r="535" spans="2:20" x14ac:dyDescent="0.25">
      <c r="B535" s="21">
        <v>0</v>
      </c>
      <c r="C535" s="17">
        <v>0</v>
      </c>
      <c r="D535" s="17">
        <v>0</v>
      </c>
      <c r="E535" s="17">
        <v>0</v>
      </c>
      <c r="F535" s="17">
        <v>0</v>
      </c>
      <c r="G535" s="17">
        <v>0</v>
      </c>
      <c r="H535" s="38">
        <v>0</v>
      </c>
      <c r="I535" s="17" t="str">
        <v/>
      </c>
      <c r="J535" s="17">
        <v>0</v>
      </c>
      <c r="K535" s="38">
        <v>0</v>
      </c>
      <c r="L535" s="17" t="str">
        <v/>
      </c>
      <c r="M535" s="17">
        <v>0</v>
      </c>
      <c r="N535" s="17">
        <v>0</v>
      </c>
      <c r="O535" s="17" t="str">
        <v/>
      </c>
      <c r="P535" s="17" t="str">
        <v/>
      </c>
      <c r="Q535" s="17">
        <v>0</v>
      </c>
      <c r="R535" s="17">
        <v>0</v>
      </c>
      <c r="S535" s="17">
        <v>0</v>
      </c>
      <c r="T535" s="22">
        <v>0</v>
      </c>
    </row>
    <row r="536" spans="2:20" x14ac:dyDescent="0.25">
      <c r="B536" s="21">
        <v>0</v>
      </c>
      <c r="C536" s="17">
        <v>0</v>
      </c>
      <c r="D536" s="17">
        <v>0</v>
      </c>
      <c r="E536" s="17">
        <v>0</v>
      </c>
      <c r="F536" s="17">
        <v>0</v>
      </c>
      <c r="G536" s="17">
        <v>0</v>
      </c>
      <c r="H536" s="38">
        <v>0</v>
      </c>
      <c r="I536" s="17" t="str">
        <v/>
      </c>
      <c r="J536" s="17">
        <v>0</v>
      </c>
      <c r="K536" s="38">
        <v>0</v>
      </c>
      <c r="L536" s="17" t="str">
        <v/>
      </c>
      <c r="M536" s="17">
        <v>0</v>
      </c>
      <c r="N536" s="17">
        <v>0</v>
      </c>
      <c r="O536" s="17" t="str">
        <v/>
      </c>
      <c r="P536" s="17" t="str">
        <v/>
      </c>
      <c r="Q536" s="17">
        <v>0</v>
      </c>
      <c r="R536" s="17">
        <v>0</v>
      </c>
      <c r="S536" s="17">
        <v>0</v>
      </c>
      <c r="T536" s="22">
        <v>0</v>
      </c>
    </row>
    <row r="537" spans="2:20" x14ac:dyDescent="0.25">
      <c r="B537" s="21">
        <v>0</v>
      </c>
      <c r="C537" s="17">
        <v>0</v>
      </c>
      <c r="D537" s="17">
        <v>0</v>
      </c>
      <c r="E537" s="17">
        <v>0</v>
      </c>
      <c r="F537" s="17">
        <v>0</v>
      </c>
      <c r="G537" s="17">
        <v>0</v>
      </c>
      <c r="H537" s="38">
        <v>0</v>
      </c>
      <c r="I537" s="17" t="str">
        <v/>
      </c>
      <c r="J537" s="17">
        <v>0</v>
      </c>
      <c r="K537" s="38">
        <v>0</v>
      </c>
      <c r="L537" s="17" t="str">
        <v/>
      </c>
      <c r="M537" s="17">
        <v>0</v>
      </c>
      <c r="N537" s="17">
        <v>0</v>
      </c>
      <c r="O537" s="17" t="str">
        <v/>
      </c>
      <c r="P537" s="17" t="str">
        <v/>
      </c>
      <c r="Q537" s="17">
        <v>0</v>
      </c>
      <c r="R537" s="17">
        <v>0</v>
      </c>
      <c r="S537" s="17">
        <v>0</v>
      </c>
      <c r="T537" s="22">
        <v>0</v>
      </c>
    </row>
    <row r="538" spans="2:20" x14ac:dyDescent="0.25">
      <c r="B538" s="21">
        <v>0</v>
      </c>
      <c r="C538" s="17">
        <v>0</v>
      </c>
      <c r="D538" s="17">
        <v>0</v>
      </c>
      <c r="E538" s="17">
        <v>0</v>
      </c>
      <c r="F538" s="17">
        <v>0</v>
      </c>
      <c r="G538" s="17">
        <v>0</v>
      </c>
      <c r="H538" s="38">
        <v>0</v>
      </c>
      <c r="I538" s="17" t="str">
        <v/>
      </c>
      <c r="J538" s="17">
        <v>0</v>
      </c>
      <c r="K538" s="38">
        <v>0</v>
      </c>
      <c r="L538" s="17" t="str">
        <v/>
      </c>
      <c r="M538" s="17">
        <v>0</v>
      </c>
      <c r="N538" s="17">
        <v>0</v>
      </c>
      <c r="O538" s="17" t="str">
        <v/>
      </c>
      <c r="P538" s="17" t="str">
        <v/>
      </c>
      <c r="Q538" s="17">
        <v>0</v>
      </c>
      <c r="R538" s="17">
        <v>0</v>
      </c>
      <c r="S538" s="17">
        <v>0</v>
      </c>
      <c r="T538" s="22">
        <v>0</v>
      </c>
    </row>
    <row r="539" spans="2:20" x14ac:dyDescent="0.25">
      <c r="B539" s="21">
        <v>0</v>
      </c>
      <c r="C539" s="17">
        <v>0</v>
      </c>
      <c r="D539" s="17">
        <v>0</v>
      </c>
      <c r="E539" s="17">
        <v>0</v>
      </c>
      <c r="F539" s="17">
        <v>0</v>
      </c>
      <c r="G539" s="17">
        <v>0</v>
      </c>
      <c r="H539" s="38">
        <v>0</v>
      </c>
      <c r="I539" s="17" t="str">
        <v/>
      </c>
      <c r="J539" s="17">
        <v>0</v>
      </c>
      <c r="K539" s="38">
        <v>0</v>
      </c>
      <c r="L539" s="17" t="str">
        <v/>
      </c>
      <c r="M539" s="17">
        <v>0</v>
      </c>
      <c r="N539" s="17">
        <v>0</v>
      </c>
      <c r="O539" s="17" t="str">
        <v/>
      </c>
      <c r="P539" s="17" t="str">
        <v/>
      </c>
      <c r="Q539" s="17">
        <v>0</v>
      </c>
      <c r="R539" s="17">
        <v>0</v>
      </c>
      <c r="S539" s="17">
        <v>0</v>
      </c>
      <c r="T539" s="22">
        <v>0</v>
      </c>
    </row>
    <row r="540" spans="2:20" x14ac:dyDescent="0.25">
      <c r="B540" s="21">
        <v>0</v>
      </c>
      <c r="C540" s="17">
        <v>0</v>
      </c>
      <c r="D540" s="17">
        <v>0</v>
      </c>
      <c r="E540" s="17">
        <v>0</v>
      </c>
      <c r="F540" s="17">
        <v>0</v>
      </c>
      <c r="G540" s="17">
        <v>0</v>
      </c>
      <c r="H540" s="38">
        <v>0</v>
      </c>
      <c r="I540" s="17" t="str">
        <v/>
      </c>
      <c r="J540" s="17">
        <v>0</v>
      </c>
      <c r="K540" s="38">
        <v>0</v>
      </c>
      <c r="L540" s="17" t="str">
        <v/>
      </c>
      <c r="M540" s="17">
        <v>0</v>
      </c>
      <c r="N540" s="17">
        <v>0</v>
      </c>
      <c r="O540" s="17" t="str">
        <v/>
      </c>
      <c r="P540" s="17" t="str">
        <v/>
      </c>
      <c r="Q540" s="17">
        <v>0</v>
      </c>
      <c r="R540" s="17">
        <v>0</v>
      </c>
      <c r="S540" s="17">
        <v>0</v>
      </c>
      <c r="T540" s="22">
        <v>0</v>
      </c>
    </row>
    <row r="541" spans="2:20" x14ac:dyDescent="0.25">
      <c r="B541" s="21">
        <v>0</v>
      </c>
      <c r="C541" s="17">
        <v>0</v>
      </c>
      <c r="D541" s="17">
        <v>0</v>
      </c>
      <c r="E541" s="17">
        <v>0</v>
      </c>
      <c r="F541" s="17">
        <v>0</v>
      </c>
      <c r="G541" s="17">
        <v>0</v>
      </c>
      <c r="H541" s="38">
        <v>0</v>
      </c>
      <c r="I541" s="17" t="str">
        <v/>
      </c>
      <c r="J541" s="17">
        <v>0</v>
      </c>
      <c r="K541" s="38">
        <v>0</v>
      </c>
      <c r="L541" s="17" t="str">
        <v/>
      </c>
      <c r="M541" s="17">
        <v>0</v>
      </c>
      <c r="N541" s="17">
        <v>0</v>
      </c>
      <c r="O541" s="17" t="str">
        <v/>
      </c>
      <c r="P541" s="17" t="str">
        <v/>
      </c>
      <c r="Q541" s="17">
        <v>0</v>
      </c>
      <c r="R541" s="17">
        <v>0</v>
      </c>
      <c r="S541" s="17">
        <v>0</v>
      </c>
      <c r="T541" s="22">
        <v>0</v>
      </c>
    </row>
    <row r="542" spans="2:20" x14ac:dyDescent="0.25">
      <c r="B542" s="21">
        <v>0</v>
      </c>
      <c r="C542" s="17">
        <v>0</v>
      </c>
      <c r="D542" s="17">
        <v>0</v>
      </c>
      <c r="E542" s="17">
        <v>0</v>
      </c>
      <c r="F542" s="17">
        <v>0</v>
      </c>
      <c r="G542" s="17">
        <v>0</v>
      </c>
      <c r="H542" s="38">
        <v>0</v>
      </c>
      <c r="I542" s="17" t="str">
        <v/>
      </c>
      <c r="J542" s="17">
        <v>0</v>
      </c>
      <c r="K542" s="38">
        <v>0</v>
      </c>
      <c r="L542" s="17" t="str">
        <v/>
      </c>
      <c r="M542" s="17">
        <v>0</v>
      </c>
      <c r="N542" s="17">
        <v>0</v>
      </c>
      <c r="O542" s="17" t="str">
        <v/>
      </c>
      <c r="P542" s="17" t="str">
        <v/>
      </c>
      <c r="Q542" s="17">
        <v>0</v>
      </c>
      <c r="R542" s="17">
        <v>0</v>
      </c>
      <c r="S542" s="17">
        <v>0</v>
      </c>
      <c r="T542" s="22">
        <v>0</v>
      </c>
    </row>
    <row r="543" spans="2:20" x14ac:dyDescent="0.25">
      <c r="B543" s="21">
        <v>0</v>
      </c>
      <c r="C543" s="17">
        <v>0</v>
      </c>
      <c r="D543" s="17">
        <v>0</v>
      </c>
      <c r="E543" s="17">
        <v>0</v>
      </c>
      <c r="F543" s="17">
        <v>0</v>
      </c>
      <c r="G543" s="17">
        <v>0</v>
      </c>
      <c r="H543" s="38">
        <v>0</v>
      </c>
      <c r="I543" s="17" t="str">
        <v/>
      </c>
      <c r="J543" s="17">
        <v>0</v>
      </c>
      <c r="K543" s="38">
        <v>0</v>
      </c>
      <c r="L543" s="17" t="str">
        <v/>
      </c>
      <c r="M543" s="17">
        <v>0</v>
      </c>
      <c r="N543" s="17">
        <v>0</v>
      </c>
      <c r="O543" s="17" t="str">
        <v/>
      </c>
      <c r="P543" s="17" t="str">
        <v/>
      </c>
      <c r="Q543" s="17">
        <v>0</v>
      </c>
      <c r="R543" s="17">
        <v>0</v>
      </c>
      <c r="S543" s="17">
        <v>0</v>
      </c>
      <c r="T543" s="22">
        <v>0</v>
      </c>
    </row>
    <row r="544" spans="2:20" x14ac:dyDescent="0.25">
      <c r="B544" s="21">
        <v>0</v>
      </c>
      <c r="C544" s="17">
        <v>0</v>
      </c>
      <c r="D544" s="17">
        <v>0</v>
      </c>
      <c r="E544" s="17">
        <v>0</v>
      </c>
      <c r="F544" s="17">
        <v>0</v>
      </c>
      <c r="G544" s="17">
        <v>0</v>
      </c>
      <c r="H544" s="38">
        <v>0</v>
      </c>
      <c r="I544" s="17" t="str">
        <v/>
      </c>
      <c r="J544" s="17">
        <v>0</v>
      </c>
      <c r="K544" s="38">
        <v>0</v>
      </c>
      <c r="L544" s="17" t="str">
        <v/>
      </c>
      <c r="M544" s="17">
        <v>0</v>
      </c>
      <c r="N544" s="17">
        <v>0</v>
      </c>
      <c r="O544" s="17" t="str">
        <v/>
      </c>
      <c r="P544" s="17" t="str">
        <v/>
      </c>
      <c r="Q544" s="17">
        <v>0</v>
      </c>
      <c r="R544" s="17">
        <v>0</v>
      </c>
      <c r="S544" s="17">
        <v>0</v>
      </c>
      <c r="T544" s="22">
        <v>0</v>
      </c>
    </row>
    <row r="545" spans="2:20" x14ac:dyDescent="0.25">
      <c r="B545" s="21">
        <v>0</v>
      </c>
      <c r="C545" s="17">
        <v>0</v>
      </c>
      <c r="D545" s="17">
        <v>0</v>
      </c>
      <c r="E545" s="17">
        <v>0</v>
      </c>
      <c r="F545" s="17">
        <v>0</v>
      </c>
      <c r="G545" s="17">
        <v>0</v>
      </c>
      <c r="H545" s="38">
        <v>0</v>
      </c>
      <c r="I545" s="17" t="str">
        <v/>
      </c>
      <c r="J545" s="17">
        <v>0</v>
      </c>
      <c r="K545" s="38">
        <v>0</v>
      </c>
      <c r="L545" s="17" t="str">
        <v/>
      </c>
      <c r="M545" s="17">
        <v>0</v>
      </c>
      <c r="N545" s="17">
        <v>0</v>
      </c>
      <c r="O545" s="17" t="str">
        <v/>
      </c>
      <c r="P545" s="17" t="str">
        <v/>
      </c>
      <c r="Q545" s="17">
        <v>0</v>
      </c>
      <c r="R545" s="17">
        <v>0</v>
      </c>
      <c r="S545" s="17">
        <v>0</v>
      </c>
      <c r="T545" s="22">
        <v>0</v>
      </c>
    </row>
    <row r="546" spans="2:20" x14ac:dyDescent="0.25">
      <c r="B546" s="21">
        <v>0</v>
      </c>
      <c r="C546" s="17">
        <v>0</v>
      </c>
      <c r="D546" s="17">
        <v>0</v>
      </c>
      <c r="E546" s="17">
        <v>0</v>
      </c>
      <c r="F546" s="17">
        <v>0</v>
      </c>
      <c r="G546" s="17">
        <v>0</v>
      </c>
      <c r="H546" s="38">
        <v>0</v>
      </c>
      <c r="I546" s="17" t="str">
        <v/>
      </c>
      <c r="J546" s="17">
        <v>0</v>
      </c>
      <c r="K546" s="38">
        <v>0</v>
      </c>
      <c r="L546" s="17" t="str">
        <v/>
      </c>
      <c r="M546" s="17">
        <v>0</v>
      </c>
      <c r="N546" s="17">
        <v>0</v>
      </c>
      <c r="O546" s="17" t="str">
        <v/>
      </c>
      <c r="P546" s="17" t="str">
        <v/>
      </c>
      <c r="Q546" s="17">
        <v>0</v>
      </c>
      <c r="R546" s="17">
        <v>0</v>
      </c>
      <c r="S546" s="17">
        <v>0</v>
      </c>
      <c r="T546" s="22">
        <v>0</v>
      </c>
    </row>
    <row r="547" spans="2:20" x14ac:dyDescent="0.25">
      <c r="B547" s="21">
        <v>0</v>
      </c>
      <c r="C547" s="17">
        <v>0</v>
      </c>
      <c r="D547" s="17">
        <v>0</v>
      </c>
      <c r="E547" s="17">
        <v>0</v>
      </c>
      <c r="F547" s="17">
        <v>0</v>
      </c>
      <c r="G547" s="17">
        <v>0</v>
      </c>
      <c r="H547" s="38">
        <v>0</v>
      </c>
      <c r="I547" s="17" t="str">
        <v/>
      </c>
      <c r="J547" s="17">
        <v>0</v>
      </c>
      <c r="K547" s="38">
        <v>0</v>
      </c>
      <c r="L547" s="17" t="str">
        <v/>
      </c>
      <c r="M547" s="17">
        <v>0</v>
      </c>
      <c r="N547" s="17">
        <v>0</v>
      </c>
      <c r="O547" s="17" t="str">
        <v/>
      </c>
      <c r="P547" s="17" t="str">
        <v/>
      </c>
      <c r="Q547" s="17">
        <v>0</v>
      </c>
      <c r="R547" s="17">
        <v>0</v>
      </c>
      <c r="S547" s="17">
        <v>0</v>
      </c>
      <c r="T547" s="22">
        <v>0</v>
      </c>
    </row>
    <row r="548" spans="2:20" x14ac:dyDescent="0.25">
      <c r="B548" s="21">
        <v>0</v>
      </c>
      <c r="C548" s="17">
        <v>0</v>
      </c>
      <c r="D548" s="17">
        <v>0</v>
      </c>
      <c r="E548" s="17">
        <v>0</v>
      </c>
      <c r="F548" s="17">
        <v>0</v>
      </c>
      <c r="G548" s="17">
        <v>0</v>
      </c>
      <c r="H548" s="38">
        <v>0</v>
      </c>
      <c r="I548" s="17" t="str">
        <v/>
      </c>
      <c r="J548" s="17">
        <v>0</v>
      </c>
      <c r="K548" s="38">
        <v>0</v>
      </c>
      <c r="L548" s="17" t="str">
        <v/>
      </c>
      <c r="M548" s="17">
        <v>0</v>
      </c>
      <c r="N548" s="17">
        <v>0</v>
      </c>
      <c r="O548" s="17" t="str">
        <v/>
      </c>
      <c r="P548" s="17" t="str">
        <v/>
      </c>
      <c r="Q548" s="17">
        <v>0</v>
      </c>
      <c r="R548" s="17">
        <v>0</v>
      </c>
      <c r="S548" s="17">
        <v>0</v>
      </c>
      <c r="T548" s="22">
        <v>0</v>
      </c>
    </row>
    <row r="549" spans="2:20" x14ac:dyDescent="0.25">
      <c r="B549" s="21">
        <v>0</v>
      </c>
      <c r="C549" s="17">
        <v>0</v>
      </c>
      <c r="D549" s="17">
        <v>0</v>
      </c>
      <c r="E549" s="17">
        <v>0</v>
      </c>
      <c r="F549" s="17">
        <v>0</v>
      </c>
      <c r="G549" s="17">
        <v>0</v>
      </c>
      <c r="H549" s="38">
        <v>0</v>
      </c>
      <c r="I549" s="17" t="str">
        <v/>
      </c>
      <c r="J549" s="17">
        <v>0</v>
      </c>
      <c r="K549" s="38">
        <v>0</v>
      </c>
      <c r="L549" s="17" t="str">
        <v/>
      </c>
      <c r="M549" s="17">
        <v>0</v>
      </c>
      <c r="N549" s="17">
        <v>0</v>
      </c>
      <c r="O549" s="17" t="str">
        <v/>
      </c>
      <c r="P549" s="17" t="str">
        <v/>
      </c>
      <c r="Q549" s="17">
        <v>0</v>
      </c>
      <c r="R549" s="17">
        <v>0</v>
      </c>
      <c r="S549" s="17">
        <v>0</v>
      </c>
      <c r="T549" s="22">
        <v>0</v>
      </c>
    </row>
    <row r="550" spans="2:20" x14ac:dyDescent="0.25">
      <c r="B550" s="21">
        <v>0</v>
      </c>
      <c r="C550" s="17">
        <v>0</v>
      </c>
      <c r="D550" s="17">
        <v>0</v>
      </c>
      <c r="E550" s="17">
        <v>0</v>
      </c>
      <c r="F550" s="17">
        <v>0</v>
      </c>
      <c r="G550" s="17">
        <v>0</v>
      </c>
      <c r="H550" s="38">
        <v>0</v>
      </c>
      <c r="I550" s="17" t="str">
        <v/>
      </c>
      <c r="J550" s="17">
        <v>0</v>
      </c>
      <c r="K550" s="38">
        <v>0</v>
      </c>
      <c r="L550" s="17" t="str">
        <v/>
      </c>
      <c r="M550" s="17">
        <v>0</v>
      </c>
      <c r="N550" s="17">
        <v>0</v>
      </c>
      <c r="O550" s="17" t="str">
        <v/>
      </c>
      <c r="P550" s="17" t="str">
        <v/>
      </c>
      <c r="Q550" s="17">
        <v>0</v>
      </c>
      <c r="R550" s="17">
        <v>0</v>
      </c>
      <c r="S550" s="17">
        <v>0</v>
      </c>
      <c r="T550" s="22">
        <v>0</v>
      </c>
    </row>
    <row r="551" spans="2:20" x14ac:dyDescent="0.25">
      <c r="B551" s="21">
        <v>0</v>
      </c>
      <c r="C551" s="17">
        <v>0</v>
      </c>
      <c r="D551" s="17">
        <v>0</v>
      </c>
      <c r="E551" s="17">
        <v>0</v>
      </c>
      <c r="F551" s="17">
        <v>0</v>
      </c>
      <c r="G551" s="17">
        <v>0</v>
      </c>
      <c r="H551" s="38">
        <v>0</v>
      </c>
      <c r="I551" s="17" t="str">
        <v/>
      </c>
      <c r="J551" s="17">
        <v>0</v>
      </c>
      <c r="K551" s="38">
        <v>0</v>
      </c>
      <c r="L551" s="17" t="str">
        <v/>
      </c>
      <c r="M551" s="17">
        <v>0</v>
      </c>
      <c r="N551" s="17">
        <v>0</v>
      </c>
      <c r="O551" s="17" t="str">
        <v/>
      </c>
      <c r="P551" s="17" t="str">
        <v/>
      </c>
      <c r="Q551" s="17">
        <v>0</v>
      </c>
      <c r="R551" s="17">
        <v>0</v>
      </c>
      <c r="S551" s="17">
        <v>0</v>
      </c>
      <c r="T551" s="22">
        <v>0</v>
      </c>
    </row>
    <row r="552" spans="2:20" x14ac:dyDescent="0.25">
      <c r="B552" s="21">
        <v>0</v>
      </c>
      <c r="C552" s="17">
        <v>0</v>
      </c>
      <c r="D552" s="17">
        <v>0</v>
      </c>
      <c r="E552" s="17">
        <v>0</v>
      </c>
      <c r="F552" s="17">
        <v>0</v>
      </c>
      <c r="G552" s="17">
        <v>0</v>
      </c>
      <c r="H552" s="38">
        <v>0</v>
      </c>
      <c r="I552" s="17" t="str">
        <v/>
      </c>
      <c r="J552" s="17">
        <v>0</v>
      </c>
      <c r="K552" s="38">
        <v>0</v>
      </c>
      <c r="L552" s="17" t="str">
        <v/>
      </c>
      <c r="M552" s="17">
        <v>0</v>
      </c>
      <c r="N552" s="17">
        <v>0</v>
      </c>
      <c r="O552" s="17" t="str">
        <v/>
      </c>
      <c r="P552" s="17" t="str">
        <v/>
      </c>
      <c r="Q552" s="17">
        <v>0</v>
      </c>
      <c r="R552" s="17">
        <v>0</v>
      </c>
      <c r="S552" s="17">
        <v>0</v>
      </c>
      <c r="T552" s="22">
        <v>0</v>
      </c>
    </row>
    <row r="553" spans="2:20" x14ac:dyDescent="0.25">
      <c r="B553" s="21">
        <v>0</v>
      </c>
      <c r="C553" s="17">
        <v>0</v>
      </c>
      <c r="D553" s="17">
        <v>0</v>
      </c>
      <c r="E553" s="17">
        <v>0</v>
      </c>
      <c r="F553" s="17">
        <v>0</v>
      </c>
      <c r="G553" s="17">
        <v>0</v>
      </c>
      <c r="H553" s="38">
        <v>0</v>
      </c>
      <c r="I553" s="17" t="str">
        <v/>
      </c>
      <c r="J553" s="17">
        <v>0</v>
      </c>
      <c r="K553" s="38">
        <v>0</v>
      </c>
      <c r="L553" s="17" t="str">
        <v/>
      </c>
      <c r="M553" s="17">
        <v>0</v>
      </c>
      <c r="N553" s="17">
        <v>0</v>
      </c>
      <c r="O553" s="17" t="str">
        <v/>
      </c>
      <c r="P553" s="17" t="str">
        <v/>
      </c>
      <c r="Q553" s="17">
        <v>0</v>
      </c>
      <c r="R553" s="17">
        <v>0</v>
      </c>
      <c r="S553" s="17">
        <v>0</v>
      </c>
      <c r="T553" s="22">
        <v>0</v>
      </c>
    </row>
    <row r="554" spans="2:20" x14ac:dyDescent="0.25">
      <c r="B554" s="21">
        <v>0</v>
      </c>
      <c r="C554" s="17">
        <v>0</v>
      </c>
      <c r="D554" s="17">
        <v>0</v>
      </c>
      <c r="E554" s="17">
        <v>0</v>
      </c>
      <c r="F554" s="17">
        <v>0</v>
      </c>
      <c r="G554" s="17">
        <v>0</v>
      </c>
      <c r="H554" s="38">
        <v>0</v>
      </c>
      <c r="I554" s="17" t="str">
        <v/>
      </c>
      <c r="J554" s="17">
        <v>0</v>
      </c>
      <c r="K554" s="38">
        <v>0</v>
      </c>
      <c r="L554" s="17" t="str">
        <v/>
      </c>
      <c r="M554" s="17">
        <v>0</v>
      </c>
      <c r="N554" s="17">
        <v>0</v>
      </c>
      <c r="O554" s="17" t="str">
        <v/>
      </c>
      <c r="P554" s="17" t="str">
        <v/>
      </c>
      <c r="Q554" s="17">
        <v>0</v>
      </c>
      <c r="R554" s="17">
        <v>0</v>
      </c>
      <c r="S554" s="17">
        <v>0</v>
      </c>
      <c r="T554" s="22">
        <v>0</v>
      </c>
    </row>
    <row r="555" spans="2:20" x14ac:dyDescent="0.25">
      <c r="B555" s="21">
        <v>0</v>
      </c>
      <c r="C555" s="17">
        <v>0</v>
      </c>
      <c r="D555" s="17">
        <v>0</v>
      </c>
      <c r="E555" s="17">
        <v>0</v>
      </c>
      <c r="F555" s="17">
        <v>0</v>
      </c>
      <c r="G555" s="17">
        <v>0</v>
      </c>
      <c r="H555" s="38">
        <v>0</v>
      </c>
      <c r="I555" s="17" t="str">
        <v/>
      </c>
      <c r="J555" s="17">
        <v>0</v>
      </c>
      <c r="K555" s="38">
        <v>0</v>
      </c>
      <c r="L555" s="17" t="str">
        <v/>
      </c>
      <c r="M555" s="17">
        <v>0</v>
      </c>
      <c r="N555" s="17">
        <v>0</v>
      </c>
      <c r="O555" s="17" t="str">
        <v/>
      </c>
      <c r="P555" s="17" t="str">
        <v/>
      </c>
      <c r="Q555" s="17">
        <v>0</v>
      </c>
      <c r="R555" s="17">
        <v>0</v>
      </c>
      <c r="S555" s="17">
        <v>0</v>
      </c>
      <c r="T555" s="22">
        <v>0</v>
      </c>
    </row>
    <row r="556" spans="2:20" x14ac:dyDescent="0.25">
      <c r="B556" s="21">
        <v>0</v>
      </c>
      <c r="C556" s="17">
        <v>0</v>
      </c>
      <c r="D556" s="17">
        <v>0</v>
      </c>
      <c r="E556" s="17">
        <v>0</v>
      </c>
      <c r="F556" s="17">
        <v>0</v>
      </c>
      <c r="G556" s="17">
        <v>0</v>
      </c>
      <c r="H556" s="38">
        <v>0</v>
      </c>
      <c r="I556" s="17" t="str">
        <v/>
      </c>
      <c r="J556" s="17">
        <v>0</v>
      </c>
      <c r="K556" s="38">
        <v>0</v>
      </c>
      <c r="L556" s="17" t="str">
        <v/>
      </c>
      <c r="M556" s="17">
        <v>0</v>
      </c>
      <c r="N556" s="17">
        <v>0</v>
      </c>
      <c r="O556" s="17" t="str">
        <v/>
      </c>
      <c r="P556" s="17" t="str">
        <v/>
      </c>
      <c r="Q556" s="17">
        <v>0</v>
      </c>
      <c r="R556" s="17">
        <v>0</v>
      </c>
      <c r="S556" s="17">
        <v>0</v>
      </c>
      <c r="T556" s="22">
        <v>0</v>
      </c>
    </row>
    <row r="557" spans="2:20" x14ac:dyDescent="0.25">
      <c r="B557" s="21">
        <v>0</v>
      </c>
      <c r="C557" s="17">
        <v>0</v>
      </c>
      <c r="D557" s="17">
        <v>0</v>
      </c>
      <c r="E557" s="17">
        <v>0</v>
      </c>
      <c r="F557" s="17">
        <v>0</v>
      </c>
      <c r="G557" s="17">
        <v>0</v>
      </c>
      <c r="H557" s="38">
        <v>0</v>
      </c>
      <c r="I557" s="17" t="str">
        <v/>
      </c>
      <c r="J557" s="17">
        <v>0</v>
      </c>
      <c r="K557" s="38">
        <v>0</v>
      </c>
      <c r="L557" s="17" t="str">
        <v/>
      </c>
      <c r="M557" s="17">
        <v>0</v>
      </c>
      <c r="N557" s="17">
        <v>0</v>
      </c>
      <c r="O557" s="17" t="str">
        <v/>
      </c>
      <c r="P557" s="17" t="str">
        <v/>
      </c>
      <c r="Q557" s="17">
        <v>0</v>
      </c>
      <c r="R557" s="17">
        <v>0</v>
      </c>
      <c r="S557" s="17">
        <v>0</v>
      </c>
      <c r="T557" s="22">
        <v>0</v>
      </c>
    </row>
    <row r="558" spans="2:20" x14ac:dyDescent="0.25">
      <c r="B558" s="21">
        <v>0</v>
      </c>
      <c r="C558" s="17">
        <v>0</v>
      </c>
      <c r="D558" s="17">
        <v>0</v>
      </c>
      <c r="E558" s="17">
        <v>0</v>
      </c>
      <c r="F558" s="17">
        <v>0</v>
      </c>
      <c r="G558" s="17">
        <v>0</v>
      </c>
      <c r="H558" s="38">
        <v>0</v>
      </c>
      <c r="I558" s="17" t="str">
        <v/>
      </c>
      <c r="J558" s="17">
        <v>0</v>
      </c>
      <c r="K558" s="38">
        <v>0</v>
      </c>
      <c r="L558" s="17" t="str">
        <v/>
      </c>
      <c r="M558" s="17">
        <v>0</v>
      </c>
      <c r="N558" s="17">
        <v>0</v>
      </c>
      <c r="O558" s="17" t="str">
        <v/>
      </c>
      <c r="P558" s="17" t="str">
        <v/>
      </c>
      <c r="Q558" s="17">
        <v>0</v>
      </c>
      <c r="R558" s="17">
        <v>0</v>
      </c>
      <c r="S558" s="17">
        <v>0</v>
      </c>
      <c r="T558" s="22">
        <v>0</v>
      </c>
    </row>
    <row r="559" spans="2:20" x14ac:dyDescent="0.25">
      <c r="B559" s="21">
        <v>0</v>
      </c>
      <c r="C559" s="17">
        <v>0</v>
      </c>
      <c r="D559" s="17">
        <v>0</v>
      </c>
      <c r="E559" s="17">
        <v>0</v>
      </c>
      <c r="F559" s="17">
        <v>0</v>
      </c>
      <c r="G559" s="17">
        <v>0</v>
      </c>
      <c r="H559" s="38">
        <v>0</v>
      </c>
      <c r="I559" s="17" t="str">
        <v/>
      </c>
      <c r="J559" s="17">
        <v>0</v>
      </c>
      <c r="K559" s="38">
        <v>0</v>
      </c>
      <c r="L559" s="17" t="str">
        <v/>
      </c>
      <c r="M559" s="17">
        <v>0</v>
      </c>
      <c r="N559" s="17">
        <v>0</v>
      </c>
      <c r="O559" s="17" t="str">
        <v/>
      </c>
      <c r="P559" s="17" t="str">
        <v/>
      </c>
      <c r="Q559" s="17">
        <v>0</v>
      </c>
      <c r="R559" s="17">
        <v>0</v>
      </c>
      <c r="S559" s="17">
        <v>0</v>
      </c>
      <c r="T559" s="22">
        <v>0</v>
      </c>
    </row>
    <row r="560" spans="2:20" x14ac:dyDescent="0.25">
      <c r="B560" s="21">
        <v>0</v>
      </c>
      <c r="C560" s="17">
        <v>0</v>
      </c>
      <c r="D560" s="17">
        <v>0</v>
      </c>
      <c r="E560" s="17">
        <v>0</v>
      </c>
      <c r="F560" s="17">
        <v>0</v>
      </c>
      <c r="G560" s="17">
        <v>0</v>
      </c>
      <c r="H560" s="38">
        <v>0</v>
      </c>
      <c r="I560" s="17" t="str">
        <v/>
      </c>
      <c r="J560" s="17">
        <v>0</v>
      </c>
      <c r="K560" s="38">
        <v>0</v>
      </c>
      <c r="L560" s="17" t="str">
        <v/>
      </c>
      <c r="M560" s="17">
        <v>0</v>
      </c>
      <c r="N560" s="17">
        <v>0</v>
      </c>
      <c r="O560" s="17" t="str">
        <v/>
      </c>
      <c r="P560" s="17" t="str">
        <v/>
      </c>
      <c r="Q560" s="17">
        <v>0</v>
      </c>
      <c r="R560" s="17">
        <v>0</v>
      </c>
      <c r="S560" s="17">
        <v>0</v>
      </c>
      <c r="T560" s="22">
        <v>0</v>
      </c>
    </row>
    <row r="561" spans="2:20" x14ac:dyDescent="0.25">
      <c r="B561" s="21">
        <v>0</v>
      </c>
      <c r="C561" s="17">
        <v>0</v>
      </c>
      <c r="D561" s="17">
        <v>0</v>
      </c>
      <c r="E561" s="17">
        <v>0</v>
      </c>
      <c r="F561" s="17">
        <v>0</v>
      </c>
      <c r="G561" s="17">
        <v>0</v>
      </c>
      <c r="H561" s="38">
        <v>0</v>
      </c>
      <c r="I561" s="17" t="str">
        <v/>
      </c>
      <c r="J561" s="17">
        <v>0</v>
      </c>
      <c r="K561" s="38">
        <v>0</v>
      </c>
      <c r="L561" s="17" t="str">
        <v/>
      </c>
      <c r="M561" s="17">
        <v>0</v>
      </c>
      <c r="N561" s="17">
        <v>0</v>
      </c>
      <c r="O561" s="17" t="str">
        <v/>
      </c>
      <c r="P561" s="17" t="str">
        <v/>
      </c>
      <c r="Q561" s="17">
        <v>0</v>
      </c>
      <c r="R561" s="17">
        <v>0</v>
      </c>
      <c r="S561" s="17">
        <v>0</v>
      </c>
      <c r="T561" s="22">
        <v>0</v>
      </c>
    </row>
    <row r="562" spans="2:20" x14ac:dyDescent="0.25">
      <c r="B562" s="21">
        <v>0</v>
      </c>
      <c r="C562" s="17">
        <v>0</v>
      </c>
      <c r="D562" s="17">
        <v>0</v>
      </c>
      <c r="E562" s="17">
        <v>0</v>
      </c>
      <c r="F562" s="17">
        <v>0</v>
      </c>
      <c r="G562" s="17">
        <v>0</v>
      </c>
      <c r="H562" s="38">
        <v>0</v>
      </c>
      <c r="I562" s="17" t="str">
        <v/>
      </c>
      <c r="J562" s="17">
        <v>0</v>
      </c>
      <c r="K562" s="38">
        <v>0</v>
      </c>
      <c r="L562" s="17" t="str">
        <v/>
      </c>
      <c r="M562" s="17">
        <v>0</v>
      </c>
      <c r="N562" s="17">
        <v>0</v>
      </c>
      <c r="O562" s="17" t="str">
        <v/>
      </c>
      <c r="P562" s="17" t="str">
        <v/>
      </c>
      <c r="Q562" s="17">
        <v>0</v>
      </c>
      <c r="R562" s="17">
        <v>0</v>
      </c>
      <c r="S562" s="17">
        <v>0</v>
      </c>
      <c r="T562" s="22">
        <v>0</v>
      </c>
    </row>
    <row r="563" spans="2:20" x14ac:dyDescent="0.25">
      <c r="B563" s="21">
        <v>0</v>
      </c>
      <c r="C563" s="17">
        <v>0</v>
      </c>
      <c r="D563" s="17">
        <v>0</v>
      </c>
      <c r="E563" s="17">
        <v>0</v>
      </c>
      <c r="F563" s="17">
        <v>0</v>
      </c>
      <c r="G563" s="17">
        <v>0</v>
      </c>
      <c r="H563" s="38">
        <v>0</v>
      </c>
      <c r="I563" s="17" t="str">
        <v/>
      </c>
      <c r="J563" s="17">
        <v>0</v>
      </c>
      <c r="K563" s="38">
        <v>0</v>
      </c>
      <c r="L563" s="17" t="str">
        <v/>
      </c>
      <c r="M563" s="17">
        <v>0</v>
      </c>
      <c r="N563" s="17">
        <v>0</v>
      </c>
      <c r="O563" s="17" t="str">
        <v/>
      </c>
      <c r="P563" s="17" t="str">
        <v/>
      </c>
      <c r="Q563" s="17">
        <v>0</v>
      </c>
      <c r="R563" s="17">
        <v>0</v>
      </c>
      <c r="S563" s="17">
        <v>0</v>
      </c>
      <c r="T563" s="22">
        <v>0</v>
      </c>
    </row>
    <row r="564" spans="2:20" x14ac:dyDescent="0.25">
      <c r="B564" s="21">
        <v>0</v>
      </c>
      <c r="C564" s="17">
        <v>0</v>
      </c>
      <c r="D564" s="17">
        <v>0</v>
      </c>
      <c r="E564" s="17">
        <v>0</v>
      </c>
      <c r="F564" s="17">
        <v>0</v>
      </c>
      <c r="G564" s="17">
        <v>0</v>
      </c>
      <c r="H564" s="38">
        <v>0</v>
      </c>
      <c r="I564" s="17" t="str">
        <v/>
      </c>
      <c r="J564" s="17">
        <v>0</v>
      </c>
      <c r="K564" s="38">
        <v>0</v>
      </c>
      <c r="L564" s="17" t="str">
        <v/>
      </c>
      <c r="M564" s="17">
        <v>0</v>
      </c>
      <c r="N564" s="17">
        <v>0</v>
      </c>
      <c r="O564" s="17" t="str">
        <v/>
      </c>
      <c r="P564" s="17" t="str">
        <v/>
      </c>
      <c r="Q564" s="17">
        <v>0</v>
      </c>
      <c r="R564" s="17">
        <v>0</v>
      </c>
      <c r="S564" s="17">
        <v>0</v>
      </c>
      <c r="T564" s="22">
        <v>0</v>
      </c>
    </row>
    <row r="565" spans="2:20" x14ac:dyDescent="0.25">
      <c r="B565" s="21">
        <v>0</v>
      </c>
      <c r="C565" s="17">
        <v>0</v>
      </c>
      <c r="D565" s="17">
        <v>0</v>
      </c>
      <c r="E565" s="17">
        <v>0</v>
      </c>
      <c r="F565" s="17">
        <v>0</v>
      </c>
      <c r="G565" s="17">
        <v>0</v>
      </c>
      <c r="H565" s="38">
        <v>0</v>
      </c>
      <c r="I565" s="17" t="str">
        <v/>
      </c>
      <c r="J565" s="17">
        <v>0</v>
      </c>
      <c r="K565" s="38">
        <v>0</v>
      </c>
      <c r="L565" s="17" t="str">
        <v/>
      </c>
      <c r="M565" s="17">
        <v>0</v>
      </c>
      <c r="N565" s="17">
        <v>0</v>
      </c>
      <c r="O565" s="17" t="str">
        <v/>
      </c>
      <c r="P565" s="17" t="str">
        <v/>
      </c>
      <c r="Q565" s="17">
        <v>0</v>
      </c>
      <c r="R565" s="17">
        <v>0</v>
      </c>
      <c r="S565" s="17">
        <v>0</v>
      </c>
      <c r="T565" s="22">
        <v>0</v>
      </c>
    </row>
    <row r="566" spans="2:20" x14ac:dyDescent="0.25">
      <c r="B566" s="21">
        <v>0</v>
      </c>
      <c r="C566" s="17">
        <v>0</v>
      </c>
      <c r="D566" s="17">
        <v>0</v>
      </c>
      <c r="E566" s="17">
        <v>0</v>
      </c>
      <c r="F566" s="17">
        <v>0</v>
      </c>
      <c r="G566" s="17">
        <v>0</v>
      </c>
      <c r="H566" s="38">
        <v>0</v>
      </c>
      <c r="I566" s="17" t="str">
        <v/>
      </c>
      <c r="J566" s="17">
        <v>0</v>
      </c>
      <c r="K566" s="38">
        <v>0</v>
      </c>
      <c r="L566" s="17" t="str">
        <v/>
      </c>
      <c r="M566" s="17">
        <v>0</v>
      </c>
      <c r="N566" s="17">
        <v>0</v>
      </c>
      <c r="O566" s="17" t="str">
        <v/>
      </c>
      <c r="P566" s="17" t="str">
        <v/>
      </c>
      <c r="Q566" s="17">
        <v>0</v>
      </c>
      <c r="R566" s="17">
        <v>0</v>
      </c>
      <c r="S566" s="17">
        <v>0</v>
      </c>
      <c r="T566" s="22">
        <v>0</v>
      </c>
    </row>
    <row r="567" spans="2:20" x14ac:dyDescent="0.25">
      <c r="B567" s="21">
        <v>0</v>
      </c>
      <c r="C567" s="17">
        <v>0</v>
      </c>
      <c r="D567" s="17">
        <v>0</v>
      </c>
      <c r="E567" s="17">
        <v>0</v>
      </c>
      <c r="F567" s="17">
        <v>0</v>
      </c>
      <c r="G567" s="17">
        <v>0</v>
      </c>
      <c r="H567" s="38">
        <v>0</v>
      </c>
      <c r="I567" s="17" t="str">
        <v/>
      </c>
      <c r="J567" s="17">
        <v>0</v>
      </c>
      <c r="K567" s="38">
        <v>0</v>
      </c>
      <c r="L567" s="17" t="str">
        <v/>
      </c>
      <c r="M567" s="17">
        <v>0</v>
      </c>
      <c r="N567" s="17">
        <v>0</v>
      </c>
      <c r="O567" s="17" t="str">
        <v/>
      </c>
      <c r="P567" s="17" t="str">
        <v/>
      </c>
      <c r="Q567" s="17">
        <v>0</v>
      </c>
      <c r="R567" s="17">
        <v>0</v>
      </c>
      <c r="S567" s="17">
        <v>0</v>
      </c>
      <c r="T567" s="22">
        <v>0</v>
      </c>
    </row>
    <row r="568" spans="2:20" x14ac:dyDescent="0.25">
      <c r="B568" s="21">
        <v>0</v>
      </c>
      <c r="C568" s="17">
        <v>0</v>
      </c>
      <c r="D568" s="17">
        <v>0</v>
      </c>
      <c r="E568" s="17">
        <v>0</v>
      </c>
      <c r="F568" s="17">
        <v>0</v>
      </c>
      <c r="G568" s="17">
        <v>0</v>
      </c>
      <c r="H568" s="38">
        <v>0</v>
      </c>
      <c r="I568" s="17" t="str">
        <v/>
      </c>
      <c r="J568" s="17">
        <v>0</v>
      </c>
      <c r="K568" s="38">
        <v>0</v>
      </c>
      <c r="L568" s="17" t="str">
        <v/>
      </c>
      <c r="M568" s="17">
        <v>0</v>
      </c>
      <c r="N568" s="17">
        <v>0</v>
      </c>
      <c r="O568" s="17" t="str">
        <v/>
      </c>
      <c r="P568" s="17" t="str">
        <v/>
      </c>
      <c r="Q568" s="17">
        <v>0</v>
      </c>
      <c r="R568" s="17">
        <v>0</v>
      </c>
      <c r="S568" s="17">
        <v>0</v>
      </c>
      <c r="T568" s="22">
        <v>0</v>
      </c>
    </row>
    <row r="569" spans="2:20" x14ac:dyDescent="0.25">
      <c r="B569" s="21">
        <v>0</v>
      </c>
      <c r="C569" s="17">
        <v>0</v>
      </c>
      <c r="D569" s="17">
        <v>0</v>
      </c>
      <c r="E569" s="17">
        <v>0</v>
      </c>
      <c r="F569" s="17">
        <v>0</v>
      </c>
      <c r="G569" s="17">
        <v>0</v>
      </c>
      <c r="H569" s="38">
        <v>0</v>
      </c>
      <c r="I569" s="17" t="str">
        <v/>
      </c>
      <c r="J569" s="17">
        <v>0</v>
      </c>
      <c r="K569" s="38">
        <v>0</v>
      </c>
      <c r="L569" s="17" t="str">
        <v/>
      </c>
      <c r="M569" s="17">
        <v>0</v>
      </c>
      <c r="N569" s="17">
        <v>0</v>
      </c>
      <c r="O569" s="17" t="str">
        <v/>
      </c>
      <c r="P569" s="17" t="str">
        <v/>
      </c>
      <c r="Q569" s="17">
        <v>0</v>
      </c>
      <c r="R569" s="17">
        <v>0</v>
      </c>
      <c r="S569" s="17">
        <v>0</v>
      </c>
      <c r="T569" s="22">
        <v>0</v>
      </c>
    </row>
    <row r="570" spans="2:20" x14ac:dyDescent="0.25">
      <c r="B570" s="21">
        <v>0</v>
      </c>
      <c r="C570" s="17">
        <v>0</v>
      </c>
      <c r="D570" s="17">
        <v>0</v>
      </c>
      <c r="E570" s="17">
        <v>0</v>
      </c>
      <c r="F570" s="17">
        <v>0</v>
      </c>
      <c r="G570" s="17">
        <v>0</v>
      </c>
      <c r="H570" s="38">
        <v>0</v>
      </c>
      <c r="I570" s="17" t="str">
        <v/>
      </c>
      <c r="J570" s="17">
        <v>0</v>
      </c>
      <c r="K570" s="38">
        <v>0</v>
      </c>
      <c r="L570" s="17" t="str">
        <v/>
      </c>
      <c r="M570" s="17">
        <v>0</v>
      </c>
      <c r="N570" s="17">
        <v>0</v>
      </c>
      <c r="O570" s="17" t="str">
        <v/>
      </c>
      <c r="P570" s="17" t="str">
        <v/>
      </c>
      <c r="Q570" s="17">
        <v>0</v>
      </c>
      <c r="R570" s="17">
        <v>0</v>
      </c>
      <c r="S570" s="17">
        <v>0</v>
      </c>
      <c r="T570" s="22">
        <v>0</v>
      </c>
    </row>
    <row r="571" spans="2:20" x14ac:dyDescent="0.25">
      <c r="B571" s="21">
        <v>0</v>
      </c>
      <c r="C571" s="17">
        <v>0</v>
      </c>
      <c r="D571" s="17">
        <v>0</v>
      </c>
      <c r="E571" s="17">
        <v>0</v>
      </c>
      <c r="F571" s="17">
        <v>0</v>
      </c>
      <c r="G571" s="17">
        <v>0</v>
      </c>
      <c r="H571" s="38">
        <v>0</v>
      </c>
      <c r="I571" s="17" t="str">
        <v/>
      </c>
      <c r="J571" s="17">
        <v>0</v>
      </c>
      <c r="K571" s="38">
        <v>0</v>
      </c>
      <c r="L571" s="17" t="str">
        <v/>
      </c>
      <c r="M571" s="17">
        <v>0</v>
      </c>
      <c r="N571" s="17">
        <v>0</v>
      </c>
      <c r="O571" s="17" t="str">
        <v/>
      </c>
      <c r="P571" s="17" t="str">
        <v/>
      </c>
      <c r="Q571" s="17">
        <v>0</v>
      </c>
      <c r="R571" s="17">
        <v>0</v>
      </c>
      <c r="S571" s="17">
        <v>0</v>
      </c>
      <c r="T571" s="22">
        <v>0</v>
      </c>
    </row>
    <row r="572" spans="2:20" x14ac:dyDescent="0.25">
      <c r="B572" s="21">
        <v>0</v>
      </c>
      <c r="C572" s="17">
        <v>0</v>
      </c>
      <c r="D572" s="17">
        <v>0</v>
      </c>
      <c r="E572" s="17">
        <v>0</v>
      </c>
      <c r="F572" s="17">
        <v>0</v>
      </c>
      <c r="G572" s="17">
        <v>0</v>
      </c>
      <c r="H572" s="38">
        <v>0</v>
      </c>
      <c r="I572" s="17" t="str">
        <v/>
      </c>
      <c r="J572" s="17">
        <v>0</v>
      </c>
      <c r="K572" s="38">
        <v>0</v>
      </c>
      <c r="L572" s="17" t="str">
        <v/>
      </c>
      <c r="M572" s="17">
        <v>0</v>
      </c>
      <c r="N572" s="17">
        <v>0</v>
      </c>
      <c r="O572" s="17" t="str">
        <v/>
      </c>
      <c r="P572" s="17" t="str">
        <v/>
      </c>
      <c r="Q572" s="17">
        <v>0</v>
      </c>
      <c r="R572" s="17">
        <v>0</v>
      </c>
      <c r="S572" s="17">
        <v>0</v>
      </c>
      <c r="T572" s="22">
        <v>0</v>
      </c>
    </row>
    <row r="573" spans="2:20" x14ac:dyDescent="0.25">
      <c r="B573" s="21">
        <v>0</v>
      </c>
      <c r="C573" s="17">
        <v>0</v>
      </c>
      <c r="D573" s="17">
        <v>0</v>
      </c>
      <c r="E573" s="17">
        <v>0</v>
      </c>
      <c r="F573" s="17">
        <v>0</v>
      </c>
      <c r="G573" s="17">
        <v>0</v>
      </c>
      <c r="H573" s="38">
        <v>0</v>
      </c>
      <c r="I573" s="17" t="str">
        <v/>
      </c>
      <c r="J573" s="17">
        <v>0</v>
      </c>
      <c r="K573" s="38">
        <v>0</v>
      </c>
      <c r="L573" s="17" t="str">
        <v/>
      </c>
      <c r="M573" s="17">
        <v>0</v>
      </c>
      <c r="N573" s="17">
        <v>0</v>
      </c>
      <c r="O573" s="17" t="str">
        <v/>
      </c>
      <c r="P573" s="17" t="str">
        <v/>
      </c>
      <c r="Q573" s="17">
        <v>0</v>
      </c>
      <c r="R573" s="17">
        <v>0</v>
      </c>
      <c r="S573" s="17">
        <v>0</v>
      </c>
      <c r="T573" s="22">
        <v>0</v>
      </c>
    </row>
    <row r="574" spans="2:20" x14ac:dyDescent="0.25">
      <c r="B574" s="21">
        <v>0</v>
      </c>
      <c r="C574" s="17">
        <v>0</v>
      </c>
      <c r="D574" s="17">
        <v>0</v>
      </c>
      <c r="E574" s="17">
        <v>0</v>
      </c>
      <c r="F574" s="17">
        <v>0</v>
      </c>
      <c r="G574" s="17">
        <v>0</v>
      </c>
      <c r="H574" s="38">
        <v>0</v>
      </c>
      <c r="I574" s="17" t="str">
        <v/>
      </c>
      <c r="J574" s="17">
        <v>0</v>
      </c>
      <c r="K574" s="38">
        <v>0</v>
      </c>
      <c r="L574" s="17" t="str">
        <v/>
      </c>
      <c r="M574" s="17">
        <v>0</v>
      </c>
      <c r="N574" s="17">
        <v>0</v>
      </c>
      <c r="O574" s="17" t="str">
        <v/>
      </c>
      <c r="P574" s="17" t="str">
        <v/>
      </c>
      <c r="Q574" s="17">
        <v>0</v>
      </c>
      <c r="R574" s="17">
        <v>0</v>
      </c>
      <c r="S574" s="17">
        <v>0</v>
      </c>
      <c r="T574" s="22">
        <v>0</v>
      </c>
    </row>
    <row r="575" spans="2:20" x14ac:dyDescent="0.25">
      <c r="B575" s="21">
        <v>0</v>
      </c>
      <c r="C575" s="17">
        <v>0</v>
      </c>
      <c r="D575" s="17">
        <v>0</v>
      </c>
      <c r="E575" s="17">
        <v>0</v>
      </c>
      <c r="F575" s="17">
        <v>0</v>
      </c>
      <c r="G575" s="17">
        <v>0</v>
      </c>
      <c r="H575" s="38">
        <v>0</v>
      </c>
      <c r="I575" s="17" t="str">
        <v/>
      </c>
      <c r="J575" s="17">
        <v>0</v>
      </c>
      <c r="K575" s="38">
        <v>0</v>
      </c>
      <c r="L575" s="17" t="str">
        <v/>
      </c>
      <c r="M575" s="17">
        <v>0</v>
      </c>
      <c r="N575" s="17">
        <v>0</v>
      </c>
      <c r="O575" s="17" t="str">
        <v/>
      </c>
      <c r="P575" s="17" t="str">
        <v/>
      </c>
      <c r="Q575" s="17">
        <v>0</v>
      </c>
      <c r="R575" s="17">
        <v>0</v>
      </c>
      <c r="S575" s="17">
        <v>0</v>
      </c>
      <c r="T575" s="22">
        <v>0</v>
      </c>
    </row>
    <row r="576" spans="2:20" x14ac:dyDescent="0.25">
      <c r="B576" s="21">
        <v>0</v>
      </c>
      <c r="C576" s="17">
        <v>0</v>
      </c>
      <c r="D576" s="17">
        <v>0</v>
      </c>
      <c r="E576" s="17">
        <v>0</v>
      </c>
      <c r="F576" s="17">
        <v>0</v>
      </c>
      <c r="G576" s="17">
        <v>0</v>
      </c>
      <c r="H576" s="38">
        <v>0</v>
      </c>
      <c r="I576" s="17" t="str">
        <v/>
      </c>
      <c r="J576" s="17">
        <v>0</v>
      </c>
      <c r="K576" s="38">
        <v>0</v>
      </c>
      <c r="L576" s="17" t="str">
        <v/>
      </c>
      <c r="M576" s="17">
        <v>0</v>
      </c>
      <c r="N576" s="17">
        <v>0</v>
      </c>
      <c r="O576" s="17" t="str">
        <v/>
      </c>
      <c r="P576" s="17" t="str">
        <v/>
      </c>
      <c r="Q576" s="17">
        <v>0</v>
      </c>
      <c r="R576" s="17">
        <v>0</v>
      </c>
      <c r="S576" s="17">
        <v>0</v>
      </c>
      <c r="T576" s="22">
        <v>0</v>
      </c>
    </row>
    <row r="577" spans="2:20" x14ac:dyDescent="0.25">
      <c r="B577" s="21">
        <v>0</v>
      </c>
      <c r="C577" s="17">
        <v>0</v>
      </c>
      <c r="D577" s="17">
        <v>0</v>
      </c>
      <c r="E577" s="17">
        <v>0</v>
      </c>
      <c r="F577" s="17">
        <v>0</v>
      </c>
      <c r="G577" s="17">
        <v>0</v>
      </c>
      <c r="H577" s="38">
        <v>0</v>
      </c>
      <c r="I577" s="17" t="str">
        <v/>
      </c>
      <c r="J577" s="17">
        <v>0</v>
      </c>
      <c r="K577" s="38">
        <v>0</v>
      </c>
      <c r="L577" s="17" t="str">
        <v/>
      </c>
      <c r="M577" s="17">
        <v>0</v>
      </c>
      <c r="N577" s="17">
        <v>0</v>
      </c>
      <c r="O577" s="17" t="str">
        <v/>
      </c>
      <c r="P577" s="17" t="str">
        <v/>
      </c>
      <c r="Q577" s="17">
        <v>0</v>
      </c>
      <c r="R577" s="17">
        <v>0</v>
      </c>
      <c r="S577" s="17">
        <v>0</v>
      </c>
      <c r="T577" s="22">
        <v>0</v>
      </c>
    </row>
    <row r="578" spans="2:20" x14ac:dyDescent="0.25">
      <c r="B578" s="21">
        <v>0</v>
      </c>
      <c r="C578" s="17">
        <v>0</v>
      </c>
      <c r="D578" s="17">
        <v>0</v>
      </c>
      <c r="E578" s="17">
        <v>0</v>
      </c>
      <c r="F578" s="17">
        <v>0</v>
      </c>
      <c r="G578" s="17">
        <v>0</v>
      </c>
      <c r="H578" s="38">
        <v>0</v>
      </c>
      <c r="I578" s="17" t="str">
        <v/>
      </c>
      <c r="J578" s="17">
        <v>0</v>
      </c>
      <c r="K578" s="38">
        <v>0</v>
      </c>
      <c r="L578" s="17" t="str">
        <v/>
      </c>
      <c r="M578" s="17">
        <v>0</v>
      </c>
      <c r="N578" s="17">
        <v>0</v>
      </c>
      <c r="O578" s="17" t="str">
        <v/>
      </c>
      <c r="P578" s="17" t="str">
        <v/>
      </c>
      <c r="Q578" s="17">
        <v>0</v>
      </c>
      <c r="R578" s="17">
        <v>0</v>
      </c>
      <c r="S578" s="17">
        <v>0</v>
      </c>
      <c r="T578" s="22">
        <v>0</v>
      </c>
    </row>
    <row r="579" spans="2:20" x14ac:dyDescent="0.25">
      <c r="B579" s="21">
        <v>0</v>
      </c>
      <c r="C579" s="17">
        <v>0</v>
      </c>
      <c r="D579" s="17">
        <v>0</v>
      </c>
      <c r="E579" s="17">
        <v>0</v>
      </c>
      <c r="F579" s="17">
        <v>0</v>
      </c>
      <c r="G579" s="17">
        <v>0</v>
      </c>
      <c r="H579" s="38">
        <v>0</v>
      </c>
      <c r="I579" s="17" t="str">
        <v/>
      </c>
      <c r="J579" s="17">
        <v>0</v>
      </c>
      <c r="K579" s="38">
        <v>0</v>
      </c>
      <c r="L579" s="17" t="str">
        <v/>
      </c>
      <c r="M579" s="17">
        <v>0</v>
      </c>
      <c r="N579" s="17">
        <v>0</v>
      </c>
      <c r="O579" s="17" t="str">
        <v/>
      </c>
      <c r="P579" s="17" t="str">
        <v/>
      </c>
      <c r="Q579" s="17">
        <v>0</v>
      </c>
      <c r="R579" s="17">
        <v>0</v>
      </c>
      <c r="S579" s="17">
        <v>0</v>
      </c>
      <c r="T579" s="22">
        <v>0</v>
      </c>
    </row>
    <row r="580" spans="2:20" x14ac:dyDescent="0.25">
      <c r="B580" s="21">
        <v>0</v>
      </c>
      <c r="C580" s="17">
        <v>0</v>
      </c>
      <c r="D580" s="17">
        <v>0</v>
      </c>
      <c r="E580" s="17">
        <v>0</v>
      </c>
      <c r="F580" s="17">
        <v>0</v>
      </c>
      <c r="G580" s="17">
        <v>0</v>
      </c>
      <c r="H580" s="38">
        <v>0</v>
      </c>
      <c r="I580" s="17" t="str">
        <v/>
      </c>
      <c r="J580" s="17">
        <v>0</v>
      </c>
      <c r="K580" s="38">
        <v>0</v>
      </c>
      <c r="L580" s="17" t="str">
        <v/>
      </c>
      <c r="M580" s="17">
        <v>0</v>
      </c>
      <c r="N580" s="17">
        <v>0</v>
      </c>
      <c r="O580" s="17" t="str">
        <v/>
      </c>
      <c r="P580" s="17" t="str">
        <v/>
      </c>
      <c r="Q580" s="17">
        <v>0</v>
      </c>
      <c r="R580" s="17">
        <v>0</v>
      </c>
      <c r="S580" s="17">
        <v>0</v>
      </c>
      <c r="T580" s="22">
        <v>0</v>
      </c>
    </row>
    <row r="581" spans="2:20" x14ac:dyDescent="0.25">
      <c r="B581" s="21">
        <v>0</v>
      </c>
      <c r="C581" s="17">
        <v>0</v>
      </c>
      <c r="D581" s="17">
        <v>0</v>
      </c>
      <c r="E581" s="17">
        <v>0</v>
      </c>
      <c r="F581" s="17">
        <v>0</v>
      </c>
      <c r="G581" s="17">
        <v>0</v>
      </c>
      <c r="H581" s="38">
        <v>0</v>
      </c>
      <c r="I581" s="17" t="str">
        <v/>
      </c>
      <c r="J581" s="17">
        <v>0</v>
      </c>
      <c r="K581" s="38">
        <v>0</v>
      </c>
      <c r="L581" s="17" t="str">
        <v/>
      </c>
      <c r="M581" s="17">
        <v>0</v>
      </c>
      <c r="N581" s="17">
        <v>0</v>
      </c>
      <c r="O581" s="17" t="str">
        <v/>
      </c>
      <c r="P581" s="17" t="str">
        <v/>
      </c>
      <c r="Q581" s="17">
        <v>0</v>
      </c>
      <c r="R581" s="17">
        <v>0</v>
      </c>
      <c r="S581" s="17">
        <v>0</v>
      </c>
      <c r="T581" s="22">
        <v>0</v>
      </c>
    </row>
    <row r="582" spans="2:20" x14ac:dyDescent="0.25">
      <c r="B582" s="21">
        <v>0</v>
      </c>
      <c r="C582" s="17">
        <v>0</v>
      </c>
      <c r="D582" s="17">
        <v>0</v>
      </c>
      <c r="E582" s="17">
        <v>0</v>
      </c>
      <c r="F582" s="17">
        <v>0</v>
      </c>
      <c r="G582" s="17">
        <v>0</v>
      </c>
      <c r="H582" s="38">
        <v>0</v>
      </c>
      <c r="I582" s="17" t="str">
        <v/>
      </c>
      <c r="J582" s="17">
        <v>0</v>
      </c>
      <c r="K582" s="38">
        <v>0</v>
      </c>
      <c r="L582" s="17" t="str">
        <v/>
      </c>
      <c r="M582" s="17">
        <v>0</v>
      </c>
      <c r="N582" s="17">
        <v>0</v>
      </c>
      <c r="O582" s="17" t="str">
        <v/>
      </c>
      <c r="P582" s="17" t="str">
        <v/>
      </c>
      <c r="Q582" s="17">
        <v>0</v>
      </c>
      <c r="R582" s="17">
        <v>0</v>
      </c>
      <c r="S582" s="17">
        <v>0</v>
      </c>
      <c r="T582" s="22">
        <v>0</v>
      </c>
    </row>
    <row r="583" spans="2:20" x14ac:dyDescent="0.25">
      <c r="B583" s="21">
        <v>0</v>
      </c>
      <c r="C583" s="17">
        <v>0</v>
      </c>
      <c r="D583" s="17">
        <v>0</v>
      </c>
      <c r="E583" s="17">
        <v>0</v>
      </c>
      <c r="F583" s="17">
        <v>0</v>
      </c>
      <c r="G583" s="17">
        <v>0</v>
      </c>
      <c r="H583" s="38">
        <v>0</v>
      </c>
      <c r="I583" s="17" t="str">
        <v/>
      </c>
      <c r="J583" s="17">
        <v>0</v>
      </c>
      <c r="K583" s="38">
        <v>0</v>
      </c>
      <c r="L583" s="17" t="str">
        <v/>
      </c>
      <c r="M583" s="17">
        <v>0</v>
      </c>
      <c r="N583" s="17">
        <v>0</v>
      </c>
      <c r="O583" s="17" t="str">
        <v/>
      </c>
      <c r="P583" s="17" t="str">
        <v/>
      </c>
      <c r="Q583" s="17">
        <v>0</v>
      </c>
      <c r="R583" s="17">
        <v>0</v>
      </c>
      <c r="S583" s="17">
        <v>0</v>
      </c>
      <c r="T583" s="22">
        <v>0</v>
      </c>
    </row>
    <row r="584" spans="2:20" x14ac:dyDescent="0.25">
      <c r="B584" s="21">
        <v>0</v>
      </c>
      <c r="C584" s="17">
        <v>0</v>
      </c>
      <c r="D584" s="17">
        <v>0</v>
      </c>
      <c r="E584" s="17">
        <v>0</v>
      </c>
      <c r="F584" s="17">
        <v>0</v>
      </c>
      <c r="G584" s="17">
        <v>0</v>
      </c>
      <c r="H584" s="38">
        <v>0</v>
      </c>
      <c r="I584" s="17" t="str">
        <v/>
      </c>
      <c r="J584" s="17">
        <v>0</v>
      </c>
      <c r="K584" s="38">
        <v>0</v>
      </c>
      <c r="L584" s="17" t="str">
        <v/>
      </c>
      <c r="M584" s="17">
        <v>0</v>
      </c>
      <c r="N584" s="17">
        <v>0</v>
      </c>
      <c r="O584" s="17" t="str">
        <v/>
      </c>
      <c r="P584" s="17" t="str">
        <v/>
      </c>
      <c r="Q584" s="17">
        <v>0</v>
      </c>
      <c r="R584" s="17">
        <v>0</v>
      </c>
      <c r="S584" s="17">
        <v>0</v>
      </c>
      <c r="T584" s="22">
        <v>0</v>
      </c>
    </row>
    <row r="585" spans="2:20" x14ac:dyDescent="0.25">
      <c r="B585" s="21">
        <v>0</v>
      </c>
      <c r="C585" s="17">
        <v>0</v>
      </c>
      <c r="D585" s="17">
        <v>0</v>
      </c>
      <c r="E585" s="17">
        <v>0</v>
      </c>
      <c r="F585" s="17">
        <v>0</v>
      </c>
      <c r="G585" s="17">
        <v>0</v>
      </c>
      <c r="H585" s="38">
        <v>0</v>
      </c>
      <c r="I585" s="17" t="str">
        <v/>
      </c>
      <c r="J585" s="17">
        <v>0</v>
      </c>
      <c r="K585" s="38">
        <v>0</v>
      </c>
      <c r="L585" s="17" t="str">
        <v/>
      </c>
      <c r="M585" s="17">
        <v>0</v>
      </c>
      <c r="N585" s="17">
        <v>0</v>
      </c>
      <c r="O585" s="17" t="str">
        <v/>
      </c>
      <c r="P585" s="17" t="str">
        <v/>
      </c>
      <c r="Q585" s="17">
        <v>0</v>
      </c>
      <c r="R585" s="17">
        <v>0</v>
      </c>
      <c r="S585" s="17">
        <v>0</v>
      </c>
      <c r="T585" s="22">
        <v>0</v>
      </c>
    </row>
    <row r="586" spans="2:20" x14ac:dyDescent="0.25">
      <c r="B586" s="21">
        <v>0</v>
      </c>
      <c r="C586" s="17">
        <v>0</v>
      </c>
      <c r="D586" s="17">
        <v>0</v>
      </c>
      <c r="E586" s="17">
        <v>0</v>
      </c>
      <c r="F586" s="17">
        <v>0</v>
      </c>
      <c r="G586" s="17">
        <v>0</v>
      </c>
      <c r="H586" s="38">
        <v>0</v>
      </c>
      <c r="I586" s="17" t="str">
        <v/>
      </c>
      <c r="J586" s="17">
        <v>0</v>
      </c>
      <c r="K586" s="38">
        <v>0</v>
      </c>
      <c r="L586" s="17" t="str">
        <v/>
      </c>
      <c r="M586" s="17">
        <v>0</v>
      </c>
      <c r="N586" s="17">
        <v>0</v>
      </c>
      <c r="O586" s="17" t="str">
        <v/>
      </c>
      <c r="P586" s="17" t="str">
        <v/>
      </c>
      <c r="Q586" s="17">
        <v>0</v>
      </c>
      <c r="R586" s="17">
        <v>0</v>
      </c>
      <c r="S586" s="17">
        <v>0</v>
      </c>
      <c r="T586" s="22">
        <v>0</v>
      </c>
    </row>
    <row r="587" spans="2:20" x14ac:dyDescent="0.25">
      <c r="B587" s="21">
        <v>0</v>
      </c>
      <c r="C587" s="17">
        <v>0</v>
      </c>
      <c r="D587" s="17">
        <v>0</v>
      </c>
      <c r="E587" s="17">
        <v>0</v>
      </c>
      <c r="F587" s="17">
        <v>0</v>
      </c>
      <c r="G587" s="17">
        <v>0</v>
      </c>
      <c r="H587" s="38">
        <v>0</v>
      </c>
      <c r="I587" s="17" t="str">
        <v/>
      </c>
      <c r="J587" s="17">
        <v>0</v>
      </c>
      <c r="K587" s="38">
        <v>0</v>
      </c>
      <c r="L587" s="17" t="str">
        <v/>
      </c>
      <c r="M587" s="17">
        <v>0</v>
      </c>
      <c r="N587" s="17">
        <v>0</v>
      </c>
      <c r="O587" s="17" t="str">
        <v/>
      </c>
      <c r="P587" s="17" t="str">
        <v/>
      </c>
      <c r="Q587" s="17">
        <v>0</v>
      </c>
      <c r="R587" s="17">
        <v>0</v>
      </c>
      <c r="S587" s="17">
        <v>0</v>
      </c>
      <c r="T587" s="22">
        <v>0</v>
      </c>
    </row>
    <row r="588" spans="2:20" x14ac:dyDescent="0.25">
      <c r="B588" s="21">
        <v>0</v>
      </c>
      <c r="C588" s="17">
        <v>0</v>
      </c>
      <c r="D588" s="17">
        <v>0</v>
      </c>
      <c r="E588" s="17">
        <v>0</v>
      </c>
      <c r="F588" s="17">
        <v>0</v>
      </c>
      <c r="G588" s="17">
        <v>0</v>
      </c>
      <c r="H588" s="38">
        <v>0</v>
      </c>
      <c r="I588" s="17" t="str">
        <v/>
      </c>
      <c r="J588" s="17">
        <v>0</v>
      </c>
      <c r="K588" s="38">
        <v>0</v>
      </c>
      <c r="L588" s="17" t="str">
        <v/>
      </c>
      <c r="M588" s="17">
        <v>0</v>
      </c>
      <c r="N588" s="17">
        <v>0</v>
      </c>
      <c r="O588" s="17" t="str">
        <v/>
      </c>
      <c r="P588" s="17" t="str">
        <v/>
      </c>
      <c r="Q588" s="17">
        <v>0</v>
      </c>
      <c r="R588" s="17">
        <v>0</v>
      </c>
      <c r="S588" s="17">
        <v>0</v>
      </c>
      <c r="T588" s="22">
        <v>0</v>
      </c>
    </row>
    <row r="589" spans="2:20" x14ac:dyDescent="0.25">
      <c r="B589" s="21">
        <v>0</v>
      </c>
      <c r="C589" s="17">
        <v>0</v>
      </c>
      <c r="D589" s="17">
        <v>0</v>
      </c>
      <c r="E589" s="17">
        <v>0</v>
      </c>
      <c r="F589" s="17">
        <v>0</v>
      </c>
      <c r="G589" s="17">
        <v>0</v>
      </c>
      <c r="H589" s="38">
        <v>0</v>
      </c>
      <c r="I589" s="17" t="str">
        <v/>
      </c>
      <c r="J589" s="17">
        <v>0</v>
      </c>
      <c r="K589" s="38">
        <v>0</v>
      </c>
      <c r="L589" s="17" t="str">
        <v/>
      </c>
      <c r="M589" s="17">
        <v>0</v>
      </c>
      <c r="N589" s="17">
        <v>0</v>
      </c>
      <c r="O589" s="17" t="str">
        <v/>
      </c>
      <c r="P589" s="17" t="str">
        <v/>
      </c>
      <c r="Q589" s="17">
        <v>0</v>
      </c>
      <c r="R589" s="17">
        <v>0</v>
      </c>
      <c r="S589" s="17">
        <v>0</v>
      </c>
      <c r="T589" s="22">
        <v>0</v>
      </c>
    </row>
    <row r="590" spans="2:20" x14ac:dyDescent="0.25">
      <c r="B590" s="21">
        <v>0</v>
      </c>
      <c r="C590" s="17">
        <v>0</v>
      </c>
      <c r="D590" s="17">
        <v>0</v>
      </c>
      <c r="E590" s="17">
        <v>0</v>
      </c>
      <c r="F590" s="17">
        <v>0</v>
      </c>
      <c r="G590" s="17">
        <v>0</v>
      </c>
      <c r="H590" s="38">
        <v>0</v>
      </c>
      <c r="I590" s="17" t="str">
        <v/>
      </c>
      <c r="J590" s="17">
        <v>0</v>
      </c>
      <c r="K590" s="38">
        <v>0</v>
      </c>
      <c r="L590" s="17" t="str">
        <v/>
      </c>
      <c r="M590" s="17">
        <v>0</v>
      </c>
      <c r="N590" s="17">
        <v>0</v>
      </c>
      <c r="O590" s="17" t="str">
        <v/>
      </c>
      <c r="P590" s="17" t="str">
        <v/>
      </c>
      <c r="Q590" s="17">
        <v>0</v>
      </c>
      <c r="R590" s="17">
        <v>0</v>
      </c>
      <c r="S590" s="17">
        <v>0</v>
      </c>
      <c r="T590" s="22">
        <v>0</v>
      </c>
    </row>
    <row r="591" spans="2:20" x14ac:dyDescent="0.25">
      <c r="B591" s="21">
        <v>0</v>
      </c>
      <c r="C591" s="17">
        <v>0</v>
      </c>
      <c r="D591" s="17">
        <v>0</v>
      </c>
      <c r="E591" s="17">
        <v>0</v>
      </c>
      <c r="F591" s="17">
        <v>0</v>
      </c>
      <c r="G591" s="17">
        <v>0</v>
      </c>
      <c r="H591" s="38">
        <v>0</v>
      </c>
      <c r="I591" s="17" t="str">
        <v/>
      </c>
      <c r="J591" s="17">
        <v>0</v>
      </c>
      <c r="K591" s="38">
        <v>0</v>
      </c>
      <c r="L591" s="17" t="str">
        <v/>
      </c>
      <c r="M591" s="17">
        <v>0</v>
      </c>
      <c r="N591" s="17">
        <v>0</v>
      </c>
      <c r="O591" s="17" t="str">
        <v/>
      </c>
      <c r="P591" s="17" t="str">
        <v/>
      </c>
      <c r="Q591" s="17">
        <v>0</v>
      </c>
      <c r="R591" s="17">
        <v>0</v>
      </c>
      <c r="S591" s="17">
        <v>0</v>
      </c>
      <c r="T591" s="22">
        <v>0</v>
      </c>
    </row>
    <row r="592" spans="2:20" x14ac:dyDescent="0.25">
      <c r="B592" s="21">
        <v>0</v>
      </c>
      <c r="C592" s="17">
        <v>0</v>
      </c>
      <c r="D592" s="17">
        <v>0</v>
      </c>
      <c r="E592" s="17">
        <v>0</v>
      </c>
      <c r="F592" s="17">
        <v>0</v>
      </c>
      <c r="G592" s="17">
        <v>0</v>
      </c>
      <c r="H592" s="38">
        <v>0</v>
      </c>
      <c r="I592" s="17" t="str">
        <v/>
      </c>
      <c r="J592" s="17">
        <v>0</v>
      </c>
      <c r="K592" s="38">
        <v>0</v>
      </c>
      <c r="L592" s="17" t="str">
        <v/>
      </c>
      <c r="M592" s="17">
        <v>0</v>
      </c>
      <c r="N592" s="17">
        <v>0</v>
      </c>
      <c r="O592" s="17" t="str">
        <v/>
      </c>
      <c r="P592" s="17" t="str">
        <v/>
      </c>
      <c r="Q592" s="17">
        <v>0</v>
      </c>
      <c r="R592" s="17">
        <v>0</v>
      </c>
      <c r="S592" s="17">
        <v>0</v>
      </c>
      <c r="T592" s="22">
        <v>0</v>
      </c>
    </row>
    <row r="593" spans="2:20" x14ac:dyDescent="0.25">
      <c r="B593" s="21">
        <v>0</v>
      </c>
      <c r="C593" s="17">
        <v>0</v>
      </c>
      <c r="D593" s="17">
        <v>0</v>
      </c>
      <c r="E593" s="17">
        <v>0</v>
      </c>
      <c r="F593" s="17">
        <v>0</v>
      </c>
      <c r="G593" s="17">
        <v>0</v>
      </c>
      <c r="H593" s="38">
        <v>0</v>
      </c>
      <c r="I593" s="17" t="str">
        <v/>
      </c>
      <c r="J593" s="17">
        <v>0</v>
      </c>
      <c r="K593" s="38">
        <v>0</v>
      </c>
      <c r="L593" s="17" t="str">
        <v/>
      </c>
      <c r="M593" s="17">
        <v>0</v>
      </c>
      <c r="N593" s="17">
        <v>0</v>
      </c>
      <c r="O593" s="17" t="str">
        <v/>
      </c>
      <c r="P593" s="17" t="str">
        <v/>
      </c>
      <c r="Q593" s="17">
        <v>0</v>
      </c>
      <c r="R593" s="17">
        <v>0</v>
      </c>
      <c r="S593" s="17">
        <v>0</v>
      </c>
      <c r="T593" s="22">
        <v>0</v>
      </c>
    </row>
    <row r="594" spans="2:20" x14ac:dyDescent="0.25">
      <c r="B594" s="21">
        <v>0</v>
      </c>
      <c r="C594" s="17">
        <v>0</v>
      </c>
      <c r="D594" s="17">
        <v>0</v>
      </c>
      <c r="E594" s="17">
        <v>0</v>
      </c>
      <c r="F594" s="17">
        <v>0</v>
      </c>
      <c r="G594" s="17">
        <v>0</v>
      </c>
      <c r="H594" s="38">
        <v>0</v>
      </c>
      <c r="I594" s="17" t="str">
        <v/>
      </c>
      <c r="J594" s="17">
        <v>0</v>
      </c>
      <c r="K594" s="38">
        <v>0</v>
      </c>
      <c r="L594" s="17" t="str">
        <v/>
      </c>
      <c r="M594" s="17">
        <v>0</v>
      </c>
      <c r="N594" s="17">
        <v>0</v>
      </c>
      <c r="O594" s="17" t="str">
        <v/>
      </c>
      <c r="P594" s="17" t="str">
        <v/>
      </c>
      <c r="Q594" s="17">
        <v>0</v>
      </c>
      <c r="R594" s="17">
        <v>0</v>
      </c>
      <c r="S594" s="17">
        <v>0</v>
      </c>
      <c r="T594" s="22">
        <v>0</v>
      </c>
    </row>
    <row r="595" spans="2:20" x14ac:dyDescent="0.25">
      <c r="B595" s="21">
        <v>0</v>
      </c>
      <c r="C595" s="17">
        <v>0</v>
      </c>
      <c r="D595" s="17">
        <v>0</v>
      </c>
      <c r="E595" s="17">
        <v>0</v>
      </c>
      <c r="F595" s="17">
        <v>0</v>
      </c>
      <c r="G595" s="17">
        <v>0</v>
      </c>
      <c r="H595" s="38">
        <v>0</v>
      </c>
      <c r="I595" s="17" t="str">
        <v/>
      </c>
      <c r="J595" s="17">
        <v>0</v>
      </c>
      <c r="K595" s="38">
        <v>0</v>
      </c>
      <c r="L595" s="17" t="str">
        <v/>
      </c>
      <c r="M595" s="17">
        <v>0</v>
      </c>
      <c r="N595" s="17">
        <v>0</v>
      </c>
      <c r="O595" s="17" t="str">
        <v/>
      </c>
      <c r="P595" s="17" t="str">
        <v/>
      </c>
      <c r="Q595" s="17">
        <v>0</v>
      </c>
      <c r="R595" s="17">
        <v>0</v>
      </c>
      <c r="S595" s="17">
        <v>0</v>
      </c>
      <c r="T595" s="22">
        <v>0</v>
      </c>
    </row>
    <row r="596" spans="2:20" x14ac:dyDescent="0.25">
      <c r="B596" s="21">
        <v>0</v>
      </c>
      <c r="C596" s="17">
        <v>0</v>
      </c>
      <c r="D596" s="17">
        <v>0</v>
      </c>
      <c r="E596" s="17">
        <v>0</v>
      </c>
      <c r="F596" s="17">
        <v>0</v>
      </c>
      <c r="G596" s="17">
        <v>0</v>
      </c>
      <c r="H596" s="38">
        <v>0</v>
      </c>
      <c r="I596" s="17" t="str">
        <v/>
      </c>
      <c r="J596" s="17">
        <v>0</v>
      </c>
      <c r="K596" s="38">
        <v>0</v>
      </c>
      <c r="L596" s="17" t="str">
        <v/>
      </c>
      <c r="M596" s="17">
        <v>0</v>
      </c>
      <c r="N596" s="17">
        <v>0</v>
      </c>
      <c r="O596" s="17" t="str">
        <v/>
      </c>
      <c r="P596" s="17" t="str">
        <v/>
      </c>
      <c r="Q596" s="17">
        <v>0</v>
      </c>
      <c r="R596" s="17">
        <v>0</v>
      </c>
      <c r="S596" s="17">
        <v>0</v>
      </c>
      <c r="T596" s="22">
        <v>0</v>
      </c>
    </row>
    <row r="597" spans="2:20" x14ac:dyDescent="0.25">
      <c r="B597" s="21">
        <v>0</v>
      </c>
      <c r="C597" s="17">
        <v>0</v>
      </c>
      <c r="D597" s="17">
        <v>0</v>
      </c>
      <c r="E597" s="17">
        <v>0</v>
      </c>
      <c r="F597" s="17">
        <v>0</v>
      </c>
      <c r="G597" s="17">
        <v>0</v>
      </c>
      <c r="H597" s="38">
        <v>0</v>
      </c>
      <c r="I597" s="17" t="str">
        <v/>
      </c>
      <c r="J597" s="17">
        <v>0</v>
      </c>
      <c r="K597" s="38">
        <v>0</v>
      </c>
      <c r="L597" s="17" t="str">
        <v/>
      </c>
      <c r="M597" s="17">
        <v>0</v>
      </c>
      <c r="N597" s="17">
        <v>0</v>
      </c>
      <c r="O597" s="17" t="str">
        <v/>
      </c>
      <c r="P597" s="17" t="str">
        <v/>
      </c>
      <c r="Q597" s="17">
        <v>0</v>
      </c>
      <c r="R597" s="17">
        <v>0</v>
      </c>
      <c r="S597" s="17">
        <v>0</v>
      </c>
      <c r="T597" s="22">
        <v>0</v>
      </c>
    </row>
    <row r="598" spans="2:20" x14ac:dyDescent="0.25">
      <c r="B598" s="21">
        <v>0</v>
      </c>
      <c r="C598" s="17">
        <v>0</v>
      </c>
      <c r="D598" s="17">
        <v>0</v>
      </c>
      <c r="E598" s="17">
        <v>0</v>
      </c>
      <c r="F598" s="17">
        <v>0</v>
      </c>
      <c r="G598" s="17">
        <v>0</v>
      </c>
      <c r="H598" s="38">
        <v>0</v>
      </c>
      <c r="I598" s="17" t="str">
        <v/>
      </c>
      <c r="J598" s="17">
        <v>0</v>
      </c>
      <c r="K598" s="38">
        <v>0</v>
      </c>
      <c r="L598" s="17" t="str">
        <v/>
      </c>
      <c r="M598" s="17">
        <v>0</v>
      </c>
      <c r="N598" s="17">
        <v>0</v>
      </c>
      <c r="O598" s="17" t="str">
        <v/>
      </c>
      <c r="P598" s="17" t="str">
        <v/>
      </c>
      <c r="Q598" s="17">
        <v>0</v>
      </c>
      <c r="R598" s="17">
        <v>0</v>
      </c>
      <c r="S598" s="17">
        <v>0</v>
      </c>
      <c r="T598" s="22">
        <v>0</v>
      </c>
    </row>
    <row r="599" spans="2:20" x14ac:dyDescent="0.25">
      <c r="B599" s="21">
        <v>0</v>
      </c>
      <c r="C599" s="17">
        <v>0</v>
      </c>
      <c r="D599" s="17">
        <v>0</v>
      </c>
      <c r="E599" s="17">
        <v>0</v>
      </c>
      <c r="F599" s="17">
        <v>0</v>
      </c>
      <c r="G599" s="17">
        <v>0</v>
      </c>
      <c r="H599" s="38">
        <v>0</v>
      </c>
      <c r="I599" s="17" t="str">
        <v/>
      </c>
      <c r="J599" s="17">
        <v>0</v>
      </c>
      <c r="K599" s="38">
        <v>0</v>
      </c>
      <c r="L599" s="17" t="str">
        <v/>
      </c>
      <c r="M599" s="17">
        <v>0</v>
      </c>
      <c r="N599" s="17">
        <v>0</v>
      </c>
      <c r="O599" s="17" t="str">
        <v/>
      </c>
      <c r="P599" s="17" t="str">
        <v/>
      </c>
      <c r="Q599" s="17">
        <v>0</v>
      </c>
      <c r="R599" s="17">
        <v>0</v>
      </c>
      <c r="S599" s="17">
        <v>0</v>
      </c>
      <c r="T599" s="22">
        <v>0</v>
      </c>
    </row>
    <row r="600" spans="2:20" x14ac:dyDescent="0.25">
      <c r="B600" s="21">
        <v>0</v>
      </c>
      <c r="C600" s="17">
        <v>0</v>
      </c>
      <c r="D600" s="17">
        <v>0</v>
      </c>
      <c r="E600" s="17">
        <v>0</v>
      </c>
      <c r="F600" s="17">
        <v>0</v>
      </c>
      <c r="G600" s="17">
        <v>0</v>
      </c>
      <c r="H600" s="38">
        <v>0</v>
      </c>
      <c r="I600" s="17" t="str">
        <v/>
      </c>
      <c r="J600" s="17">
        <v>0</v>
      </c>
      <c r="K600" s="38">
        <v>0</v>
      </c>
      <c r="L600" s="17" t="str">
        <v/>
      </c>
      <c r="M600" s="17">
        <v>0</v>
      </c>
      <c r="N600" s="17">
        <v>0</v>
      </c>
      <c r="O600" s="17" t="str">
        <v/>
      </c>
      <c r="P600" s="17" t="str">
        <v/>
      </c>
      <c r="Q600" s="17">
        <v>0</v>
      </c>
      <c r="R600" s="17">
        <v>0</v>
      </c>
      <c r="S600" s="17">
        <v>0</v>
      </c>
      <c r="T600" s="22">
        <v>0</v>
      </c>
    </row>
    <row r="601" spans="2:20" x14ac:dyDescent="0.25">
      <c r="B601" s="21">
        <v>0</v>
      </c>
      <c r="C601" s="17">
        <v>0</v>
      </c>
      <c r="D601" s="17">
        <v>0</v>
      </c>
      <c r="E601" s="17">
        <v>0</v>
      </c>
      <c r="F601" s="17">
        <v>0</v>
      </c>
      <c r="G601" s="17">
        <v>0</v>
      </c>
      <c r="H601" s="38">
        <v>0</v>
      </c>
      <c r="I601" s="17" t="str">
        <v/>
      </c>
      <c r="J601" s="17">
        <v>0</v>
      </c>
      <c r="K601" s="38">
        <v>0</v>
      </c>
      <c r="L601" s="17" t="str">
        <v/>
      </c>
      <c r="M601" s="17">
        <v>0</v>
      </c>
      <c r="N601" s="17">
        <v>0</v>
      </c>
      <c r="O601" s="17" t="str">
        <v/>
      </c>
      <c r="P601" s="17" t="str">
        <v/>
      </c>
      <c r="Q601" s="17">
        <v>0</v>
      </c>
      <c r="R601" s="17">
        <v>0</v>
      </c>
      <c r="S601" s="17">
        <v>0</v>
      </c>
      <c r="T601" s="22">
        <v>0</v>
      </c>
    </row>
    <row r="602" spans="2:20" x14ac:dyDescent="0.25">
      <c r="B602" s="21">
        <v>0</v>
      </c>
      <c r="C602" s="17">
        <v>0</v>
      </c>
      <c r="D602" s="17">
        <v>0</v>
      </c>
      <c r="E602" s="17">
        <v>0</v>
      </c>
      <c r="F602" s="17">
        <v>0</v>
      </c>
      <c r="G602" s="17">
        <v>0</v>
      </c>
      <c r="H602" s="38">
        <v>0</v>
      </c>
      <c r="I602" s="17" t="str">
        <v/>
      </c>
      <c r="J602" s="17">
        <v>0</v>
      </c>
      <c r="K602" s="38">
        <v>0</v>
      </c>
      <c r="L602" s="17" t="str">
        <v/>
      </c>
      <c r="M602" s="17">
        <v>0</v>
      </c>
      <c r="N602" s="17">
        <v>0</v>
      </c>
      <c r="O602" s="17" t="str">
        <v/>
      </c>
      <c r="P602" s="17" t="str">
        <v/>
      </c>
      <c r="Q602" s="17">
        <v>0</v>
      </c>
      <c r="R602" s="17">
        <v>0</v>
      </c>
      <c r="S602" s="17">
        <v>0</v>
      </c>
      <c r="T602" s="22">
        <v>0</v>
      </c>
    </row>
    <row r="603" spans="2:20" x14ac:dyDescent="0.25">
      <c r="B603" s="21">
        <v>0</v>
      </c>
      <c r="C603" s="17">
        <v>0</v>
      </c>
      <c r="D603" s="17">
        <v>0</v>
      </c>
      <c r="E603" s="17">
        <v>0</v>
      </c>
      <c r="F603" s="17">
        <v>0</v>
      </c>
      <c r="G603" s="17">
        <v>0</v>
      </c>
      <c r="H603" s="38">
        <v>0</v>
      </c>
      <c r="I603" s="17" t="str">
        <v/>
      </c>
      <c r="J603" s="17">
        <v>0</v>
      </c>
      <c r="K603" s="38">
        <v>0</v>
      </c>
      <c r="L603" s="17" t="str">
        <v/>
      </c>
      <c r="M603" s="17">
        <v>0</v>
      </c>
      <c r="N603" s="17">
        <v>0</v>
      </c>
      <c r="O603" s="17" t="str">
        <v/>
      </c>
      <c r="P603" s="17" t="str">
        <v/>
      </c>
      <c r="Q603" s="17">
        <v>0</v>
      </c>
      <c r="R603" s="17">
        <v>0</v>
      </c>
      <c r="S603" s="17">
        <v>0</v>
      </c>
      <c r="T603" s="22">
        <v>0</v>
      </c>
    </row>
    <row r="604" spans="2:20" x14ac:dyDescent="0.25">
      <c r="B604" s="21">
        <v>0</v>
      </c>
      <c r="C604" s="17">
        <v>0</v>
      </c>
      <c r="D604" s="17">
        <v>0</v>
      </c>
      <c r="E604" s="17">
        <v>0</v>
      </c>
      <c r="F604" s="17">
        <v>0</v>
      </c>
      <c r="G604" s="17">
        <v>0</v>
      </c>
      <c r="H604" s="38">
        <v>0</v>
      </c>
      <c r="I604" s="17" t="str">
        <v/>
      </c>
      <c r="J604" s="17">
        <v>0</v>
      </c>
      <c r="K604" s="38">
        <v>0</v>
      </c>
      <c r="L604" s="17" t="str">
        <v/>
      </c>
      <c r="M604" s="17">
        <v>0</v>
      </c>
      <c r="N604" s="17">
        <v>0</v>
      </c>
      <c r="O604" s="17" t="str">
        <v/>
      </c>
      <c r="P604" s="17" t="str">
        <v/>
      </c>
      <c r="Q604" s="17">
        <v>0</v>
      </c>
      <c r="R604" s="17">
        <v>0</v>
      </c>
      <c r="S604" s="17">
        <v>0</v>
      </c>
      <c r="T604" s="22">
        <v>0</v>
      </c>
    </row>
    <row r="605" spans="2:20" x14ac:dyDescent="0.25">
      <c r="B605" s="21">
        <v>0</v>
      </c>
      <c r="C605" s="17">
        <v>0</v>
      </c>
      <c r="D605" s="17">
        <v>0</v>
      </c>
      <c r="E605" s="17">
        <v>0</v>
      </c>
      <c r="F605" s="17">
        <v>0</v>
      </c>
      <c r="G605" s="17">
        <v>0</v>
      </c>
      <c r="H605" s="38">
        <v>0</v>
      </c>
      <c r="I605" s="17" t="str">
        <v/>
      </c>
      <c r="J605" s="17">
        <v>0</v>
      </c>
      <c r="K605" s="38">
        <v>0</v>
      </c>
      <c r="L605" s="17" t="str">
        <v/>
      </c>
      <c r="M605" s="17">
        <v>0</v>
      </c>
      <c r="N605" s="17">
        <v>0</v>
      </c>
      <c r="O605" s="17" t="str">
        <v/>
      </c>
      <c r="P605" s="17" t="str">
        <v/>
      </c>
      <c r="Q605" s="17">
        <v>0</v>
      </c>
      <c r="R605" s="17">
        <v>0</v>
      </c>
      <c r="S605" s="17">
        <v>0</v>
      </c>
      <c r="T605" s="22">
        <v>0</v>
      </c>
    </row>
    <row r="606" spans="2:20" x14ac:dyDescent="0.25">
      <c r="B606" s="21">
        <v>0</v>
      </c>
      <c r="C606" s="17">
        <v>0</v>
      </c>
      <c r="D606" s="17">
        <v>0</v>
      </c>
      <c r="E606" s="17">
        <v>0</v>
      </c>
      <c r="F606" s="17">
        <v>0</v>
      </c>
      <c r="G606" s="17">
        <v>0</v>
      </c>
      <c r="H606" s="38">
        <v>0</v>
      </c>
      <c r="I606" s="17" t="str">
        <v/>
      </c>
      <c r="J606" s="17">
        <v>0</v>
      </c>
      <c r="K606" s="38">
        <v>0</v>
      </c>
      <c r="L606" s="17" t="str">
        <v/>
      </c>
      <c r="M606" s="17">
        <v>0</v>
      </c>
      <c r="N606" s="17">
        <v>0</v>
      </c>
      <c r="O606" s="17" t="str">
        <v/>
      </c>
      <c r="P606" s="17" t="str">
        <v/>
      </c>
      <c r="Q606" s="17">
        <v>0</v>
      </c>
      <c r="R606" s="17">
        <v>0</v>
      </c>
      <c r="S606" s="17">
        <v>0</v>
      </c>
      <c r="T606" s="22">
        <v>0</v>
      </c>
    </row>
    <row r="607" spans="2:20" x14ac:dyDescent="0.25">
      <c r="B607" s="21">
        <v>0</v>
      </c>
      <c r="C607" s="17">
        <v>0</v>
      </c>
      <c r="D607" s="17">
        <v>0</v>
      </c>
      <c r="E607" s="17">
        <v>0</v>
      </c>
      <c r="F607" s="17">
        <v>0</v>
      </c>
      <c r="G607" s="17">
        <v>0</v>
      </c>
      <c r="H607" s="38">
        <v>0</v>
      </c>
      <c r="I607" s="17" t="str">
        <v/>
      </c>
      <c r="J607" s="17">
        <v>0</v>
      </c>
      <c r="K607" s="38">
        <v>0</v>
      </c>
      <c r="L607" s="17" t="str">
        <v/>
      </c>
      <c r="M607" s="17">
        <v>0</v>
      </c>
      <c r="N607" s="17">
        <v>0</v>
      </c>
      <c r="O607" s="17" t="str">
        <v/>
      </c>
      <c r="P607" s="17" t="str">
        <v/>
      </c>
      <c r="Q607" s="17">
        <v>0</v>
      </c>
      <c r="R607" s="17">
        <v>0</v>
      </c>
      <c r="S607" s="17">
        <v>0</v>
      </c>
      <c r="T607" s="22">
        <v>0</v>
      </c>
    </row>
    <row r="608" spans="2:20" x14ac:dyDescent="0.25">
      <c r="B608" s="21">
        <v>0</v>
      </c>
      <c r="C608" s="17">
        <v>0</v>
      </c>
      <c r="D608" s="17">
        <v>0</v>
      </c>
      <c r="E608" s="17">
        <v>0</v>
      </c>
      <c r="F608" s="17">
        <v>0</v>
      </c>
      <c r="G608" s="17">
        <v>0</v>
      </c>
      <c r="H608" s="38">
        <v>0</v>
      </c>
      <c r="I608" s="17" t="str">
        <v/>
      </c>
      <c r="J608" s="17">
        <v>0</v>
      </c>
      <c r="K608" s="38">
        <v>0</v>
      </c>
      <c r="L608" s="17" t="str">
        <v/>
      </c>
      <c r="M608" s="17">
        <v>0</v>
      </c>
      <c r="N608" s="17">
        <v>0</v>
      </c>
      <c r="O608" s="17" t="str">
        <v/>
      </c>
      <c r="P608" s="17" t="str">
        <v/>
      </c>
      <c r="Q608" s="17">
        <v>0</v>
      </c>
      <c r="R608" s="17">
        <v>0</v>
      </c>
      <c r="S608" s="17">
        <v>0</v>
      </c>
      <c r="T608" s="22">
        <v>0</v>
      </c>
    </row>
    <row r="609" spans="2:20" x14ac:dyDescent="0.25">
      <c r="B609" s="21">
        <v>0</v>
      </c>
      <c r="C609" s="17">
        <v>0</v>
      </c>
      <c r="D609" s="17">
        <v>0</v>
      </c>
      <c r="E609" s="17">
        <v>0</v>
      </c>
      <c r="F609" s="17">
        <v>0</v>
      </c>
      <c r="G609" s="17">
        <v>0</v>
      </c>
      <c r="H609" s="38">
        <v>0</v>
      </c>
      <c r="I609" s="17" t="str">
        <v/>
      </c>
      <c r="J609" s="17">
        <v>0</v>
      </c>
      <c r="K609" s="38">
        <v>0</v>
      </c>
      <c r="L609" s="17" t="str">
        <v/>
      </c>
      <c r="M609" s="17">
        <v>0</v>
      </c>
      <c r="N609" s="17">
        <v>0</v>
      </c>
      <c r="O609" s="17" t="str">
        <v/>
      </c>
      <c r="P609" s="17" t="str">
        <v/>
      </c>
      <c r="Q609" s="17">
        <v>0</v>
      </c>
      <c r="R609" s="17">
        <v>0</v>
      </c>
      <c r="S609" s="17">
        <v>0</v>
      </c>
      <c r="T609" s="22">
        <v>0</v>
      </c>
    </row>
    <row r="610" spans="2:20" x14ac:dyDescent="0.25">
      <c r="B610" s="21">
        <v>0</v>
      </c>
      <c r="C610" s="17">
        <v>0</v>
      </c>
      <c r="D610" s="17">
        <v>0</v>
      </c>
      <c r="E610" s="17">
        <v>0</v>
      </c>
      <c r="F610" s="17">
        <v>0</v>
      </c>
      <c r="G610" s="17">
        <v>0</v>
      </c>
      <c r="H610" s="38">
        <v>0</v>
      </c>
      <c r="I610" s="17" t="str">
        <v/>
      </c>
      <c r="J610" s="17">
        <v>0</v>
      </c>
      <c r="K610" s="38">
        <v>0</v>
      </c>
      <c r="L610" s="17" t="str">
        <v/>
      </c>
      <c r="M610" s="17">
        <v>0</v>
      </c>
      <c r="N610" s="17">
        <v>0</v>
      </c>
      <c r="O610" s="17" t="str">
        <v/>
      </c>
      <c r="P610" s="17" t="str">
        <v/>
      </c>
      <c r="Q610" s="17">
        <v>0</v>
      </c>
      <c r="R610" s="17">
        <v>0</v>
      </c>
      <c r="S610" s="17">
        <v>0</v>
      </c>
      <c r="T610" s="22">
        <v>0</v>
      </c>
    </row>
    <row r="611" spans="2:20" x14ac:dyDescent="0.25">
      <c r="B611" s="21">
        <v>0</v>
      </c>
      <c r="C611" s="17">
        <v>0</v>
      </c>
      <c r="D611" s="17">
        <v>0</v>
      </c>
      <c r="E611" s="17">
        <v>0</v>
      </c>
      <c r="F611" s="17">
        <v>0</v>
      </c>
      <c r="G611" s="17">
        <v>0</v>
      </c>
      <c r="H611" s="38">
        <v>0</v>
      </c>
      <c r="I611" s="17" t="str">
        <v/>
      </c>
      <c r="J611" s="17">
        <v>0</v>
      </c>
      <c r="K611" s="38">
        <v>0</v>
      </c>
      <c r="L611" s="17" t="str">
        <v/>
      </c>
      <c r="M611" s="17">
        <v>0</v>
      </c>
      <c r="N611" s="17">
        <v>0</v>
      </c>
      <c r="O611" s="17" t="str">
        <v/>
      </c>
      <c r="P611" s="17" t="str">
        <v/>
      </c>
      <c r="Q611" s="17">
        <v>0</v>
      </c>
      <c r="R611" s="17">
        <v>0</v>
      </c>
      <c r="S611" s="17">
        <v>0</v>
      </c>
      <c r="T611" s="22">
        <v>0</v>
      </c>
    </row>
    <row r="612" spans="2:20" x14ac:dyDescent="0.25">
      <c r="B612" s="21">
        <v>0</v>
      </c>
      <c r="C612" s="17">
        <v>0</v>
      </c>
      <c r="D612" s="17">
        <v>0</v>
      </c>
      <c r="E612" s="17">
        <v>0</v>
      </c>
      <c r="F612" s="17">
        <v>0</v>
      </c>
      <c r="G612" s="17">
        <v>0</v>
      </c>
      <c r="H612" s="38">
        <v>0</v>
      </c>
      <c r="I612" s="17" t="str">
        <v/>
      </c>
      <c r="J612" s="17">
        <v>0</v>
      </c>
      <c r="K612" s="38">
        <v>0</v>
      </c>
      <c r="L612" s="17" t="str">
        <v/>
      </c>
      <c r="M612" s="17">
        <v>0</v>
      </c>
      <c r="N612" s="17">
        <v>0</v>
      </c>
      <c r="O612" s="17" t="str">
        <v/>
      </c>
      <c r="P612" s="17" t="str">
        <v/>
      </c>
      <c r="Q612" s="17">
        <v>0</v>
      </c>
      <c r="R612" s="17">
        <v>0</v>
      </c>
      <c r="S612" s="17">
        <v>0</v>
      </c>
      <c r="T612" s="22">
        <v>0</v>
      </c>
    </row>
    <row r="613" spans="2:20" x14ac:dyDescent="0.25">
      <c r="B613" s="21">
        <v>0</v>
      </c>
      <c r="C613" s="17">
        <v>0</v>
      </c>
      <c r="D613" s="17">
        <v>0</v>
      </c>
      <c r="E613" s="17">
        <v>0</v>
      </c>
      <c r="F613" s="17">
        <v>0</v>
      </c>
      <c r="G613" s="17">
        <v>0</v>
      </c>
      <c r="H613" s="38">
        <v>0</v>
      </c>
      <c r="I613" s="17" t="str">
        <v/>
      </c>
      <c r="J613" s="17">
        <v>0</v>
      </c>
      <c r="K613" s="38">
        <v>0</v>
      </c>
      <c r="L613" s="17" t="str">
        <v/>
      </c>
      <c r="M613" s="17">
        <v>0</v>
      </c>
      <c r="N613" s="17">
        <v>0</v>
      </c>
      <c r="O613" s="17" t="str">
        <v/>
      </c>
      <c r="P613" s="17" t="str">
        <v/>
      </c>
      <c r="Q613" s="17">
        <v>0</v>
      </c>
      <c r="R613" s="17">
        <v>0</v>
      </c>
      <c r="S613" s="17">
        <v>0</v>
      </c>
      <c r="T613" s="22">
        <v>0</v>
      </c>
    </row>
    <row r="614" spans="2:20" x14ac:dyDescent="0.25">
      <c r="B614" s="21">
        <v>0</v>
      </c>
      <c r="C614" s="17">
        <v>0</v>
      </c>
      <c r="D614" s="17">
        <v>0</v>
      </c>
      <c r="E614" s="17">
        <v>0</v>
      </c>
      <c r="F614" s="17">
        <v>0</v>
      </c>
      <c r="G614" s="17">
        <v>0</v>
      </c>
      <c r="H614" s="38">
        <v>0</v>
      </c>
      <c r="I614" s="17" t="str">
        <v/>
      </c>
      <c r="J614" s="17">
        <v>0</v>
      </c>
      <c r="K614" s="38">
        <v>0</v>
      </c>
      <c r="L614" s="17" t="str">
        <v/>
      </c>
      <c r="M614" s="17">
        <v>0</v>
      </c>
      <c r="N614" s="17">
        <v>0</v>
      </c>
      <c r="O614" s="17" t="str">
        <v/>
      </c>
      <c r="P614" s="17" t="str">
        <v/>
      </c>
      <c r="Q614" s="17">
        <v>0</v>
      </c>
      <c r="R614" s="17">
        <v>0</v>
      </c>
      <c r="S614" s="17">
        <v>0</v>
      </c>
      <c r="T614" s="22">
        <v>0</v>
      </c>
    </row>
    <row r="615" spans="2:20" x14ac:dyDescent="0.25">
      <c r="B615" s="21">
        <v>0</v>
      </c>
      <c r="C615" s="17">
        <v>0</v>
      </c>
      <c r="D615" s="17">
        <v>0</v>
      </c>
      <c r="E615" s="17">
        <v>0</v>
      </c>
      <c r="F615" s="17">
        <v>0</v>
      </c>
      <c r="G615" s="17">
        <v>0</v>
      </c>
      <c r="H615" s="38">
        <v>0</v>
      </c>
      <c r="I615" s="17" t="str">
        <v/>
      </c>
      <c r="J615" s="17">
        <v>0</v>
      </c>
      <c r="K615" s="38">
        <v>0</v>
      </c>
      <c r="L615" s="17" t="str">
        <v/>
      </c>
      <c r="M615" s="17">
        <v>0</v>
      </c>
      <c r="N615" s="17">
        <v>0</v>
      </c>
      <c r="O615" s="17" t="str">
        <v/>
      </c>
      <c r="P615" s="17" t="str">
        <v/>
      </c>
      <c r="Q615" s="17">
        <v>0</v>
      </c>
      <c r="R615" s="17">
        <v>0</v>
      </c>
      <c r="S615" s="17">
        <v>0</v>
      </c>
      <c r="T615" s="22">
        <v>0</v>
      </c>
    </row>
    <row r="616" spans="2:20" x14ac:dyDescent="0.25">
      <c r="B616" s="21">
        <v>0</v>
      </c>
      <c r="C616" s="17">
        <v>0</v>
      </c>
      <c r="D616" s="17">
        <v>0</v>
      </c>
      <c r="E616" s="17">
        <v>0</v>
      </c>
      <c r="F616" s="17">
        <v>0</v>
      </c>
      <c r="G616" s="17">
        <v>0</v>
      </c>
      <c r="H616" s="38">
        <v>0</v>
      </c>
      <c r="I616" s="17" t="str">
        <v/>
      </c>
      <c r="J616" s="17">
        <v>0</v>
      </c>
      <c r="K616" s="38">
        <v>0</v>
      </c>
      <c r="L616" s="17" t="str">
        <v/>
      </c>
      <c r="M616" s="17">
        <v>0</v>
      </c>
      <c r="N616" s="17">
        <v>0</v>
      </c>
      <c r="O616" s="17" t="str">
        <v/>
      </c>
      <c r="P616" s="17" t="str">
        <v/>
      </c>
      <c r="Q616" s="17">
        <v>0</v>
      </c>
      <c r="R616" s="17">
        <v>0</v>
      </c>
      <c r="S616" s="17">
        <v>0</v>
      </c>
      <c r="T616" s="22">
        <v>0</v>
      </c>
    </row>
    <row r="617" spans="2:20" x14ac:dyDescent="0.25">
      <c r="B617" s="21">
        <v>0</v>
      </c>
      <c r="C617" s="17">
        <v>0</v>
      </c>
      <c r="D617" s="17">
        <v>0</v>
      </c>
      <c r="E617" s="17">
        <v>0</v>
      </c>
      <c r="F617" s="17">
        <v>0</v>
      </c>
      <c r="G617" s="17">
        <v>0</v>
      </c>
      <c r="H617" s="38">
        <v>0</v>
      </c>
      <c r="I617" s="17" t="str">
        <v/>
      </c>
      <c r="J617" s="17">
        <v>0</v>
      </c>
      <c r="K617" s="38">
        <v>0</v>
      </c>
      <c r="L617" s="17" t="str">
        <v/>
      </c>
      <c r="M617" s="17">
        <v>0</v>
      </c>
      <c r="N617" s="17">
        <v>0</v>
      </c>
      <c r="O617" s="17" t="str">
        <v/>
      </c>
      <c r="P617" s="17" t="str">
        <v/>
      </c>
      <c r="Q617" s="17">
        <v>0</v>
      </c>
      <c r="R617" s="17">
        <v>0</v>
      </c>
      <c r="S617" s="17">
        <v>0</v>
      </c>
      <c r="T617" s="22">
        <v>0</v>
      </c>
    </row>
    <row r="618" spans="2:20" x14ac:dyDescent="0.25">
      <c r="B618" s="21">
        <v>0</v>
      </c>
      <c r="C618" s="17">
        <v>0</v>
      </c>
      <c r="D618" s="17">
        <v>0</v>
      </c>
      <c r="E618" s="17">
        <v>0</v>
      </c>
      <c r="F618" s="17">
        <v>0</v>
      </c>
      <c r="G618" s="17">
        <v>0</v>
      </c>
      <c r="H618" s="38">
        <v>0</v>
      </c>
      <c r="I618" s="17" t="str">
        <v/>
      </c>
      <c r="J618" s="17">
        <v>0</v>
      </c>
      <c r="K618" s="38">
        <v>0</v>
      </c>
      <c r="L618" s="17" t="str">
        <v/>
      </c>
      <c r="M618" s="17">
        <v>0</v>
      </c>
      <c r="N618" s="17">
        <v>0</v>
      </c>
      <c r="O618" s="17" t="str">
        <v/>
      </c>
      <c r="P618" s="17" t="str">
        <v/>
      </c>
      <c r="Q618" s="17">
        <v>0</v>
      </c>
      <c r="R618" s="17">
        <v>0</v>
      </c>
      <c r="S618" s="17">
        <v>0</v>
      </c>
      <c r="T618" s="22">
        <v>0</v>
      </c>
    </row>
    <row r="619" spans="2:20" x14ac:dyDescent="0.25">
      <c r="B619" s="21">
        <v>0</v>
      </c>
      <c r="C619" s="17">
        <v>0</v>
      </c>
      <c r="D619" s="17">
        <v>0</v>
      </c>
      <c r="E619" s="17">
        <v>0</v>
      </c>
      <c r="F619" s="17">
        <v>0</v>
      </c>
      <c r="G619" s="17">
        <v>0</v>
      </c>
      <c r="H619" s="38">
        <v>0</v>
      </c>
      <c r="I619" s="17" t="str">
        <v/>
      </c>
      <c r="J619" s="17">
        <v>0</v>
      </c>
      <c r="K619" s="38">
        <v>0</v>
      </c>
      <c r="L619" s="17" t="str">
        <v/>
      </c>
      <c r="M619" s="17">
        <v>0</v>
      </c>
      <c r="N619" s="17">
        <v>0</v>
      </c>
      <c r="O619" s="17" t="str">
        <v/>
      </c>
      <c r="P619" s="17" t="str">
        <v/>
      </c>
      <c r="Q619" s="17">
        <v>0</v>
      </c>
      <c r="R619" s="17">
        <v>0</v>
      </c>
      <c r="S619" s="17">
        <v>0</v>
      </c>
      <c r="T619" s="22">
        <v>0</v>
      </c>
    </row>
    <row r="620" spans="2:20" x14ac:dyDescent="0.25">
      <c r="B620" s="21">
        <v>0</v>
      </c>
      <c r="C620" s="17">
        <v>0</v>
      </c>
      <c r="D620" s="17">
        <v>0</v>
      </c>
      <c r="E620" s="17">
        <v>0</v>
      </c>
      <c r="F620" s="17">
        <v>0</v>
      </c>
      <c r="G620" s="17">
        <v>0</v>
      </c>
      <c r="H620" s="38">
        <v>0</v>
      </c>
      <c r="I620" s="17" t="str">
        <v/>
      </c>
      <c r="J620" s="17">
        <v>0</v>
      </c>
      <c r="K620" s="38">
        <v>0</v>
      </c>
      <c r="L620" s="17" t="str">
        <v/>
      </c>
      <c r="M620" s="17">
        <v>0</v>
      </c>
      <c r="N620" s="17">
        <v>0</v>
      </c>
      <c r="O620" s="17" t="str">
        <v/>
      </c>
      <c r="P620" s="17" t="str">
        <v/>
      </c>
      <c r="Q620" s="17">
        <v>0</v>
      </c>
      <c r="R620" s="17">
        <v>0</v>
      </c>
      <c r="S620" s="17">
        <v>0</v>
      </c>
      <c r="T620" s="22">
        <v>0</v>
      </c>
    </row>
    <row r="621" spans="2:20" x14ac:dyDescent="0.25">
      <c r="B621" s="21">
        <v>0</v>
      </c>
      <c r="C621" s="17">
        <v>0</v>
      </c>
      <c r="D621" s="17">
        <v>0</v>
      </c>
      <c r="E621" s="17">
        <v>0</v>
      </c>
      <c r="F621" s="17">
        <v>0</v>
      </c>
      <c r="G621" s="17">
        <v>0</v>
      </c>
      <c r="H621" s="38">
        <v>0</v>
      </c>
      <c r="I621" s="17" t="str">
        <v/>
      </c>
      <c r="J621" s="17">
        <v>0</v>
      </c>
      <c r="K621" s="38">
        <v>0</v>
      </c>
      <c r="L621" s="17" t="str">
        <v/>
      </c>
      <c r="M621" s="17">
        <v>0</v>
      </c>
      <c r="N621" s="17">
        <v>0</v>
      </c>
      <c r="O621" s="17" t="str">
        <v/>
      </c>
      <c r="P621" s="17" t="str">
        <v/>
      </c>
      <c r="Q621" s="17">
        <v>0</v>
      </c>
      <c r="R621" s="17">
        <v>0</v>
      </c>
      <c r="S621" s="17">
        <v>0</v>
      </c>
      <c r="T621" s="22">
        <v>0</v>
      </c>
    </row>
    <row r="622" spans="2:20" x14ac:dyDescent="0.25">
      <c r="B622" s="21">
        <v>0</v>
      </c>
      <c r="C622" s="17">
        <v>0</v>
      </c>
      <c r="D622" s="17">
        <v>0</v>
      </c>
      <c r="E622" s="17">
        <v>0</v>
      </c>
      <c r="F622" s="17">
        <v>0</v>
      </c>
      <c r="G622" s="17">
        <v>0</v>
      </c>
      <c r="H622" s="38">
        <v>0</v>
      </c>
      <c r="I622" s="17" t="str">
        <v/>
      </c>
      <c r="J622" s="17">
        <v>0</v>
      </c>
      <c r="K622" s="38">
        <v>0</v>
      </c>
      <c r="L622" s="17" t="str">
        <v/>
      </c>
      <c r="M622" s="17">
        <v>0</v>
      </c>
      <c r="N622" s="17">
        <v>0</v>
      </c>
      <c r="O622" s="17" t="str">
        <v/>
      </c>
      <c r="P622" s="17" t="str">
        <v/>
      </c>
      <c r="Q622" s="17">
        <v>0</v>
      </c>
      <c r="R622" s="17">
        <v>0</v>
      </c>
      <c r="S622" s="17">
        <v>0</v>
      </c>
      <c r="T622" s="22">
        <v>0</v>
      </c>
    </row>
    <row r="623" spans="2:20" x14ac:dyDescent="0.25">
      <c r="B623" s="21">
        <v>0</v>
      </c>
      <c r="C623" s="17">
        <v>0</v>
      </c>
      <c r="D623" s="17">
        <v>0</v>
      </c>
      <c r="E623" s="17">
        <v>0</v>
      </c>
      <c r="F623" s="17">
        <v>0</v>
      </c>
      <c r="G623" s="17">
        <v>0</v>
      </c>
      <c r="H623" s="38">
        <v>0</v>
      </c>
      <c r="I623" s="17" t="str">
        <v/>
      </c>
      <c r="J623" s="17">
        <v>0</v>
      </c>
      <c r="K623" s="38">
        <v>0</v>
      </c>
      <c r="L623" s="17" t="str">
        <v/>
      </c>
      <c r="M623" s="17">
        <v>0</v>
      </c>
      <c r="N623" s="17">
        <v>0</v>
      </c>
      <c r="O623" s="17" t="str">
        <v/>
      </c>
      <c r="P623" s="17" t="str">
        <v/>
      </c>
      <c r="Q623" s="17">
        <v>0</v>
      </c>
      <c r="R623" s="17">
        <v>0</v>
      </c>
      <c r="S623" s="17">
        <v>0</v>
      </c>
      <c r="T623" s="22">
        <v>0</v>
      </c>
    </row>
    <row r="624" spans="2:20" x14ac:dyDescent="0.25">
      <c r="B624" s="21">
        <v>0</v>
      </c>
      <c r="C624" s="17">
        <v>0</v>
      </c>
      <c r="D624" s="17">
        <v>0</v>
      </c>
      <c r="E624" s="17">
        <v>0</v>
      </c>
      <c r="F624" s="17">
        <v>0</v>
      </c>
      <c r="G624" s="17">
        <v>0</v>
      </c>
      <c r="H624" s="38">
        <v>0</v>
      </c>
      <c r="I624" s="17" t="str">
        <v/>
      </c>
      <c r="J624" s="17">
        <v>0</v>
      </c>
      <c r="K624" s="38">
        <v>0</v>
      </c>
      <c r="L624" s="17" t="str">
        <v/>
      </c>
      <c r="M624" s="17">
        <v>0</v>
      </c>
      <c r="N624" s="17">
        <v>0</v>
      </c>
      <c r="O624" s="17" t="str">
        <v/>
      </c>
      <c r="P624" s="17" t="str">
        <v/>
      </c>
      <c r="Q624" s="17">
        <v>0</v>
      </c>
      <c r="R624" s="17">
        <v>0</v>
      </c>
      <c r="S624" s="17">
        <v>0</v>
      </c>
      <c r="T624" s="22">
        <v>0</v>
      </c>
    </row>
    <row r="625" spans="2:20" x14ac:dyDescent="0.25">
      <c r="B625" s="21">
        <v>0</v>
      </c>
      <c r="C625" s="17">
        <v>0</v>
      </c>
      <c r="D625" s="17">
        <v>0</v>
      </c>
      <c r="E625" s="17">
        <v>0</v>
      </c>
      <c r="F625" s="17">
        <v>0</v>
      </c>
      <c r="G625" s="17">
        <v>0</v>
      </c>
      <c r="H625" s="38">
        <v>0</v>
      </c>
      <c r="I625" s="17" t="str">
        <v/>
      </c>
      <c r="J625" s="17">
        <v>0</v>
      </c>
      <c r="K625" s="38">
        <v>0</v>
      </c>
      <c r="L625" s="17" t="str">
        <v/>
      </c>
      <c r="M625" s="17">
        <v>0</v>
      </c>
      <c r="N625" s="17">
        <v>0</v>
      </c>
      <c r="O625" s="17" t="str">
        <v/>
      </c>
      <c r="P625" s="17" t="str">
        <v/>
      </c>
      <c r="Q625" s="17">
        <v>0</v>
      </c>
      <c r="R625" s="17">
        <v>0</v>
      </c>
      <c r="S625" s="17">
        <v>0</v>
      </c>
      <c r="T625" s="22">
        <v>0</v>
      </c>
    </row>
    <row r="626" spans="2:20" x14ac:dyDescent="0.25">
      <c r="B626" s="21">
        <v>0</v>
      </c>
      <c r="C626" s="17">
        <v>0</v>
      </c>
      <c r="D626" s="17">
        <v>0</v>
      </c>
      <c r="E626" s="17">
        <v>0</v>
      </c>
      <c r="F626" s="17">
        <v>0</v>
      </c>
      <c r="G626" s="17">
        <v>0</v>
      </c>
      <c r="H626" s="38">
        <v>0</v>
      </c>
      <c r="I626" s="17" t="str">
        <v/>
      </c>
      <c r="J626" s="17">
        <v>0</v>
      </c>
      <c r="K626" s="38">
        <v>0</v>
      </c>
      <c r="L626" s="17" t="str">
        <v/>
      </c>
      <c r="M626" s="17">
        <v>0</v>
      </c>
      <c r="N626" s="17">
        <v>0</v>
      </c>
      <c r="O626" s="17" t="str">
        <v/>
      </c>
      <c r="P626" s="17" t="str">
        <v/>
      </c>
      <c r="Q626" s="17">
        <v>0</v>
      </c>
      <c r="R626" s="17">
        <v>0</v>
      </c>
      <c r="S626" s="17">
        <v>0</v>
      </c>
      <c r="T626" s="22">
        <v>0</v>
      </c>
    </row>
    <row r="627" spans="2:20" x14ac:dyDescent="0.25">
      <c r="B627" s="21">
        <v>0</v>
      </c>
      <c r="C627" s="17">
        <v>0</v>
      </c>
      <c r="D627" s="17">
        <v>0</v>
      </c>
      <c r="E627" s="17">
        <v>0</v>
      </c>
      <c r="F627" s="17">
        <v>0</v>
      </c>
      <c r="G627" s="17">
        <v>0</v>
      </c>
      <c r="H627" s="38">
        <v>0</v>
      </c>
      <c r="I627" s="17" t="str">
        <v/>
      </c>
      <c r="J627" s="17">
        <v>0</v>
      </c>
      <c r="K627" s="38">
        <v>0</v>
      </c>
      <c r="L627" s="17" t="str">
        <v/>
      </c>
      <c r="M627" s="17">
        <v>0</v>
      </c>
      <c r="N627" s="17">
        <v>0</v>
      </c>
      <c r="O627" s="17" t="str">
        <v/>
      </c>
      <c r="P627" s="17" t="str">
        <v/>
      </c>
      <c r="Q627" s="17">
        <v>0</v>
      </c>
      <c r="R627" s="17">
        <v>0</v>
      </c>
      <c r="S627" s="17">
        <v>0</v>
      </c>
      <c r="T627" s="22">
        <v>0</v>
      </c>
    </row>
    <row r="628" spans="2:20" x14ac:dyDescent="0.25">
      <c r="B628" s="21">
        <v>0</v>
      </c>
      <c r="C628" s="17">
        <v>0</v>
      </c>
      <c r="D628" s="17">
        <v>0</v>
      </c>
      <c r="E628" s="17">
        <v>0</v>
      </c>
      <c r="F628" s="17">
        <v>0</v>
      </c>
      <c r="G628" s="17">
        <v>0</v>
      </c>
      <c r="H628" s="38">
        <v>0</v>
      </c>
      <c r="I628" s="17" t="str">
        <v/>
      </c>
      <c r="J628" s="17">
        <v>0</v>
      </c>
      <c r="K628" s="38">
        <v>0</v>
      </c>
      <c r="L628" s="17" t="str">
        <v/>
      </c>
      <c r="M628" s="17">
        <v>0</v>
      </c>
      <c r="N628" s="17">
        <v>0</v>
      </c>
      <c r="O628" s="17" t="str">
        <v/>
      </c>
      <c r="P628" s="17" t="str">
        <v/>
      </c>
      <c r="Q628" s="17">
        <v>0</v>
      </c>
      <c r="R628" s="17">
        <v>0</v>
      </c>
      <c r="S628" s="17">
        <v>0</v>
      </c>
      <c r="T628" s="22">
        <v>0</v>
      </c>
    </row>
    <row r="629" spans="2:20" x14ac:dyDescent="0.25">
      <c r="B629" s="21">
        <v>0</v>
      </c>
      <c r="C629" s="17">
        <v>0</v>
      </c>
      <c r="D629" s="17">
        <v>0</v>
      </c>
      <c r="E629" s="17">
        <v>0</v>
      </c>
      <c r="F629" s="17">
        <v>0</v>
      </c>
      <c r="G629" s="17">
        <v>0</v>
      </c>
      <c r="H629" s="38">
        <v>0</v>
      </c>
      <c r="I629" s="17" t="str">
        <v/>
      </c>
      <c r="J629" s="17">
        <v>0</v>
      </c>
      <c r="K629" s="38">
        <v>0</v>
      </c>
      <c r="L629" s="17" t="str">
        <v/>
      </c>
      <c r="M629" s="17">
        <v>0</v>
      </c>
      <c r="N629" s="17">
        <v>0</v>
      </c>
      <c r="O629" s="17" t="str">
        <v/>
      </c>
      <c r="P629" s="17" t="str">
        <v/>
      </c>
      <c r="Q629" s="17">
        <v>0</v>
      </c>
      <c r="R629" s="17">
        <v>0</v>
      </c>
      <c r="S629" s="17">
        <v>0</v>
      </c>
      <c r="T629" s="22">
        <v>0</v>
      </c>
    </row>
    <row r="630" spans="2:20" x14ac:dyDescent="0.25">
      <c r="B630" s="21">
        <v>0</v>
      </c>
      <c r="C630" s="17">
        <v>0</v>
      </c>
      <c r="D630" s="17">
        <v>0</v>
      </c>
      <c r="E630" s="17">
        <v>0</v>
      </c>
      <c r="F630" s="17">
        <v>0</v>
      </c>
      <c r="G630" s="17">
        <v>0</v>
      </c>
      <c r="H630" s="38">
        <v>0</v>
      </c>
      <c r="I630" s="17" t="str">
        <v/>
      </c>
      <c r="J630" s="17">
        <v>0</v>
      </c>
      <c r="K630" s="38">
        <v>0</v>
      </c>
      <c r="L630" s="17" t="str">
        <v/>
      </c>
      <c r="M630" s="17">
        <v>0</v>
      </c>
      <c r="N630" s="17">
        <v>0</v>
      </c>
      <c r="O630" s="17" t="str">
        <v/>
      </c>
      <c r="P630" s="17" t="str">
        <v/>
      </c>
      <c r="Q630" s="17">
        <v>0</v>
      </c>
      <c r="R630" s="17">
        <v>0</v>
      </c>
      <c r="S630" s="17">
        <v>0</v>
      </c>
      <c r="T630" s="22">
        <v>0</v>
      </c>
    </row>
    <row r="631" spans="2:20" x14ac:dyDescent="0.25">
      <c r="B631" s="21">
        <v>0</v>
      </c>
      <c r="C631" s="17">
        <v>0</v>
      </c>
      <c r="D631" s="17">
        <v>0</v>
      </c>
      <c r="E631" s="17">
        <v>0</v>
      </c>
      <c r="F631" s="17">
        <v>0</v>
      </c>
      <c r="G631" s="17">
        <v>0</v>
      </c>
      <c r="H631" s="38">
        <v>0</v>
      </c>
      <c r="I631" s="17" t="str">
        <v/>
      </c>
      <c r="J631" s="17">
        <v>0</v>
      </c>
      <c r="K631" s="38">
        <v>0</v>
      </c>
      <c r="L631" s="17" t="str">
        <v/>
      </c>
      <c r="M631" s="17">
        <v>0</v>
      </c>
      <c r="N631" s="17">
        <v>0</v>
      </c>
      <c r="O631" s="17" t="str">
        <v/>
      </c>
      <c r="P631" s="17" t="str">
        <v/>
      </c>
      <c r="Q631" s="17">
        <v>0</v>
      </c>
      <c r="R631" s="17">
        <v>0</v>
      </c>
      <c r="S631" s="17">
        <v>0</v>
      </c>
      <c r="T631" s="22">
        <v>0</v>
      </c>
    </row>
    <row r="632" spans="2:20" x14ac:dyDescent="0.25">
      <c r="B632" s="21">
        <v>0</v>
      </c>
      <c r="C632" s="17">
        <v>0</v>
      </c>
      <c r="D632" s="17">
        <v>0</v>
      </c>
      <c r="E632" s="17">
        <v>0</v>
      </c>
      <c r="F632" s="17">
        <v>0</v>
      </c>
      <c r="G632" s="17">
        <v>0</v>
      </c>
      <c r="H632" s="38">
        <v>0</v>
      </c>
      <c r="I632" s="17" t="str">
        <v/>
      </c>
      <c r="J632" s="17">
        <v>0</v>
      </c>
      <c r="K632" s="38">
        <v>0</v>
      </c>
      <c r="L632" s="17" t="str">
        <v/>
      </c>
      <c r="M632" s="17">
        <v>0</v>
      </c>
      <c r="N632" s="17">
        <v>0</v>
      </c>
      <c r="O632" s="17" t="str">
        <v/>
      </c>
      <c r="P632" s="17" t="str">
        <v/>
      </c>
      <c r="Q632" s="17">
        <v>0</v>
      </c>
      <c r="R632" s="17">
        <v>0</v>
      </c>
      <c r="S632" s="17">
        <v>0</v>
      </c>
      <c r="T632" s="22">
        <v>0</v>
      </c>
    </row>
    <row r="633" spans="2:20" x14ac:dyDescent="0.25">
      <c r="B633" s="21">
        <v>0</v>
      </c>
      <c r="C633" s="17">
        <v>0</v>
      </c>
      <c r="D633" s="17">
        <v>0</v>
      </c>
      <c r="E633" s="17">
        <v>0</v>
      </c>
      <c r="F633" s="17">
        <v>0</v>
      </c>
      <c r="G633" s="17">
        <v>0</v>
      </c>
      <c r="H633" s="38">
        <v>0</v>
      </c>
      <c r="I633" s="17" t="str">
        <v/>
      </c>
      <c r="J633" s="17">
        <v>0</v>
      </c>
      <c r="K633" s="38">
        <v>0</v>
      </c>
      <c r="L633" s="17" t="str">
        <v/>
      </c>
      <c r="M633" s="17">
        <v>0</v>
      </c>
      <c r="N633" s="17">
        <v>0</v>
      </c>
      <c r="O633" s="17" t="str">
        <v/>
      </c>
      <c r="P633" s="17" t="str">
        <v/>
      </c>
      <c r="Q633" s="17">
        <v>0</v>
      </c>
      <c r="R633" s="17">
        <v>0</v>
      </c>
      <c r="S633" s="17">
        <v>0</v>
      </c>
      <c r="T633" s="22">
        <v>0</v>
      </c>
    </row>
    <row r="634" spans="2:20" x14ac:dyDescent="0.25">
      <c r="B634" s="21">
        <v>0</v>
      </c>
      <c r="C634" s="17">
        <v>0</v>
      </c>
      <c r="D634" s="17">
        <v>0</v>
      </c>
      <c r="E634" s="17">
        <v>0</v>
      </c>
      <c r="F634" s="17">
        <v>0</v>
      </c>
      <c r="G634" s="17">
        <v>0</v>
      </c>
      <c r="H634" s="38">
        <v>0</v>
      </c>
      <c r="I634" s="17" t="str">
        <v/>
      </c>
      <c r="J634" s="17">
        <v>0</v>
      </c>
      <c r="K634" s="38">
        <v>0</v>
      </c>
      <c r="L634" s="17" t="str">
        <v/>
      </c>
      <c r="M634" s="17">
        <v>0</v>
      </c>
      <c r="N634" s="17">
        <v>0</v>
      </c>
      <c r="O634" s="17" t="str">
        <v/>
      </c>
      <c r="P634" s="17" t="str">
        <v/>
      </c>
      <c r="Q634" s="17">
        <v>0</v>
      </c>
      <c r="R634" s="17">
        <v>0</v>
      </c>
      <c r="S634" s="17">
        <v>0</v>
      </c>
      <c r="T634" s="22">
        <v>0</v>
      </c>
    </row>
    <row r="635" spans="2:20" x14ac:dyDescent="0.25">
      <c r="B635" s="21">
        <v>0</v>
      </c>
      <c r="C635" s="17">
        <v>0</v>
      </c>
      <c r="D635" s="17">
        <v>0</v>
      </c>
      <c r="E635" s="17">
        <v>0</v>
      </c>
      <c r="F635" s="17">
        <v>0</v>
      </c>
      <c r="G635" s="17">
        <v>0</v>
      </c>
      <c r="H635" s="38">
        <v>0</v>
      </c>
      <c r="I635" s="17" t="str">
        <v/>
      </c>
      <c r="J635" s="17">
        <v>0</v>
      </c>
      <c r="K635" s="38">
        <v>0</v>
      </c>
      <c r="L635" s="17" t="str">
        <v/>
      </c>
      <c r="M635" s="17">
        <v>0</v>
      </c>
      <c r="N635" s="17">
        <v>0</v>
      </c>
      <c r="O635" s="17" t="str">
        <v/>
      </c>
      <c r="P635" s="17" t="str">
        <v/>
      </c>
      <c r="Q635" s="17">
        <v>0</v>
      </c>
      <c r="R635" s="17">
        <v>0</v>
      </c>
      <c r="S635" s="17">
        <v>0</v>
      </c>
      <c r="T635" s="22">
        <v>0</v>
      </c>
    </row>
    <row r="636" spans="2:20" x14ac:dyDescent="0.25">
      <c r="B636" s="21">
        <v>0</v>
      </c>
      <c r="C636" s="17">
        <v>0</v>
      </c>
      <c r="D636" s="17">
        <v>0</v>
      </c>
      <c r="E636" s="17">
        <v>0</v>
      </c>
      <c r="F636" s="17">
        <v>0</v>
      </c>
      <c r="G636" s="17">
        <v>0</v>
      </c>
      <c r="H636" s="38">
        <v>0</v>
      </c>
      <c r="I636" s="17" t="str">
        <v/>
      </c>
      <c r="J636" s="17">
        <v>0</v>
      </c>
      <c r="K636" s="38">
        <v>0</v>
      </c>
      <c r="L636" s="17" t="str">
        <v/>
      </c>
      <c r="M636" s="17">
        <v>0</v>
      </c>
      <c r="N636" s="17">
        <v>0</v>
      </c>
      <c r="O636" s="17" t="str">
        <v/>
      </c>
      <c r="P636" s="17" t="str">
        <v/>
      </c>
      <c r="Q636" s="17">
        <v>0</v>
      </c>
      <c r="R636" s="17">
        <v>0</v>
      </c>
      <c r="S636" s="17">
        <v>0</v>
      </c>
      <c r="T636" s="22">
        <v>0</v>
      </c>
    </row>
    <row r="637" spans="2:20" x14ac:dyDescent="0.25">
      <c r="B637" s="21">
        <v>0</v>
      </c>
      <c r="C637" s="17">
        <v>0</v>
      </c>
      <c r="D637" s="17">
        <v>0</v>
      </c>
      <c r="E637" s="17">
        <v>0</v>
      </c>
      <c r="F637" s="17">
        <v>0</v>
      </c>
      <c r="G637" s="17">
        <v>0</v>
      </c>
      <c r="H637" s="38">
        <v>0</v>
      </c>
      <c r="I637" s="17" t="str">
        <v/>
      </c>
      <c r="J637" s="17">
        <v>0</v>
      </c>
      <c r="K637" s="38">
        <v>0</v>
      </c>
      <c r="L637" s="17" t="str">
        <v/>
      </c>
      <c r="M637" s="17">
        <v>0</v>
      </c>
      <c r="N637" s="17">
        <v>0</v>
      </c>
      <c r="O637" s="17" t="str">
        <v/>
      </c>
      <c r="P637" s="17" t="str">
        <v/>
      </c>
      <c r="Q637" s="17">
        <v>0</v>
      </c>
      <c r="R637" s="17">
        <v>0</v>
      </c>
      <c r="S637" s="17">
        <v>0</v>
      </c>
      <c r="T637" s="22">
        <v>0</v>
      </c>
    </row>
    <row r="638" spans="2:20" x14ac:dyDescent="0.25">
      <c r="B638" s="21">
        <v>0</v>
      </c>
      <c r="C638" s="17">
        <v>0</v>
      </c>
      <c r="D638" s="17">
        <v>0</v>
      </c>
      <c r="E638" s="17">
        <v>0</v>
      </c>
      <c r="F638" s="17">
        <v>0</v>
      </c>
      <c r="G638" s="17">
        <v>0</v>
      </c>
      <c r="H638" s="38">
        <v>0</v>
      </c>
      <c r="I638" s="17" t="str">
        <v/>
      </c>
      <c r="J638" s="17">
        <v>0</v>
      </c>
      <c r="K638" s="38">
        <v>0</v>
      </c>
      <c r="L638" s="17" t="str">
        <v/>
      </c>
      <c r="M638" s="17">
        <v>0</v>
      </c>
      <c r="N638" s="17">
        <v>0</v>
      </c>
      <c r="O638" s="17" t="str">
        <v/>
      </c>
      <c r="P638" s="17" t="str">
        <v/>
      </c>
      <c r="Q638" s="17">
        <v>0</v>
      </c>
      <c r="R638" s="17">
        <v>0</v>
      </c>
      <c r="S638" s="17">
        <v>0</v>
      </c>
      <c r="T638" s="22">
        <v>0</v>
      </c>
    </row>
    <row r="639" spans="2:20" x14ac:dyDescent="0.25">
      <c r="B639" s="21">
        <v>0</v>
      </c>
      <c r="C639" s="17">
        <v>0</v>
      </c>
      <c r="D639" s="17">
        <v>0</v>
      </c>
      <c r="E639" s="17">
        <v>0</v>
      </c>
      <c r="F639" s="17">
        <v>0</v>
      </c>
      <c r="G639" s="17">
        <v>0</v>
      </c>
      <c r="H639" s="38">
        <v>0</v>
      </c>
      <c r="I639" s="17" t="str">
        <v/>
      </c>
      <c r="J639" s="17">
        <v>0</v>
      </c>
      <c r="K639" s="38">
        <v>0</v>
      </c>
      <c r="L639" s="17" t="str">
        <v/>
      </c>
      <c r="M639" s="17">
        <v>0</v>
      </c>
      <c r="N639" s="17">
        <v>0</v>
      </c>
      <c r="O639" s="17" t="str">
        <v/>
      </c>
      <c r="P639" s="17" t="str">
        <v/>
      </c>
      <c r="Q639" s="17">
        <v>0</v>
      </c>
      <c r="R639" s="17">
        <v>0</v>
      </c>
      <c r="S639" s="17">
        <v>0</v>
      </c>
      <c r="T639" s="22">
        <v>0</v>
      </c>
    </row>
    <row r="640" spans="2:20" x14ac:dyDescent="0.25">
      <c r="B640" s="21">
        <v>0</v>
      </c>
      <c r="C640" s="17">
        <v>0</v>
      </c>
      <c r="D640" s="17">
        <v>0</v>
      </c>
      <c r="E640" s="17">
        <v>0</v>
      </c>
      <c r="F640" s="17">
        <v>0</v>
      </c>
      <c r="G640" s="17">
        <v>0</v>
      </c>
      <c r="H640" s="38">
        <v>0</v>
      </c>
      <c r="I640" s="17" t="str">
        <v/>
      </c>
      <c r="J640" s="17">
        <v>0</v>
      </c>
      <c r="K640" s="38">
        <v>0</v>
      </c>
      <c r="L640" s="17" t="str">
        <v/>
      </c>
      <c r="M640" s="17">
        <v>0</v>
      </c>
      <c r="N640" s="17">
        <v>0</v>
      </c>
      <c r="O640" s="17" t="str">
        <v/>
      </c>
      <c r="P640" s="17" t="str">
        <v/>
      </c>
      <c r="Q640" s="17">
        <v>0</v>
      </c>
      <c r="R640" s="17">
        <v>0</v>
      </c>
      <c r="S640" s="17">
        <v>0</v>
      </c>
      <c r="T640" s="22">
        <v>0</v>
      </c>
    </row>
    <row r="641" spans="2:20" x14ac:dyDescent="0.25">
      <c r="B641" s="21">
        <v>0</v>
      </c>
      <c r="C641" s="17">
        <v>0</v>
      </c>
      <c r="D641" s="17">
        <v>0</v>
      </c>
      <c r="E641" s="17">
        <v>0</v>
      </c>
      <c r="F641" s="17">
        <v>0</v>
      </c>
      <c r="G641" s="17">
        <v>0</v>
      </c>
      <c r="H641" s="38">
        <v>0</v>
      </c>
      <c r="I641" s="17" t="str">
        <v/>
      </c>
      <c r="J641" s="17">
        <v>0</v>
      </c>
      <c r="K641" s="38">
        <v>0</v>
      </c>
      <c r="L641" s="17" t="str">
        <v/>
      </c>
      <c r="M641" s="17">
        <v>0</v>
      </c>
      <c r="N641" s="17">
        <v>0</v>
      </c>
      <c r="O641" s="17" t="str">
        <v/>
      </c>
      <c r="P641" s="17" t="str">
        <v/>
      </c>
      <c r="Q641" s="17">
        <v>0</v>
      </c>
      <c r="R641" s="17">
        <v>0</v>
      </c>
      <c r="S641" s="17">
        <v>0</v>
      </c>
      <c r="T641" s="22">
        <v>0</v>
      </c>
    </row>
    <row r="642" spans="2:20" x14ac:dyDescent="0.25">
      <c r="B642" s="21">
        <v>0</v>
      </c>
      <c r="C642" s="17">
        <v>0</v>
      </c>
      <c r="D642" s="17">
        <v>0</v>
      </c>
      <c r="E642" s="17">
        <v>0</v>
      </c>
      <c r="F642" s="17">
        <v>0</v>
      </c>
      <c r="G642" s="17">
        <v>0</v>
      </c>
      <c r="H642" s="38">
        <v>0</v>
      </c>
      <c r="I642" s="17" t="str">
        <v/>
      </c>
      <c r="J642" s="17">
        <v>0</v>
      </c>
      <c r="K642" s="38">
        <v>0</v>
      </c>
      <c r="L642" s="17" t="str">
        <v/>
      </c>
      <c r="M642" s="17">
        <v>0</v>
      </c>
      <c r="N642" s="17">
        <v>0</v>
      </c>
      <c r="O642" s="17" t="str">
        <v/>
      </c>
      <c r="P642" s="17" t="str">
        <v/>
      </c>
      <c r="Q642" s="17">
        <v>0</v>
      </c>
      <c r="R642" s="17">
        <v>0</v>
      </c>
      <c r="S642" s="17">
        <v>0</v>
      </c>
      <c r="T642" s="22">
        <v>0</v>
      </c>
    </row>
    <row r="643" spans="2:20" x14ac:dyDescent="0.25">
      <c r="B643" s="21">
        <v>0</v>
      </c>
      <c r="C643" s="17">
        <v>0</v>
      </c>
      <c r="D643" s="17">
        <v>0</v>
      </c>
      <c r="E643" s="17">
        <v>0</v>
      </c>
      <c r="F643" s="17">
        <v>0</v>
      </c>
      <c r="G643" s="17">
        <v>0</v>
      </c>
      <c r="H643" s="38">
        <v>0</v>
      </c>
      <c r="I643" s="17" t="str">
        <v/>
      </c>
      <c r="J643" s="17">
        <v>0</v>
      </c>
      <c r="K643" s="38">
        <v>0</v>
      </c>
      <c r="L643" s="17" t="str">
        <v/>
      </c>
      <c r="M643" s="17">
        <v>0</v>
      </c>
      <c r="N643" s="17">
        <v>0</v>
      </c>
      <c r="O643" s="17" t="str">
        <v/>
      </c>
      <c r="P643" s="17" t="str">
        <v/>
      </c>
      <c r="Q643" s="17">
        <v>0</v>
      </c>
      <c r="R643" s="17">
        <v>0</v>
      </c>
      <c r="S643" s="17">
        <v>0</v>
      </c>
      <c r="T643" s="22">
        <v>0</v>
      </c>
    </row>
    <row r="644" spans="2:20" x14ac:dyDescent="0.25">
      <c r="B644" s="21">
        <v>0</v>
      </c>
      <c r="C644" s="17">
        <v>0</v>
      </c>
      <c r="D644" s="17">
        <v>0</v>
      </c>
      <c r="E644" s="17">
        <v>0</v>
      </c>
      <c r="F644" s="17">
        <v>0</v>
      </c>
      <c r="G644" s="17">
        <v>0</v>
      </c>
      <c r="H644" s="38">
        <v>0</v>
      </c>
      <c r="I644" s="17" t="str">
        <v/>
      </c>
      <c r="J644" s="17">
        <v>0</v>
      </c>
      <c r="K644" s="38">
        <v>0</v>
      </c>
      <c r="L644" s="17" t="str">
        <v/>
      </c>
      <c r="M644" s="17">
        <v>0</v>
      </c>
      <c r="N644" s="17">
        <v>0</v>
      </c>
      <c r="O644" s="17" t="str">
        <v/>
      </c>
      <c r="P644" s="17" t="str">
        <v/>
      </c>
      <c r="Q644" s="17">
        <v>0</v>
      </c>
      <c r="R644" s="17">
        <v>0</v>
      </c>
      <c r="S644" s="17">
        <v>0</v>
      </c>
      <c r="T644" s="22">
        <v>0</v>
      </c>
    </row>
    <row r="645" spans="2:20" x14ac:dyDescent="0.25">
      <c r="B645" s="21">
        <v>0</v>
      </c>
      <c r="C645" s="17">
        <v>0</v>
      </c>
      <c r="D645" s="17">
        <v>0</v>
      </c>
      <c r="E645" s="17">
        <v>0</v>
      </c>
      <c r="F645" s="17">
        <v>0</v>
      </c>
      <c r="G645" s="17">
        <v>0</v>
      </c>
      <c r="H645" s="38">
        <v>0</v>
      </c>
      <c r="I645" s="17" t="str">
        <v/>
      </c>
      <c r="J645" s="17">
        <v>0</v>
      </c>
      <c r="K645" s="38">
        <v>0</v>
      </c>
      <c r="L645" s="17" t="str">
        <v/>
      </c>
      <c r="M645" s="17">
        <v>0</v>
      </c>
      <c r="N645" s="17">
        <v>0</v>
      </c>
      <c r="O645" s="17" t="str">
        <v/>
      </c>
      <c r="P645" s="17" t="str">
        <v/>
      </c>
      <c r="Q645" s="17">
        <v>0</v>
      </c>
      <c r="R645" s="17">
        <v>0</v>
      </c>
      <c r="S645" s="17">
        <v>0</v>
      </c>
      <c r="T645" s="22">
        <v>0</v>
      </c>
    </row>
    <row r="646" spans="2:20" x14ac:dyDescent="0.25">
      <c r="B646" s="21">
        <v>0</v>
      </c>
      <c r="C646" s="17">
        <v>0</v>
      </c>
      <c r="D646" s="17">
        <v>0</v>
      </c>
      <c r="E646" s="17">
        <v>0</v>
      </c>
      <c r="F646" s="17">
        <v>0</v>
      </c>
      <c r="G646" s="17">
        <v>0</v>
      </c>
      <c r="H646" s="38">
        <v>0</v>
      </c>
      <c r="I646" s="17" t="str">
        <v/>
      </c>
      <c r="J646" s="17">
        <v>0</v>
      </c>
      <c r="K646" s="38">
        <v>0</v>
      </c>
      <c r="L646" s="17" t="str">
        <v/>
      </c>
      <c r="M646" s="17">
        <v>0</v>
      </c>
      <c r="N646" s="17">
        <v>0</v>
      </c>
      <c r="O646" s="17" t="str">
        <v/>
      </c>
      <c r="P646" s="17" t="str">
        <v/>
      </c>
      <c r="Q646" s="17">
        <v>0</v>
      </c>
      <c r="R646" s="17">
        <v>0</v>
      </c>
      <c r="S646" s="17">
        <v>0</v>
      </c>
      <c r="T646" s="22">
        <v>0</v>
      </c>
    </row>
    <row r="647" spans="2:20" x14ac:dyDescent="0.25">
      <c r="B647" s="21">
        <v>0</v>
      </c>
      <c r="C647" s="17">
        <v>0</v>
      </c>
      <c r="D647" s="17">
        <v>0</v>
      </c>
      <c r="E647" s="17">
        <v>0</v>
      </c>
      <c r="F647" s="17">
        <v>0</v>
      </c>
      <c r="G647" s="17">
        <v>0</v>
      </c>
      <c r="H647" s="38">
        <v>0</v>
      </c>
      <c r="I647" s="17" t="str">
        <v/>
      </c>
      <c r="J647" s="17">
        <v>0</v>
      </c>
      <c r="K647" s="38">
        <v>0</v>
      </c>
      <c r="L647" s="17" t="str">
        <v/>
      </c>
      <c r="M647" s="17">
        <v>0</v>
      </c>
      <c r="N647" s="17">
        <v>0</v>
      </c>
      <c r="O647" s="17" t="str">
        <v/>
      </c>
      <c r="P647" s="17" t="str">
        <v/>
      </c>
      <c r="Q647" s="17">
        <v>0</v>
      </c>
      <c r="R647" s="17">
        <v>0</v>
      </c>
      <c r="S647" s="17">
        <v>0</v>
      </c>
      <c r="T647" s="22">
        <v>0</v>
      </c>
    </row>
    <row r="648" spans="2:20" x14ac:dyDescent="0.25">
      <c r="B648" s="21">
        <v>0</v>
      </c>
      <c r="C648" s="17">
        <v>0</v>
      </c>
      <c r="D648" s="17">
        <v>0</v>
      </c>
      <c r="E648" s="17">
        <v>0</v>
      </c>
      <c r="F648" s="17">
        <v>0</v>
      </c>
      <c r="G648" s="17">
        <v>0</v>
      </c>
      <c r="H648" s="38">
        <v>0</v>
      </c>
      <c r="I648" s="17" t="str">
        <v/>
      </c>
      <c r="J648" s="17">
        <v>0</v>
      </c>
      <c r="K648" s="38">
        <v>0</v>
      </c>
      <c r="L648" s="17" t="str">
        <v/>
      </c>
      <c r="M648" s="17">
        <v>0</v>
      </c>
      <c r="N648" s="17">
        <v>0</v>
      </c>
      <c r="O648" s="17" t="str">
        <v/>
      </c>
      <c r="P648" s="17" t="str">
        <v/>
      </c>
      <c r="Q648" s="17">
        <v>0</v>
      </c>
      <c r="R648" s="17">
        <v>0</v>
      </c>
      <c r="S648" s="17">
        <v>0</v>
      </c>
      <c r="T648" s="22">
        <v>0</v>
      </c>
    </row>
    <row r="649" spans="2:20" x14ac:dyDescent="0.25">
      <c r="B649" s="21">
        <v>0</v>
      </c>
      <c r="C649" s="17">
        <v>0</v>
      </c>
      <c r="D649" s="17">
        <v>0</v>
      </c>
      <c r="E649" s="17">
        <v>0</v>
      </c>
      <c r="F649" s="17">
        <v>0</v>
      </c>
      <c r="G649" s="17">
        <v>0</v>
      </c>
      <c r="H649" s="38">
        <v>0</v>
      </c>
      <c r="I649" s="17" t="str">
        <v/>
      </c>
      <c r="J649" s="17">
        <v>0</v>
      </c>
      <c r="K649" s="38">
        <v>0</v>
      </c>
      <c r="L649" s="17" t="str">
        <v/>
      </c>
      <c r="M649" s="17">
        <v>0</v>
      </c>
      <c r="N649" s="17">
        <v>0</v>
      </c>
      <c r="O649" s="17" t="str">
        <v/>
      </c>
      <c r="P649" s="17" t="str">
        <v/>
      </c>
      <c r="Q649" s="17">
        <v>0</v>
      </c>
      <c r="R649" s="17">
        <v>0</v>
      </c>
      <c r="S649" s="17">
        <v>0</v>
      </c>
      <c r="T649" s="22">
        <v>0</v>
      </c>
    </row>
    <row r="650" spans="2:20" x14ac:dyDescent="0.25">
      <c r="B650" s="21">
        <v>0</v>
      </c>
      <c r="C650" s="17">
        <v>0</v>
      </c>
      <c r="D650" s="17">
        <v>0</v>
      </c>
      <c r="E650" s="17">
        <v>0</v>
      </c>
      <c r="F650" s="17">
        <v>0</v>
      </c>
      <c r="G650" s="17">
        <v>0</v>
      </c>
      <c r="H650" s="38">
        <v>0</v>
      </c>
      <c r="I650" s="17" t="str">
        <v/>
      </c>
      <c r="J650" s="17">
        <v>0</v>
      </c>
      <c r="K650" s="38">
        <v>0</v>
      </c>
      <c r="L650" s="17" t="str">
        <v/>
      </c>
      <c r="M650" s="17">
        <v>0</v>
      </c>
      <c r="N650" s="17">
        <v>0</v>
      </c>
      <c r="O650" s="17" t="str">
        <v/>
      </c>
      <c r="P650" s="17" t="str">
        <v/>
      </c>
      <c r="Q650" s="17">
        <v>0</v>
      </c>
      <c r="R650" s="17">
        <v>0</v>
      </c>
      <c r="S650" s="17">
        <v>0</v>
      </c>
      <c r="T650" s="22">
        <v>0</v>
      </c>
    </row>
    <row r="651" spans="2:20" x14ac:dyDescent="0.25">
      <c r="B651" s="21">
        <v>0</v>
      </c>
      <c r="C651" s="17">
        <v>0</v>
      </c>
      <c r="D651" s="17">
        <v>0</v>
      </c>
      <c r="E651" s="17">
        <v>0</v>
      </c>
      <c r="F651" s="17">
        <v>0</v>
      </c>
      <c r="G651" s="17">
        <v>0</v>
      </c>
      <c r="H651" s="38">
        <v>0</v>
      </c>
      <c r="I651" s="17" t="str">
        <v/>
      </c>
      <c r="J651" s="17">
        <v>0</v>
      </c>
      <c r="K651" s="38">
        <v>0</v>
      </c>
      <c r="L651" s="17" t="str">
        <v/>
      </c>
      <c r="M651" s="17">
        <v>0</v>
      </c>
      <c r="N651" s="17">
        <v>0</v>
      </c>
      <c r="O651" s="17" t="str">
        <v/>
      </c>
      <c r="P651" s="17" t="str">
        <v/>
      </c>
      <c r="Q651" s="17">
        <v>0</v>
      </c>
      <c r="R651" s="17">
        <v>0</v>
      </c>
      <c r="S651" s="17">
        <v>0</v>
      </c>
      <c r="T651" s="22">
        <v>0</v>
      </c>
    </row>
    <row r="652" spans="2:20" x14ac:dyDescent="0.25">
      <c r="B652" s="21">
        <v>0</v>
      </c>
      <c r="C652" s="17">
        <v>0</v>
      </c>
      <c r="D652" s="17">
        <v>0</v>
      </c>
      <c r="E652" s="17">
        <v>0</v>
      </c>
      <c r="F652" s="17">
        <v>0</v>
      </c>
      <c r="G652" s="17">
        <v>0</v>
      </c>
      <c r="H652" s="38">
        <v>0</v>
      </c>
      <c r="I652" s="17" t="str">
        <v/>
      </c>
      <c r="J652" s="17">
        <v>0</v>
      </c>
      <c r="K652" s="38">
        <v>0</v>
      </c>
      <c r="L652" s="17" t="str">
        <v/>
      </c>
      <c r="M652" s="17">
        <v>0</v>
      </c>
      <c r="N652" s="17">
        <v>0</v>
      </c>
      <c r="O652" s="17" t="str">
        <v/>
      </c>
      <c r="P652" s="17" t="str">
        <v/>
      </c>
      <c r="Q652" s="17">
        <v>0</v>
      </c>
      <c r="R652" s="17">
        <v>0</v>
      </c>
      <c r="S652" s="17">
        <v>0</v>
      </c>
      <c r="T652" s="22">
        <v>0</v>
      </c>
    </row>
    <row r="653" spans="2:20" x14ac:dyDescent="0.25">
      <c r="B653" s="21">
        <v>0</v>
      </c>
      <c r="C653" s="17">
        <v>0</v>
      </c>
      <c r="D653" s="17">
        <v>0</v>
      </c>
      <c r="E653" s="17">
        <v>0</v>
      </c>
      <c r="F653" s="17">
        <v>0</v>
      </c>
      <c r="G653" s="17">
        <v>0</v>
      </c>
      <c r="H653" s="38">
        <v>0</v>
      </c>
      <c r="I653" s="17" t="str">
        <v/>
      </c>
      <c r="J653" s="17">
        <v>0</v>
      </c>
      <c r="K653" s="38">
        <v>0</v>
      </c>
      <c r="L653" s="17" t="str">
        <v/>
      </c>
      <c r="M653" s="17">
        <v>0</v>
      </c>
      <c r="N653" s="17">
        <v>0</v>
      </c>
      <c r="O653" s="17" t="str">
        <v/>
      </c>
      <c r="P653" s="17" t="str">
        <v/>
      </c>
      <c r="Q653" s="17">
        <v>0</v>
      </c>
      <c r="R653" s="17">
        <v>0</v>
      </c>
      <c r="S653" s="17">
        <v>0</v>
      </c>
      <c r="T653" s="22">
        <v>0</v>
      </c>
    </row>
    <row r="654" spans="2:20" x14ac:dyDescent="0.25">
      <c r="B654" s="21">
        <v>0</v>
      </c>
      <c r="C654" s="17">
        <v>0</v>
      </c>
      <c r="D654" s="17">
        <v>0</v>
      </c>
      <c r="E654" s="17">
        <v>0</v>
      </c>
      <c r="F654" s="17">
        <v>0</v>
      </c>
      <c r="G654" s="17">
        <v>0</v>
      </c>
      <c r="H654" s="38">
        <v>0</v>
      </c>
      <c r="I654" s="17" t="str">
        <v/>
      </c>
      <c r="J654" s="17">
        <v>0</v>
      </c>
      <c r="K654" s="38">
        <v>0</v>
      </c>
      <c r="L654" s="17" t="str">
        <v/>
      </c>
      <c r="M654" s="17">
        <v>0</v>
      </c>
      <c r="N654" s="17">
        <v>0</v>
      </c>
      <c r="O654" s="17" t="str">
        <v/>
      </c>
      <c r="P654" s="17" t="str">
        <v/>
      </c>
      <c r="Q654" s="17">
        <v>0</v>
      </c>
      <c r="R654" s="17">
        <v>0</v>
      </c>
      <c r="S654" s="17">
        <v>0</v>
      </c>
      <c r="T654" s="22">
        <v>0</v>
      </c>
    </row>
    <row r="655" spans="2:20" x14ac:dyDescent="0.25">
      <c r="B655" s="21">
        <v>0</v>
      </c>
      <c r="C655" s="17">
        <v>0</v>
      </c>
      <c r="D655" s="17">
        <v>0</v>
      </c>
      <c r="E655" s="17">
        <v>0</v>
      </c>
      <c r="F655" s="17">
        <v>0</v>
      </c>
      <c r="G655" s="17">
        <v>0</v>
      </c>
      <c r="H655" s="38">
        <v>0</v>
      </c>
      <c r="I655" s="17" t="str">
        <v/>
      </c>
      <c r="J655" s="17">
        <v>0</v>
      </c>
      <c r="K655" s="38">
        <v>0</v>
      </c>
      <c r="L655" s="17" t="str">
        <v/>
      </c>
      <c r="M655" s="17">
        <v>0</v>
      </c>
      <c r="N655" s="17">
        <v>0</v>
      </c>
      <c r="O655" s="17" t="str">
        <v/>
      </c>
      <c r="P655" s="17" t="str">
        <v/>
      </c>
      <c r="Q655" s="17">
        <v>0</v>
      </c>
      <c r="R655" s="17">
        <v>0</v>
      </c>
      <c r="S655" s="17">
        <v>0</v>
      </c>
      <c r="T655" s="22">
        <v>0</v>
      </c>
    </row>
    <row r="656" spans="2:20" x14ac:dyDescent="0.25">
      <c r="B656" s="21">
        <v>0</v>
      </c>
      <c r="C656" s="17">
        <v>0</v>
      </c>
      <c r="D656" s="17">
        <v>0</v>
      </c>
      <c r="E656" s="17">
        <v>0</v>
      </c>
      <c r="F656" s="17">
        <v>0</v>
      </c>
      <c r="G656" s="17">
        <v>0</v>
      </c>
      <c r="H656" s="38">
        <v>0</v>
      </c>
      <c r="I656" s="17" t="str">
        <v/>
      </c>
      <c r="J656" s="17">
        <v>0</v>
      </c>
      <c r="K656" s="38">
        <v>0</v>
      </c>
      <c r="L656" s="17" t="str">
        <v/>
      </c>
      <c r="M656" s="17">
        <v>0</v>
      </c>
      <c r="N656" s="17">
        <v>0</v>
      </c>
      <c r="O656" s="17" t="str">
        <v/>
      </c>
      <c r="P656" s="17" t="str">
        <v/>
      </c>
      <c r="Q656" s="17">
        <v>0</v>
      </c>
      <c r="R656" s="17">
        <v>0</v>
      </c>
      <c r="S656" s="17">
        <v>0</v>
      </c>
      <c r="T656" s="22">
        <v>0</v>
      </c>
    </row>
    <row r="657" spans="2:20" x14ac:dyDescent="0.25">
      <c r="B657" s="21">
        <v>0</v>
      </c>
      <c r="C657" s="17">
        <v>0</v>
      </c>
      <c r="D657" s="17">
        <v>0</v>
      </c>
      <c r="E657" s="17">
        <v>0</v>
      </c>
      <c r="F657" s="17">
        <v>0</v>
      </c>
      <c r="G657" s="17">
        <v>0</v>
      </c>
      <c r="H657" s="38">
        <v>0</v>
      </c>
      <c r="I657" s="17" t="str">
        <v/>
      </c>
      <c r="J657" s="17">
        <v>0</v>
      </c>
      <c r="K657" s="38">
        <v>0</v>
      </c>
      <c r="L657" s="17" t="str">
        <v/>
      </c>
      <c r="M657" s="17">
        <v>0</v>
      </c>
      <c r="N657" s="17">
        <v>0</v>
      </c>
      <c r="O657" s="17" t="str">
        <v/>
      </c>
      <c r="P657" s="17" t="str">
        <v/>
      </c>
      <c r="Q657" s="17">
        <v>0</v>
      </c>
      <c r="R657" s="17">
        <v>0</v>
      </c>
      <c r="S657" s="17">
        <v>0</v>
      </c>
      <c r="T657" s="22">
        <v>0</v>
      </c>
    </row>
    <row r="658" spans="2:20" x14ac:dyDescent="0.25">
      <c r="B658" s="21">
        <v>0</v>
      </c>
      <c r="C658" s="17">
        <v>0</v>
      </c>
      <c r="D658" s="17">
        <v>0</v>
      </c>
      <c r="E658" s="17">
        <v>0</v>
      </c>
      <c r="F658" s="17">
        <v>0</v>
      </c>
      <c r="G658" s="17">
        <v>0</v>
      </c>
      <c r="H658" s="38">
        <v>0</v>
      </c>
      <c r="I658" s="17" t="str">
        <v/>
      </c>
      <c r="J658" s="17">
        <v>0</v>
      </c>
      <c r="K658" s="38">
        <v>0</v>
      </c>
      <c r="L658" s="17" t="str">
        <v/>
      </c>
      <c r="M658" s="17">
        <v>0</v>
      </c>
      <c r="N658" s="17">
        <v>0</v>
      </c>
      <c r="O658" s="17" t="str">
        <v/>
      </c>
      <c r="P658" s="17" t="str">
        <v/>
      </c>
      <c r="Q658" s="17">
        <v>0</v>
      </c>
      <c r="R658" s="17">
        <v>0</v>
      </c>
      <c r="S658" s="17">
        <v>0</v>
      </c>
      <c r="T658" s="22">
        <v>0</v>
      </c>
    </row>
    <row r="659" spans="2:20" x14ac:dyDescent="0.25">
      <c r="B659" s="21">
        <v>0</v>
      </c>
      <c r="C659" s="17">
        <v>0</v>
      </c>
      <c r="D659" s="17">
        <v>0</v>
      </c>
      <c r="E659" s="17">
        <v>0</v>
      </c>
      <c r="F659" s="17">
        <v>0</v>
      </c>
      <c r="G659" s="17">
        <v>0</v>
      </c>
      <c r="H659" s="38">
        <v>0</v>
      </c>
      <c r="I659" s="17" t="str">
        <v/>
      </c>
      <c r="J659" s="17">
        <v>0</v>
      </c>
      <c r="K659" s="38">
        <v>0</v>
      </c>
      <c r="L659" s="17" t="str">
        <v/>
      </c>
      <c r="M659" s="17">
        <v>0</v>
      </c>
      <c r="N659" s="17">
        <v>0</v>
      </c>
      <c r="O659" s="17" t="str">
        <v/>
      </c>
      <c r="P659" s="17" t="str">
        <v/>
      </c>
      <c r="Q659" s="17">
        <v>0</v>
      </c>
      <c r="R659" s="17">
        <v>0</v>
      </c>
      <c r="S659" s="17">
        <v>0</v>
      </c>
      <c r="T659" s="22">
        <v>0</v>
      </c>
    </row>
    <row r="660" spans="2:20" x14ac:dyDescent="0.25">
      <c r="B660" s="21">
        <v>0</v>
      </c>
      <c r="C660" s="17">
        <v>0</v>
      </c>
      <c r="D660" s="17">
        <v>0</v>
      </c>
      <c r="E660" s="17">
        <v>0</v>
      </c>
      <c r="F660" s="17">
        <v>0</v>
      </c>
      <c r="G660" s="17">
        <v>0</v>
      </c>
      <c r="H660" s="38">
        <v>0</v>
      </c>
      <c r="I660" s="17" t="str">
        <v/>
      </c>
      <c r="J660" s="17">
        <v>0</v>
      </c>
      <c r="K660" s="38">
        <v>0</v>
      </c>
      <c r="L660" s="17" t="str">
        <v/>
      </c>
      <c r="M660" s="17">
        <v>0</v>
      </c>
      <c r="N660" s="17">
        <v>0</v>
      </c>
      <c r="O660" s="17" t="str">
        <v/>
      </c>
      <c r="P660" s="17" t="str">
        <v/>
      </c>
      <c r="Q660" s="17">
        <v>0</v>
      </c>
      <c r="R660" s="17">
        <v>0</v>
      </c>
      <c r="S660" s="17">
        <v>0</v>
      </c>
      <c r="T660" s="22">
        <v>0</v>
      </c>
    </row>
    <row r="661" spans="2:20" x14ac:dyDescent="0.25">
      <c r="B661" s="21">
        <v>0</v>
      </c>
      <c r="C661" s="17">
        <v>0</v>
      </c>
      <c r="D661" s="17">
        <v>0</v>
      </c>
      <c r="E661" s="17">
        <v>0</v>
      </c>
      <c r="F661" s="17">
        <v>0</v>
      </c>
      <c r="G661" s="17">
        <v>0</v>
      </c>
      <c r="H661" s="38">
        <v>0</v>
      </c>
      <c r="I661" s="17" t="str">
        <v/>
      </c>
      <c r="J661" s="17">
        <v>0</v>
      </c>
      <c r="K661" s="38">
        <v>0</v>
      </c>
      <c r="L661" s="17" t="str">
        <v/>
      </c>
      <c r="M661" s="17">
        <v>0</v>
      </c>
      <c r="N661" s="17">
        <v>0</v>
      </c>
      <c r="O661" s="17" t="str">
        <v/>
      </c>
      <c r="P661" s="17" t="str">
        <v/>
      </c>
      <c r="Q661" s="17">
        <v>0</v>
      </c>
      <c r="R661" s="17">
        <v>0</v>
      </c>
      <c r="S661" s="17">
        <v>0</v>
      </c>
      <c r="T661" s="22">
        <v>0</v>
      </c>
    </row>
    <row r="662" spans="2:20" x14ac:dyDescent="0.25">
      <c r="B662" s="21">
        <v>0</v>
      </c>
      <c r="C662" s="17">
        <v>0</v>
      </c>
      <c r="D662" s="17">
        <v>0</v>
      </c>
      <c r="E662" s="17">
        <v>0</v>
      </c>
      <c r="F662" s="17">
        <v>0</v>
      </c>
      <c r="G662" s="17">
        <v>0</v>
      </c>
      <c r="H662" s="38">
        <v>0</v>
      </c>
      <c r="I662" s="17" t="str">
        <v/>
      </c>
      <c r="J662" s="17">
        <v>0</v>
      </c>
      <c r="K662" s="38">
        <v>0</v>
      </c>
      <c r="L662" s="17" t="str">
        <v/>
      </c>
      <c r="M662" s="17">
        <v>0</v>
      </c>
      <c r="N662" s="17">
        <v>0</v>
      </c>
      <c r="O662" s="17" t="str">
        <v/>
      </c>
      <c r="P662" s="17" t="str">
        <v/>
      </c>
      <c r="Q662" s="17">
        <v>0</v>
      </c>
      <c r="R662" s="17">
        <v>0</v>
      </c>
      <c r="S662" s="17">
        <v>0</v>
      </c>
      <c r="T662" s="22">
        <v>0</v>
      </c>
    </row>
    <row r="663" spans="2:20" x14ac:dyDescent="0.25">
      <c r="B663" s="21">
        <v>0</v>
      </c>
      <c r="C663" s="17">
        <v>0</v>
      </c>
      <c r="D663" s="17">
        <v>0</v>
      </c>
      <c r="E663" s="17">
        <v>0</v>
      </c>
      <c r="F663" s="17">
        <v>0</v>
      </c>
      <c r="G663" s="17">
        <v>0</v>
      </c>
      <c r="H663" s="38">
        <v>0</v>
      </c>
      <c r="I663" s="17" t="str">
        <v/>
      </c>
      <c r="J663" s="17">
        <v>0</v>
      </c>
      <c r="K663" s="38">
        <v>0</v>
      </c>
      <c r="L663" s="17" t="str">
        <v/>
      </c>
      <c r="M663" s="17">
        <v>0</v>
      </c>
      <c r="N663" s="17">
        <v>0</v>
      </c>
      <c r="O663" s="17" t="str">
        <v/>
      </c>
      <c r="P663" s="17" t="str">
        <v/>
      </c>
      <c r="Q663" s="17">
        <v>0</v>
      </c>
      <c r="R663" s="17">
        <v>0</v>
      </c>
      <c r="S663" s="17">
        <v>0</v>
      </c>
      <c r="T663" s="22">
        <v>0</v>
      </c>
    </row>
    <row r="664" spans="2:20" x14ac:dyDescent="0.25">
      <c r="B664" s="21">
        <v>0</v>
      </c>
      <c r="C664" s="17">
        <v>0</v>
      </c>
      <c r="D664" s="17">
        <v>0</v>
      </c>
      <c r="E664" s="17">
        <v>0</v>
      </c>
      <c r="F664" s="17">
        <v>0</v>
      </c>
      <c r="G664" s="17">
        <v>0</v>
      </c>
      <c r="H664" s="38">
        <v>0</v>
      </c>
      <c r="I664" s="17" t="str">
        <v/>
      </c>
      <c r="J664" s="17">
        <v>0</v>
      </c>
      <c r="K664" s="38">
        <v>0</v>
      </c>
      <c r="L664" s="17" t="str">
        <v/>
      </c>
      <c r="M664" s="17">
        <v>0</v>
      </c>
      <c r="N664" s="17">
        <v>0</v>
      </c>
      <c r="O664" s="17" t="str">
        <v/>
      </c>
      <c r="P664" s="17" t="str">
        <v/>
      </c>
      <c r="Q664" s="17">
        <v>0</v>
      </c>
      <c r="R664" s="17">
        <v>0</v>
      </c>
      <c r="S664" s="17">
        <v>0</v>
      </c>
      <c r="T664" s="22">
        <v>0</v>
      </c>
    </row>
    <row r="665" spans="2:20" x14ac:dyDescent="0.25">
      <c r="B665" s="21">
        <v>0</v>
      </c>
      <c r="C665" s="17">
        <v>0</v>
      </c>
      <c r="D665" s="17">
        <v>0</v>
      </c>
      <c r="E665" s="17">
        <v>0</v>
      </c>
      <c r="F665" s="17">
        <v>0</v>
      </c>
      <c r="G665" s="17">
        <v>0</v>
      </c>
      <c r="H665" s="38">
        <v>0</v>
      </c>
      <c r="I665" s="17" t="str">
        <v/>
      </c>
      <c r="J665" s="17">
        <v>0</v>
      </c>
      <c r="K665" s="38">
        <v>0</v>
      </c>
      <c r="L665" s="17" t="str">
        <v/>
      </c>
      <c r="M665" s="17">
        <v>0</v>
      </c>
      <c r="N665" s="17">
        <v>0</v>
      </c>
      <c r="O665" s="17" t="str">
        <v/>
      </c>
      <c r="P665" s="17" t="str">
        <v/>
      </c>
      <c r="Q665" s="17">
        <v>0</v>
      </c>
      <c r="R665" s="17">
        <v>0</v>
      </c>
      <c r="S665" s="17">
        <v>0</v>
      </c>
      <c r="T665" s="22">
        <v>0</v>
      </c>
    </row>
    <row r="666" spans="2:20" x14ac:dyDescent="0.25">
      <c r="B666" s="21">
        <v>0</v>
      </c>
      <c r="C666" s="17">
        <v>0</v>
      </c>
      <c r="D666" s="17">
        <v>0</v>
      </c>
      <c r="E666" s="17">
        <v>0</v>
      </c>
      <c r="F666" s="17">
        <v>0</v>
      </c>
      <c r="G666" s="17">
        <v>0</v>
      </c>
      <c r="H666" s="38">
        <v>0</v>
      </c>
      <c r="I666" s="17" t="str">
        <v/>
      </c>
      <c r="J666" s="17">
        <v>0</v>
      </c>
      <c r="K666" s="38">
        <v>0</v>
      </c>
      <c r="L666" s="17" t="str">
        <v/>
      </c>
      <c r="M666" s="17">
        <v>0</v>
      </c>
      <c r="N666" s="17">
        <v>0</v>
      </c>
      <c r="O666" s="17" t="str">
        <v/>
      </c>
      <c r="P666" s="17" t="str">
        <v/>
      </c>
      <c r="Q666" s="17">
        <v>0</v>
      </c>
      <c r="R666" s="17">
        <v>0</v>
      </c>
      <c r="S666" s="17">
        <v>0</v>
      </c>
      <c r="T666" s="22">
        <v>0</v>
      </c>
    </row>
    <row r="667" spans="2:20" x14ac:dyDescent="0.25">
      <c r="B667" s="21">
        <v>0</v>
      </c>
      <c r="C667" s="17">
        <v>0</v>
      </c>
      <c r="D667" s="17">
        <v>0</v>
      </c>
      <c r="E667" s="17">
        <v>0</v>
      </c>
      <c r="F667" s="17">
        <v>0</v>
      </c>
      <c r="G667" s="17">
        <v>0</v>
      </c>
      <c r="H667" s="38">
        <v>0</v>
      </c>
      <c r="I667" s="17" t="str">
        <v/>
      </c>
      <c r="J667" s="17">
        <v>0</v>
      </c>
      <c r="K667" s="38">
        <v>0</v>
      </c>
      <c r="L667" s="17" t="str">
        <v/>
      </c>
      <c r="M667" s="17">
        <v>0</v>
      </c>
      <c r="N667" s="17">
        <v>0</v>
      </c>
      <c r="O667" s="17" t="str">
        <v/>
      </c>
      <c r="P667" s="17" t="str">
        <v/>
      </c>
      <c r="Q667" s="17">
        <v>0</v>
      </c>
      <c r="R667" s="17">
        <v>0</v>
      </c>
      <c r="S667" s="17">
        <v>0</v>
      </c>
      <c r="T667" s="22">
        <v>0</v>
      </c>
    </row>
    <row r="668" spans="2:20" x14ac:dyDescent="0.25">
      <c r="B668" s="21">
        <v>0</v>
      </c>
      <c r="C668" s="17">
        <v>0</v>
      </c>
      <c r="D668" s="17">
        <v>0</v>
      </c>
      <c r="E668" s="17">
        <v>0</v>
      </c>
      <c r="F668" s="17">
        <v>0</v>
      </c>
      <c r="G668" s="17">
        <v>0</v>
      </c>
      <c r="H668" s="38">
        <v>0</v>
      </c>
      <c r="I668" s="17" t="str">
        <v/>
      </c>
      <c r="J668" s="17">
        <v>0</v>
      </c>
      <c r="K668" s="38">
        <v>0</v>
      </c>
      <c r="L668" s="17" t="str">
        <v/>
      </c>
      <c r="M668" s="17">
        <v>0</v>
      </c>
      <c r="N668" s="17">
        <v>0</v>
      </c>
      <c r="O668" s="17" t="str">
        <v/>
      </c>
      <c r="P668" s="17" t="str">
        <v/>
      </c>
      <c r="Q668" s="17">
        <v>0</v>
      </c>
      <c r="R668" s="17">
        <v>0</v>
      </c>
      <c r="S668" s="17">
        <v>0</v>
      </c>
      <c r="T668" s="22">
        <v>0</v>
      </c>
    </row>
    <row r="669" spans="2:20" x14ac:dyDescent="0.25">
      <c r="B669" s="21">
        <v>0</v>
      </c>
      <c r="C669" s="17">
        <v>0</v>
      </c>
      <c r="D669" s="17">
        <v>0</v>
      </c>
      <c r="E669" s="17">
        <v>0</v>
      </c>
      <c r="F669" s="17">
        <v>0</v>
      </c>
      <c r="G669" s="17">
        <v>0</v>
      </c>
      <c r="H669" s="38">
        <v>0</v>
      </c>
      <c r="I669" s="17" t="str">
        <v/>
      </c>
      <c r="J669" s="17">
        <v>0</v>
      </c>
      <c r="K669" s="38">
        <v>0</v>
      </c>
      <c r="L669" s="17" t="str">
        <v/>
      </c>
      <c r="M669" s="17">
        <v>0</v>
      </c>
      <c r="N669" s="17">
        <v>0</v>
      </c>
      <c r="O669" s="17" t="str">
        <v/>
      </c>
      <c r="P669" s="17" t="str">
        <v/>
      </c>
      <c r="Q669" s="17">
        <v>0</v>
      </c>
      <c r="R669" s="17">
        <v>0</v>
      </c>
      <c r="S669" s="17">
        <v>0</v>
      </c>
      <c r="T669" s="22">
        <v>0</v>
      </c>
    </row>
    <row r="670" spans="2:20" x14ac:dyDescent="0.25">
      <c r="B670" s="21">
        <v>0</v>
      </c>
      <c r="C670" s="17">
        <v>0</v>
      </c>
      <c r="D670" s="17">
        <v>0</v>
      </c>
      <c r="E670" s="17">
        <v>0</v>
      </c>
      <c r="F670" s="17">
        <v>0</v>
      </c>
      <c r="G670" s="17">
        <v>0</v>
      </c>
      <c r="H670" s="38">
        <v>0</v>
      </c>
      <c r="I670" s="17" t="str">
        <v/>
      </c>
      <c r="J670" s="17">
        <v>0</v>
      </c>
      <c r="K670" s="38">
        <v>0</v>
      </c>
      <c r="L670" s="17" t="str">
        <v/>
      </c>
      <c r="M670" s="17">
        <v>0</v>
      </c>
      <c r="N670" s="17">
        <v>0</v>
      </c>
      <c r="O670" s="17" t="str">
        <v/>
      </c>
      <c r="P670" s="17" t="str">
        <v/>
      </c>
      <c r="Q670" s="17">
        <v>0</v>
      </c>
      <c r="R670" s="17">
        <v>0</v>
      </c>
      <c r="S670" s="17">
        <v>0</v>
      </c>
      <c r="T670" s="22">
        <v>0</v>
      </c>
    </row>
    <row r="671" spans="2:20" x14ac:dyDescent="0.25">
      <c r="B671" s="21">
        <v>0</v>
      </c>
      <c r="C671" s="17">
        <v>0</v>
      </c>
      <c r="D671" s="17">
        <v>0</v>
      </c>
      <c r="E671" s="17">
        <v>0</v>
      </c>
      <c r="F671" s="17">
        <v>0</v>
      </c>
      <c r="G671" s="17">
        <v>0</v>
      </c>
      <c r="H671" s="38">
        <v>0</v>
      </c>
      <c r="I671" s="17" t="str">
        <v/>
      </c>
      <c r="J671" s="17">
        <v>0</v>
      </c>
      <c r="K671" s="38">
        <v>0</v>
      </c>
      <c r="L671" s="17" t="str">
        <v/>
      </c>
      <c r="M671" s="17">
        <v>0</v>
      </c>
      <c r="N671" s="17">
        <v>0</v>
      </c>
      <c r="O671" s="17" t="str">
        <v/>
      </c>
      <c r="P671" s="17" t="str">
        <v/>
      </c>
      <c r="Q671" s="17">
        <v>0</v>
      </c>
      <c r="R671" s="17">
        <v>0</v>
      </c>
      <c r="S671" s="17">
        <v>0</v>
      </c>
      <c r="T671" s="22">
        <v>0</v>
      </c>
    </row>
    <row r="672" spans="2:20" x14ac:dyDescent="0.25">
      <c r="B672" s="21">
        <v>0</v>
      </c>
      <c r="C672" s="17">
        <v>0</v>
      </c>
      <c r="D672" s="17">
        <v>0</v>
      </c>
      <c r="E672" s="17">
        <v>0</v>
      </c>
      <c r="F672" s="17">
        <v>0</v>
      </c>
      <c r="G672" s="17">
        <v>0</v>
      </c>
      <c r="H672" s="38">
        <v>0</v>
      </c>
      <c r="I672" s="17" t="str">
        <v/>
      </c>
      <c r="J672" s="17">
        <v>0</v>
      </c>
      <c r="K672" s="38">
        <v>0</v>
      </c>
      <c r="L672" s="17" t="str">
        <v/>
      </c>
      <c r="M672" s="17">
        <v>0</v>
      </c>
      <c r="N672" s="17">
        <v>0</v>
      </c>
      <c r="O672" s="17" t="str">
        <v/>
      </c>
      <c r="P672" s="17" t="str">
        <v/>
      </c>
      <c r="Q672" s="17">
        <v>0</v>
      </c>
      <c r="R672" s="17">
        <v>0</v>
      </c>
      <c r="S672" s="17">
        <v>0</v>
      </c>
      <c r="T672" s="22">
        <v>0</v>
      </c>
    </row>
    <row r="673" spans="2:20" x14ac:dyDescent="0.25">
      <c r="B673" s="21">
        <v>0</v>
      </c>
      <c r="C673" s="17">
        <v>0</v>
      </c>
      <c r="D673" s="17">
        <v>0</v>
      </c>
      <c r="E673" s="17">
        <v>0</v>
      </c>
      <c r="F673" s="17">
        <v>0</v>
      </c>
      <c r="G673" s="17">
        <v>0</v>
      </c>
      <c r="H673" s="38">
        <v>0</v>
      </c>
      <c r="I673" s="17" t="str">
        <v/>
      </c>
      <c r="J673" s="17">
        <v>0</v>
      </c>
      <c r="K673" s="38">
        <v>0</v>
      </c>
      <c r="L673" s="17" t="str">
        <v/>
      </c>
      <c r="M673" s="17">
        <v>0</v>
      </c>
      <c r="N673" s="17">
        <v>0</v>
      </c>
      <c r="O673" s="17" t="str">
        <v/>
      </c>
      <c r="P673" s="17" t="str">
        <v/>
      </c>
      <c r="Q673" s="17">
        <v>0</v>
      </c>
      <c r="R673" s="17">
        <v>0</v>
      </c>
      <c r="S673" s="17">
        <v>0</v>
      </c>
      <c r="T673" s="22">
        <v>0</v>
      </c>
    </row>
    <row r="674" spans="2:20" x14ac:dyDescent="0.25">
      <c r="B674" s="21">
        <v>0</v>
      </c>
      <c r="C674" s="17">
        <v>0</v>
      </c>
      <c r="D674" s="17">
        <v>0</v>
      </c>
      <c r="E674" s="17">
        <v>0</v>
      </c>
      <c r="F674" s="17">
        <v>0</v>
      </c>
      <c r="G674" s="17">
        <v>0</v>
      </c>
      <c r="H674" s="38">
        <v>0</v>
      </c>
      <c r="I674" s="17" t="str">
        <v/>
      </c>
      <c r="J674" s="17">
        <v>0</v>
      </c>
      <c r="K674" s="38">
        <v>0</v>
      </c>
      <c r="L674" s="17" t="str">
        <v/>
      </c>
      <c r="M674" s="17">
        <v>0</v>
      </c>
      <c r="N674" s="17">
        <v>0</v>
      </c>
      <c r="O674" s="17" t="str">
        <v/>
      </c>
      <c r="P674" s="17" t="str">
        <v/>
      </c>
      <c r="Q674" s="17">
        <v>0</v>
      </c>
      <c r="R674" s="17">
        <v>0</v>
      </c>
      <c r="S674" s="17">
        <v>0</v>
      </c>
      <c r="T674" s="22">
        <v>0</v>
      </c>
    </row>
    <row r="675" spans="2:20" x14ac:dyDescent="0.25">
      <c r="B675" s="21">
        <v>0</v>
      </c>
      <c r="C675" s="17">
        <v>0</v>
      </c>
      <c r="D675" s="17">
        <v>0</v>
      </c>
      <c r="E675" s="17">
        <v>0</v>
      </c>
      <c r="F675" s="17">
        <v>0</v>
      </c>
      <c r="G675" s="17">
        <v>0</v>
      </c>
      <c r="H675" s="38">
        <v>0</v>
      </c>
      <c r="I675" s="17" t="str">
        <v/>
      </c>
      <c r="J675" s="17">
        <v>0</v>
      </c>
      <c r="K675" s="38">
        <v>0</v>
      </c>
      <c r="L675" s="17" t="str">
        <v/>
      </c>
      <c r="M675" s="17">
        <v>0</v>
      </c>
      <c r="N675" s="17">
        <v>0</v>
      </c>
      <c r="O675" s="17" t="str">
        <v/>
      </c>
      <c r="P675" s="17" t="str">
        <v/>
      </c>
      <c r="Q675" s="17">
        <v>0</v>
      </c>
      <c r="R675" s="17">
        <v>0</v>
      </c>
      <c r="S675" s="17">
        <v>0</v>
      </c>
      <c r="T675" s="22">
        <v>0</v>
      </c>
    </row>
    <row r="676" spans="2:20" x14ac:dyDescent="0.25">
      <c r="B676" s="21">
        <v>0</v>
      </c>
      <c r="C676" s="17">
        <v>0</v>
      </c>
      <c r="D676" s="17">
        <v>0</v>
      </c>
      <c r="E676" s="17">
        <v>0</v>
      </c>
      <c r="F676" s="17">
        <v>0</v>
      </c>
      <c r="G676" s="17">
        <v>0</v>
      </c>
      <c r="H676" s="38">
        <v>0</v>
      </c>
      <c r="I676" s="17" t="str">
        <v/>
      </c>
      <c r="J676" s="17">
        <v>0</v>
      </c>
      <c r="K676" s="38">
        <v>0</v>
      </c>
      <c r="L676" s="17" t="str">
        <v/>
      </c>
      <c r="M676" s="17">
        <v>0</v>
      </c>
      <c r="N676" s="17">
        <v>0</v>
      </c>
      <c r="O676" s="17" t="str">
        <v/>
      </c>
      <c r="P676" s="17" t="str">
        <v/>
      </c>
      <c r="Q676" s="17">
        <v>0</v>
      </c>
      <c r="R676" s="17">
        <v>0</v>
      </c>
      <c r="S676" s="17">
        <v>0</v>
      </c>
      <c r="T676" s="22">
        <v>0</v>
      </c>
    </row>
    <row r="677" spans="2:20" x14ac:dyDescent="0.25">
      <c r="B677" s="21">
        <v>0</v>
      </c>
      <c r="C677" s="17">
        <v>0</v>
      </c>
      <c r="D677" s="17">
        <v>0</v>
      </c>
      <c r="E677" s="17">
        <v>0</v>
      </c>
      <c r="F677" s="17">
        <v>0</v>
      </c>
      <c r="G677" s="17">
        <v>0</v>
      </c>
      <c r="H677" s="38">
        <v>0</v>
      </c>
      <c r="I677" s="17" t="str">
        <v/>
      </c>
      <c r="J677" s="17">
        <v>0</v>
      </c>
      <c r="K677" s="38">
        <v>0</v>
      </c>
      <c r="L677" s="17" t="str">
        <v/>
      </c>
      <c r="M677" s="17">
        <v>0</v>
      </c>
      <c r="N677" s="17">
        <v>0</v>
      </c>
      <c r="O677" s="17" t="str">
        <v/>
      </c>
      <c r="P677" s="17" t="str">
        <v/>
      </c>
      <c r="Q677" s="17">
        <v>0</v>
      </c>
      <c r="R677" s="17">
        <v>0</v>
      </c>
      <c r="S677" s="17">
        <v>0</v>
      </c>
      <c r="T677" s="22">
        <v>0</v>
      </c>
    </row>
    <row r="678" spans="2:20" x14ac:dyDescent="0.25">
      <c r="B678" s="21">
        <v>0</v>
      </c>
      <c r="C678" s="17">
        <v>0</v>
      </c>
      <c r="D678" s="17">
        <v>0</v>
      </c>
      <c r="E678" s="17">
        <v>0</v>
      </c>
      <c r="F678" s="17">
        <v>0</v>
      </c>
      <c r="G678" s="17">
        <v>0</v>
      </c>
      <c r="H678" s="38">
        <v>0</v>
      </c>
      <c r="I678" s="17" t="str">
        <v/>
      </c>
      <c r="J678" s="17">
        <v>0</v>
      </c>
      <c r="K678" s="38">
        <v>0</v>
      </c>
      <c r="L678" s="17" t="str">
        <v/>
      </c>
      <c r="M678" s="17">
        <v>0</v>
      </c>
      <c r="N678" s="17">
        <v>0</v>
      </c>
      <c r="O678" s="17" t="str">
        <v/>
      </c>
      <c r="P678" s="17" t="str">
        <v/>
      </c>
      <c r="Q678" s="17">
        <v>0</v>
      </c>
      <c r="R678" s="17">
        <v>0</v>
      </c>
      <c r="S678" s="17">
        <v>0</v>
      </c>
      <c r="T678" s="22">
        <v>0</v>
      </c>
    </row>
    <row r="679" spans="2:20" x14ac:dyDescent="0.25">
      <c r="B679" s="21">
        <v>0</v>
      </c>
      <c r="C679" s="17">
        <v>0</v>
      </c>
      <c r="D679" s="17">
        <v>0</v>
      </c>
      <c r="E679" s="17">
        <v>0</v>
      </c>
      <c r="F679" s="17">
        <v>0</v>
      </c>
      <c r="G679" s="17">
        <v>0</v>
      </c>
      <c r="H679" s="38">
        <v>0</v>
      </c>
      <c r="I679" s="17" t="str">
        <v/>
      </c>
      <c r="J679" s="17">
        <v>0</v>
      </c>
      <c r="K679" s="38">
        <v>0</v>
      </c>
      <c r="L679" s="17" t="str">
        <v/>
      </c>
      <c r="M679" s="17">
        <v>0</v>
      </c>
      <c r="N679" s="17">
        <v>0</v>
      </c>
      <c r="O679" s="17" t="str">
        <v/>
      </c>
      <c r="P679" s="17" t="str">
        <v/>
      </c>
      <c r="Q679" s="17">
        <v>0</v>
      </c>
      <c r="R679" s="17">
        <v>0</v>
      </c>
      <c r="S679" s="17">
        <v>0</v>
      </c>
      <c r="T679" s="22">
        <v>0</v>
      </c>
    </row>
    <row r="680" spans="2:20" x14ac:dyDescent="0.25">
      <c r="B680" s="21">
        <v>0</v>
      </c>
      <c r="C680" s="17">
        <v>0</v>
      </c>
      <c r="D680" s="17">
        <v>0</v>
      </c>
      <c r="E680" s="17">
        <v>0</v>
      </c>
      <c r="F680" s="17">
        <v>0</v>
      </c>
      <c r="G680" s="17">
        <v>0</v>
      </c>
      <c r="H680" s="38">
        <v>0</v>
      </c>
      <c r="I680" s="17" t="str">
        <v/>
      </c>
      <c r="J680" s="17">
        <v>0</v>
      </c>
      <c r="K680" s="38">
        <v>0</v>
      </c>
      <c r="L680" s="17" t="str">
        <v/>
      </c>
      <c r="M680" s="17">
        <v>0</v>
      </c>
      <c r="N680" s="17">
        <v>0</v>
      </c>
      <c r="O680" s="17" t="str">
        <v/>
      </c>
      <c r="P680" s="17" t="str">
        <v/>
      </c>
      <c r="Q680" s="17">
        <v>0</v>
      </c>
      <c r="R680" s="17">
        <v>0</v>
      </c>
      <c r="S680" s="17">
        <v>0</v>
      </c>
      <c r="T680" s="22">
        <v>0</v>
      </c>
    </row>
    <row r="681" spans="2:20" x14ac:dyDescent="0.25">
      <c r="B681" s="21">
        <v>0</v>
      </c>
      <c r="C681" s="17">
        <v>0</v>
      </c>
      <c r="D681" s="17">
        <v>0</v>
      </c>
      <c r="E681" s="17">
        <v>0</v>
      </c>
      <c r="F681" s="17">
        <v>0</v>
      </c>
      <c r="G681" s="17">
        <v>0</v>
      </c>
      <c r="H681" s="38">
        <v>0</v>
      </c>
      <c r="I681" s="17" t="str">
        <v/>
      </c>
      <c r="J681" s="17">
        <v>0</v>
      </c>
      <c r="K681" s="38">
        <v>0</v>
      </c>
      <c r="L681" s="17" t="str">
        <v/>
      </c>
      <c r="M681" s="17">
        <v>0</v>
      </c>
      <c r="N681" s="17">
        <v>0</v>
      </c>
      <c r="O681" s="17" t="str">
        <v/>
      </c>
      <c r="P681" s="17" t="str">
        <v/>
      </c>
      <c r="Q681" s="17">
        <v>0</v>
      </c>
      <c r="R681" s="17">
        <v>0</v>
      </c>
      <c r="S681" s="17">
        <v>0</v>
      </c>
      <c r="T681" s="22">
        <v>0</v>
      </c>
    </row>
    <row r="682" spans="2:20" x14ac:dyDescent="0.25">
      <c r="B682" s="21">
        <v>0</v>
      </c>
      <c r="C682" s="17">
        <v>0</v>
      </c>
      <c r="D682" s="17">
        <v>0</v>
      </c>
      <c r="E682" s="17">
        <v>0</v>
      </c>
      <c r="F682" s="17">
        <v>0</v>
      </c>
      <c r="G682" s="17">
        <v>0</v>
      </c>
      <c r="H682" s="38">
        <v>0</v>
      </c>
      <c r="I682" s="17" t="str">
        <v/>
      </c>
      <c r="J682" s="17">
        <v>0</v>
      </c>
      <c r="K682" s="38">
        <v>0</v>
      </c>
      <c r="L682" s="17" t="str">
        <v/>
      </c>
      <c r="M682" s="17">
        <v>0</v>
      </c>
      <c r="N682" s="17">
        <v>0</v>
      </c>
      <c r="O682" s="17" t="str">
        <v/>
      </c>
      <c r="P682" s="17" t="str">
        <v/>
      </c>
      <c r="Q682" s="17">
        <v>0</v>
      </c>
      <c r="R682" s="17">
        <v>0</v>
      </c>
      <c r="S682" s="17">
        <v>0</v>
      </c>
      <c r="T682" s="22">
        <v>0</v>
      </c>
    </row>
    <row r="683" spans="2:20" x14ac:dyDescent="0.25">
      <c r="B683" s="21">
        <v>0</v>
      </c>
      <c r="C683" s="17">
        <v>0</v>
      </c>
      <c r="D683" s="17">
        <v>0</v>
      </c>
      <c r="E683" s="17">
        <v>0</v>
      </c>
      <c r="F683" s="17">
        <v>0</v>
      </c>
      <c r="G683" s="17">
        <v>0</v>
      </c>
      <c r="H683" s="38">
        <v>0</v>
      </c>
      <c r="I683" s="17" t="str">
        <v/>
      </c>
      <c r="J683" s="17">
        <v>0</v>
      </c>
      <c r="K683" s="38">
        <v>0</v>
      </c>
      <c r="L683" s="17" t="str">
        <v/>
      </c>
      <c r="M683" s="17">
        <v>0</v>
      </c>
      <c r="N683" s="17">
        <v>0</v>
      </c>
      <c r="O683" s="17" t="str">
        <v/>
      </c>
      <c r="P683" s="17" t="str">
        <v/>
      </c>
      <c r="Q683" s="17">
        <v>0</v>
      </c>
      <c r="R683" s="17">
        <v>0</v>
      </c>
      <c r="S683" s="17">
        <v>0</v>
      </c>
      <c r="T683" s="22">
        <v>0</v>
      </c>
    </row>
    <row r="684" spans="2:20" x14ac:dyDescent="0.25">
      <c r="B684" s="21">
        <v>0</v>
      </c>
      <c r="C684" s="17">
        <v>0</v>
      </c>
      <c r="D684" s="17">
        <v>0</v>
      </c>
      <c r="E684" s="17">
        <v>0</v>
      </c>
      <c r="F684" s="17">
        <v>0</v>
      </c>
      <c r="G684" s="17">
        <v>0</v>
      </c>
      <c r="H684" s="38">
        <v>0</v>
      </c>
      <c r="I684" s="17" t="str">
        <v/>
      </c>
      <c r="J684" s="17">
        <v>0</v>
      </c>
      <c r="K684" s="38">
        <v>0</v>
      </c>
      <c r="L684" s="17" t="str">
        <v/>
      </c>
      <c r="M684" s="17">
        <v>0</v>
      </c>
      <c r="N684" s="17">
        <v>0</v>
      </c>
      <c r="O684" s="17" t="str">
        <v/>
      </c>
      <c r="P684" s="17" t="str">
        <v/>
      </c>
      <c r="Q684" s="17">
        <v>0</v>
      </c>
      <c r="R684" s="17">
        <v>0</v>
      </c>
      <c r="S684" s="17">
        <v>0</v>
      </c>
      <c r="T684" s="22">
        <v>0</v>
      </c>
    </row>
    <row r="685" spans="2:20" x14ac:dyDescent="0.25">
      <c r="B685" s="21">
        <v>0</v>
      </c>
      <c r="C685" s="17">
        <v>0</v>
      </c>
      <c r="D685" s="17">
        <v>0</v>
      </c>
      <c r="E685" s="17">
        <v>0</v>
      </c>
      <c r="F685" s="17">
        <v>0</v>
      </c>
      <c r="G685" s="17">
        <v>0</v>
      </c>
      <c r="H685" s="38">
        <v>0</v>
      </c>
      <c r="I685" s="17" t="str">
        <v/>
      </c>
      <c r="J685" s="17">
        <v>0</v>
      </c>
      <c r="K685" s="38">
        <v>0</v>
      </c>
      <c r="L685" s="17" t="str">
        <v/>
      </c>
      <c r="M685" s="17">
        <v>0</v>
      </c>
      <c r="N685" s="17">
        <v>0</v>
      </c>
      <c r="O685" s="17" t="str">
        <v/>
      </c>
      <c r="P685" s="17" t="str">
        <v/>
      </c>
      <c r="Q685" s="17">
        <v>0</v>
      </c>
      <c r="R685" s="17">
        <v>0</v>
      </c>
      <c r="S685" s="17">
        <v>0</v>
      </c>
      <c r="T685" s="22">
        <v>0</v>
      </c>
    </row>
    <row r="686" spans="2:20" x14ac:dyDescent="0.25">
      <c r="B686" s="21">
        <v>0</v>
      </c>
      <c r="C686" s="17">
        <v>0</v>
      </c>
      <c r="D686" s="17">
        <v>0</v>
      </c>
      <c r="E686" s="17">
        <v>0</v>
      </c>
      <c r="F686" s="17">
        <v>0</v>
      </c>
      <c r="G686" s="17">
        <v>0</v>
      </c>
      <c r="H686" s="38">
        <v>0</v>
      </c>
      <c r="I686" s="17" t="str">
        <v/>
      </c>
      <c r="J686" s="17">
        <v>0</v>
      </c>
      <c r="K686" s="38">
        <v>0</v>
      </c>
      <c r="L686" s="17" t="str">
        <v/>
      </c>
      <c r="M686" s="17">
        <v>0</v>
      </c>
      <c r="N686" s="17">
        <v>0</v>
      </c>
      <c r="O686" s="17" t="str">
        <v/>
      </c>
      <c r="P686" s="17" t="str">
        <v/>
      </c>
      <c r="Q686" s="17">
        <v>0</v>
      </c>
      <c r="R686" s="17">
        <v>0</v>
      </c>
      <c r="S686" s="17">
        <v>0</v>
      </c>
      <c r="T686" s="22">
        <v>0</v>
      </c>
    </row>
    <row r="687" spans="2:20" x14ac:dyDescent="0.25">
      <c r="B687" s="21">
        <v>0</v>
      </c>
      <c r="C687" s="17">
        <v>0</v>
      </c>
      <c r="D687" s="17">
        <v>0</v>
      </c>
      <c r="E687" s="17">
        <v>0</v>
      </c>
      <c r="F687" s="17">
        <v>0</v>
      </c>
      <c r="G687" s="17">
        <v>0</v>
      </c>
      <c r="H687" s="38">
        <v>0</v>
      </c>
      <c r="I687" s="17" t="str">
        <v/>
      </c>
      <c r="J687" s="17">
        <v>0</v>
      </c>
      <c r="K687" s="38">
        <v>0</v>
      </c>
      <c r="L687" s="17" t="str">
        <v/>
      </c>
      <c r="M687" s="17">
        <v>0</v>
      </c>
      <c r="N687" s="17">
        <v>0</v>
      </c>
      <c r="O687" s="17" t="str">
        <v/>
      </c>
      <c r="P687" s="17" t="str">
        <v/>
      </c>
      <c r="Q687" s="17">
        <v>0</v>
      </c>
      <c r="R687" s="17">
        <v>0</v>
      </c>
      <c r="S687" s="17">
        <v>0</v>
      </c>
      <c r="T687" s="22">
        <v>0</v>
      </c>
    </row>
    <row r="688" spans="2:20" x14ac:dyDescent="0.25">
      <c r="B688" s="21">
        <v>0</v>
      </c>
      <c r="C688" s="17">
        <v>0</v>
      </c>
      <c r="D688" s="17">
        <v>0</v>
      </c>
      <c r="E688" s="17">
        <v>0</v>
      </c>
      <c r="F688" s="17">
        <v>0</v>
      </c>
      <c r="G688" s="17">
        <v>0</v>
      </c>
      <c r="H688" s="38">
        <v>0</v>
      </c>
      <c r="I688" s="17" t="str">
        <v/>
      </c>
      <c r="J688" s="17">
        <v>0</v>
      </c>
      <c r="K688" s="38">
        <v>0</v>
      </c>
      <c r="L688" s="17" t="str">
        <v/>
      </c>
      <c r="M688" s="17">
        <v>0</v>
      </c>
      <c r="N688" s="17">
        <v>0</v>
      </c>
      <c r="O688" s="17" t="str">
        <v/>
      </c>
      <c r="P688" s="17" t="str">
        <v/>
      </c>
      <c r="Q688" s="17">
        <v>0</v>
      </c>
      <c r="R688" s="17">
        <v>0</v>
      </c>
      <c r="S688" s="17">
        <v>0</v>
      </c>
      <c r="T688" s="22">
        <v>0</v>
      </c>
    </row>
    <row r="689" spans="2:20" x14ac:dyDescent="0.25">
      <c r="B689" s="21">
        <v>0</v>
      </c>
      <c r="C689" s="17">
        <v>0</v>
      </c>
      <c r="D689" s="17">
        <v>0</v>
      </c>
      <c r="E689" s="17">
        <v>0</v>
      </c>
      <c r="F689" s="17">
        <v>0</v>
      </c>
      <c r="G689" s="17">
        <v>0</v>
      </c>
      <c r="H689" s="38">
        <v>0</v>
      </c>
      <c r="I689" s="17" t="str">
        <v/>
      </c>
      <c r="J689" s="17">
        <v>0</v>
      </c>
      <c r="K689" s="38">
        <v>0</v>
      </c>
      <c r="L689" s="17" t="str">
        <v/>
      </c>
      <c r="M689" s="17">
        <v>0</v>
      </c>
      <c r="N689" s="17">
        <v>0</v>
      </c>
      <c r="O689" s="17" t="str">
        <v/>
      </c>
      <c r="P689" s="17" t="str">
        <v/>
      </c>
      <c r="Q689" s="17">
        <v>0</v>
      </c>
      <c r="R689" s="17">
        <v>0</v>
      </c>
      <c r="S689" s="17">
        <v>0</v>
      </c>
      <c r="T689" s="22">
        <v>0</v>
      </c>
    </row>
    <row r="690" spans="2:20" x14ac:dyDescent="0.25">
      <c r="B690" s="21">
        <v>0</v>
      </c>
      <c r="C690" s="17">
        <v>0</v>
      </c>
      <c r="D690" s="17">
        <v>0</v>
      </c>
      <c r="E690" s="17">
        <v>0</v>
      </c>
      <c r="F690" s="17">
        <v>0</v>
      </c>
      <c r="G690" s="17">
        <v>0</v>
      </c>
      <c r="H690" s="38">
        <v>0</v>
      </c>
      <c r="I690" s="17" t="str">
        <v/>
      </c>
      <c r="J690" s="17">
        <v>0</v>
      </c>
      <c r="K690" s="38">
        <v>0</v>
      </c>
      <c r="L690" s="17" t="str">
        <v/>
      </c>
      <c r="M690" s="17">
        <v>0</v>
      </c>
      <c r="N690" s="17">
        <v>0</v>
      </c>
      <c r="O690" s="17" t="str">
        <v/>
      </c>
      <c r="P690" s="17" t="str">
        <v/>
      </c>
      <c r="Q690" s="17">
        <v>0</v>
      </c>
      <c r="R690" s="17">
        <v>0</v>
      </c>
      <c r="S690" s="17">
        <v>0</v>
      </c>
      <c r="T690" s="22">
        <v>0</v>
      </c>
    </row>
    <row r="691" spans="2:20" x14ac:dyDescent="0.25">
      <c r="B691" s="21">
        <v>0</v>
      </c>
      <c r="C691" s="17">
        <v>0</v>
      </c>
      <c r="D691" s="17">
        <v>0</v>
      </c>
      <c r="E691" s="17">
        <v>0</v>
      </c>
      <c r="F691" s="17">
        <v>0</v>
      </c>
      <c r="G691" s="17">
        <v>0</v>
      </c>
      <c r="H691" s="38">
        <v>0</v>
      </c>
      <c r="I691" s="17" t="str">
        <v/>
      </c>
      <c r="J691" s="17">
        <v>0</v>
      </c>
      <c r="K691" s="38">
        <v>0</v>
      </c>
      <c r="L691" s="17" t="str">
        <v/>
      </c>
      <c r="M691" s="17">
        <v>0</v>
      </c>
      <c r="N691" s="17">
        <v>0</v>
      </c>
      <c r="O691" s="17" t="str">
        <v/>
      </c>
      <c r="P691" s="17" t="str">
        <v/>
      </c>
      <c r="Q691" s="17">
        <v>0</v>
      </c>
      <c r="R691" s="17">
        <v>0</v>
      </c>
      <c r="S691" s="17">
        <v>0</v>
      </c>
      <c r="T691" s="22">
        <v>0</v>
      </c>
    </row>
    <row r="692" spans="2:20" x14ac:dyDescent="0.25">
      <c r="B692" s="21">
        <v>0</v>
      </c>
      <c r="C692" s="17">
        <v>0</v>
      </c>
      <c r="D692" s="17">
        <v>0</v>
      </c>
      <c r="E692" s="17">
        <v>0</v>
      </c>
      <c r="F692" s="17">
        <v>0</v>
      </c>
      <c r="G692" s="17">
        <v>0</v>
      </c>
      <c r="H692" s="38">
        <v>0</v>
      </c>
      <c r="I692" s="17" t="str">
        <v/>
      </c>
      <c r="J692" s="17">
        <v>0</v>
      </c>
      <c r="K692" s="38">
        <v>0</v>
      </c>
      <c r="L692" s="17" t="str">
        <v/>
      </c>
      <c r="M692" s="17">
        <v>0</v>
      </c>
      <c r="N692" s="17">
        <v>0</v>
      </c>
      <c r="O692" s="17" t="str">
        <v/>
      </c>
      <c r="P692" s="17" t="str">
        <v/>
      </c>
      <c r="Q692" s="17">
        <v>0</v>
      </c>
      <c r="R692" s="17">
        <v>0</v>
      </c>
      <c r="S692" s="17">
        <v>0</v>
      </c>
      <c r="T692" s="22">
        <v>0</v>
      </c>
    </row>
    <row r="693" spans="2:20" x14ac:dyDescent="0.25">
      <c r="B693" s="21">
        <v>0</v>
      </c>
      <c r="C693" s="17">
        <v>0</v>
      </c>
      <c r="D693" s="17">
        <v>0</v>
      </c>
      <c r="E693" s="17">
        <v>0</v>
      </c>
      <c r="F693" s="17">
        <v>0</v>
      </c>
      <c r="G693" s="17">
        <v>0</v>
      </c>
      <c r="H693" s="38">
        <v>0</v>
      </c>
      <c r="I693" s="17" t="str">
        <v/>
      </c>
      <c r="J693" s="17">
        <v>0</v>
      </c>
      <c r="K693" s="38">
        <v>0</v>
      </c>
      <c r="L693" s="17" t="str">
        <v/>
      </c>
      <c r="M693" s="17">
        <v>0</v>
      </c>
      <c r="N693" s="17">
        <v>0</v>
      </c>
      <c r="O693" s="17" t="str">
        <v/>
      </c>
      <c r="P693" s="17" t="str">
        <v/>
      </c>
      <c r="Q693" s="17">
        <v>0</v>
      </c>
      <c r="R693" s="17">
        <v>0</v>
      </c>
      <c r="S693" s="17">
        <v>0</v>
      </c>
      <c r="T693" s="22">
        <v>0</v>
      </c>
    </row>
    <row r="694" spans="2:20" x14ac:dyDescent="0.25">
      <c r="B694" s="21">
        <v>0</v>
      </c>
      <c r="C694" s="17">
        <v>0</v>
      </c>
      <c r="D694" s="17">
        <v>0</v>
      </c>
      <c r="E694" s="17">
        <v>0</v>
      </c>
      <c r="F694" s="17">
        <v>0</v>
      </c>
      <c r="G694" s="17">
        <v>0</v>
      </c>
      <c r="H694" s="38">
        <v>0</v>
      </c>
      <c r="I694" s="17" t="str">
        <v/>
      </c>
      <c r="J694" s="17">
        <v>0</v>
      </c>
      <c r="K694" s="38">
        <v>0</v>
      </c>
      <c r="L694" s="17" t="str">
        <v/>
      </c>
      <c r="M694" s="17">
        <v>0</v>
      </c>
      <c r="N694" s="17">
        <v>0</v>
      </c>
      <c r="O694" s="17" t="str">
        <v/>
      </c>
      <c r="P694" s="17" t="str">
        <v/>
      </c>
      <c r="Q694" s="17">
        <v>0</v>
      </c>
      <c r="R694" s="17">
        <v>0</v>
      </c>
      <c r="S694" s="17">
        <v>0</v>
      </c>
      <c r="T694" s="22">
        <v>0</v>
      </c>
    </row>
    <row r="695" spans="2:20" x14ac:dyDescent="0.25">
      <c r="B695" s="21">
        <v>0</v>
      </c>
      <c r="C695" s="17">
        <v>0</v>
      </c>
      <c r="D695" s="17">
        <v>0</v>
      </c>
      <c r="E695" s="17">
        <v>0</v>
      </c>
      <c r="F695" s="17">
        <v>0</v>
      </c>
      <c r="G695" s="17">
        <v>0</v>
      </c>
      <c r="H695" s="38">
        <v>0</v>
      </c>
      <c r="I695" s="17" t="str">
        <v/>
      </c>
      <c r="J695" s="17">
        <v>0</v>
      </c>
      <c r="K695" s="38">
        <v>0</v>
      </c>
      <c r="L695" s="17" t="str">
        <v/>
      </c>
      <c r="M695" s="17">
        <v>0</v>
      </c>
      <c r="N695" s="17">
        <v>0</v>
      </c>
      <c r="O695" s="17" t="str">
        <v/>
      </c>
      <c r="P695" s="17" t="str">
        <v/>
      </c>
      <c r="Q695" s="17">
        <v>0</v>
      </c>
      <c r="R695" s="17">
        <v>0</v>
      </c>
      <c r="S695" s="17">
        <v>0</v>
      </c>
      <c r="T695" s="22">
        <v>0</v>
      </c>
    </row>
    <row r="696" spans="2:20" x14ac:dyDescent="0.25">
      <c r="B696" s="21">
        <v>0</v>
      </c>
      <c r="C696" s="17">
        <v>0</v>
      </c>
      <c r="D696" s="17">
        <v>0</v>
      </c>
      <c r="E696" s="17">
        <v>0</v>
      </c>
      <c r="F696" s="17">
        <v>0</v>
      </c>
      <c r="G696" s="17">
        <v>0</v>
      </c>
      <c r="H696" s="38">
        <v>0</v>
      </c>
      <c r="I696" s="17" t="str">
        <v/>
      </c>
      <c r="J696" s="17">
        <v>0</v>
      </c>
      <c r="K696" s="38">
        <v>0</v>
      </c>
      <c r="L696" s="17" t="str">
        <v/>
      </c>
      <c r="M696" s="17">
        <v>0</v>
      </c>
      <c r="N696" s="17">
        <v>0</v>
      </c>
      <c r="O696" s="17" t="str">
        <v/>
      </c>
      <c r="P696" s="17" t="str">
        <v/>
      </c>
      <c r="Q696" s="17">
        <v>0</v>
      </c>
      <c r="R696" s="17">
        <v>0</v>
      </c>
      <c r="S696" s="17">
        <v>0</v>
      </c>
      <c r="T696" s="22">
        <v>0</v>
      </c>
    </row>
    <row r="697" spans="2:20" x14ac:dyDescent="0.25">
      <c r="B697" s="21">
        <v>0</v>
      </c>
      <c r="C697" s="17">
        <v>0</v>
      </c>
      <c r="D697" s="17">
        <v>0</v>
      </c>
      <c r="E697" s="17">
        <v>0</v>
      </c>
      <c r="F697" s="17">
        <v>0</v>
      </c>
      <c r="G697" s="17">
        <v>0</v>
      </c>
      <c r="H697" s="38">
        <v>0</v>
      </c>
      <c r="I697" s="17" t="str">
        <v/>
      </c>
      <c r="J697" s="17">
        <v>0</v>
      </c>
      <c r="K697" s="38">
        <v>0</v>
      </c>
      <c r="L697" s="17" t="str">
        <v/>
      </c>
      <c r="M697" s="17">
        <v>0</v>
      </c>
      <c r="N697" s="17">
        <v>0</v>
      </c>
      <c r="O697" s="17" t="str">
        <v/>
      </c>
      <c r="P697" s="17" t="str">
        <v/>
      </c>
      <c r="Q697" s="17">
        <v>0</v>
      </c>
      <c r="R697" s="17">
        <v>0</v>
      </c>
      <c r="S697" s="17">
        <v>0</v>
      </c>
      <c r="T697" s="22">
        <v>0</v>
      </c>
    </row>
    <row r="698" spans="2:20" x14ac:dyDescent="0.25">
      <c r="B698" s="21">
        <v>0</v>
      </c>
      <c r="C698" s="17">
        <v>0</v>
      </c>
      <c r="D698" s="17">
        <v>0</v>
      </c>
      <c r="E698" s="17">
        <v>0</v>
      </c>
      <c r="F698" s="17">
        <v>0</v>
      </c>
      <c r="G698" s="17">
        <v>0</v>
      </c>
      <c r="H698" s="38">
        <v>0</v>
      </c>
      <c r="I698" s="17" t="str">
        <v/>
      </c>
      <c r="J698" s="17">
        <v>0</v>
      </c>
      <c r="K698" s="38">
        <v>0</v>
      </c>
      <c r="L698" s="17" t="str">
        <v/>
      </c>
      <c r="M698" s="17">
        <v>0</v>
      </c>
      <c r="N698" s="17">
        <v>0</v>
      </c>
      <c r="O698" s="17" t="str">
        <v/>
      </c>
      <c r="P698" s="17" t="str">
        <v/>
      </c>
      <c r="Q698" s="17">
        <v>0</v>
      </c>
      <c r="R698" s="17">
        <v>0</v>
      </c>
      <c r="S698" s="17">
        <v>0</v>
      </c>
      <c r="T698" s="22">
        <v>0</v>
      </c>
    </row>
    <row r="699" spans="2:20" x14ac:dyDescent="0.25">
      <c r="B699" s="21">
        <v>0</v>
      </c>
      <c r="C699" s="17">
        <v>0</v>
      </c>
      <c r="D699" s="17">
        <v>0</v>
      </c>
      <c r="E699" s="17">
        <v>0</v>
      </c>
      <c r="F699" s="17">
        <v>0</v>
      </c>
      <c r="G699" s="17">
        <v>0</v>
      </c>
      <c r="H699" s="38">
        <v>0</v>
      </c>
      <c r="I699" s="17" t="str">
        <v/>
      </c>
      <c r="J699" s="17">
        <v>0</v>
      </c>
      <c r="K699" s="38">
        <v>0</v>
      </c>
      <c r="L699" s="17" t="str">
        <v/>
      </c>
      <c r="M699" s="17">
        <v>0</v>
      </c>
      <c r="N699" s="17">
        <v>0</v>
      </c>
      <c r="O699" s="17" t="str">
        <v/>
      </c>
      <c r="P699" s="17" t="str">
        <v/>
      </c>
      <c r="Q699" s="17">
        <v>0</v>
      </c>
      <c r="R699" s="17">
        <v>0</v>
      </c>
      <c r="S699" s="17">
        <v>0</v>
      </c>
      <c r="T699" s="22">
        <v>0</v>
      </c>
    </row>
    <row r="700" spans="2:20" x14ac:dyDescent="0.25">
      <c r="B700" s="21">
        <v>0</v>
      </c>
      <c r="C700" s="17">
        <v>0</v>
      </c>
      <c r="D700" s="17">
        <v>0</v>
      </c>
      <c r="E700" s="17">
        <v>0</v>
      </c>
      <c r="F700" s="17">
        <v>0</v>
      </c>
      <c r="G700" s="17">
        <v>0</v>
      </c>
      <c r="H700" s="38">
        <v>0</v>
      </c>
      <c r="I700" s="17" t="str">
        <v/>
      </c>
      <c r="J700" s="17">
        <v>0</v>
      </c>
      <c r="K700" s="38">
        <v>0</v>
      </c>
      <c r="L700" s="17" t="str">
        <v/>
      </c>
      <c r="M700" s="17">
        <v>0</v>
      </c>
      <c r="N700" s="17">
        <v>0</v>
      </c>
      <c r="O700" s="17" t="str">
        <v/>
      </c>
      <c r="P700" s="17" t="str">
        <v/>
      </c>
      <c r="Q700" s="17">
        <v>0</v>
      </c>
      <c r="R700" s="17">
        <v>0</v>
      </c>
      <c r="S700" s="17">
        <v>0</v>
      </c>
      <c r="T700" s="22">
        <v>0</v>
      </c>
    </row>
    <row r="701" spans="2:20" x14ac:dyDescent="0.25">
      <c r="B701" s="21">
        <v>0</v>
      </c>
      <c r="C701" s="17">
        <v>0</v>
      </c>
      <c r="D701" s="17">
        <v>0</v>
      </c>
      <c r="E701" s="17">
        <v>0</v>
      </c>
      <c r="F701" s="17">
        <v>0</v>
      </c>
      <c r="G701" s="17">
        <v>0</v>
      </c>
      <c r="H701" s="38">
        <v>0</v>
      </c>
      <c r="I701" s="17" t="str">
        <v/>
      </c>
      <c r="J701" s="17">
        <v>0</v>
      </c>
      <c r="K701" s="38">
        <v>0</v>
      </c>
      <c r="L701" s="17" t="str">
        <v/>
      </c>
      <c r="M701" s="17">
        <v>0</v>
      </c>
      <c r="N701" s="17">
        <v>0</v>
      </c>
      <c r="O701" s="17" t="str">
        <v/>
      </c>
      <c r="P701" s="17" t="str">
        <v/>
      </c>
      <c r="Q701" s="17">
        <v>0</v>
      </c>
      <c r="R701" s="17">
        <v>0</v>
      </c>
      <c r="S701" s="17">
        <v>0</v>
      </c>
      <c r="T701" s="22">
        <v>0</v>
      </c>
    </row>
    <row r="702" spans="2:20" x14ac:dyDescent="0.25">
      <c r="B702" s="21">
        <v>0</v>
      </c>
      <c r="C702" s="17">
        <v>0</v>
      </c>
      <c r="D702" s="17">
        <v>0</v>
      </c>
      <c r="E702" s="17">
        <v>0</v>
      </c>
      <c r="F702" s="17">
        <v>0</v>
      </c>
      <c r="G702" s="17">
        <v>0</v>
      </c>
      <c r="H702" s="38">
        <v>0</v>
      </c>
      <c r="I702" s="17" t="str">
        <v/>
      </c>
      <c r="J702" s="17">
        <v>0</v>
      </c>
      <c r="K702" s="38">
        <v>0</v>
      </c>
      <c r="L702" s="17" t="str">
        <v/>
      </c>
      <c r="M702" s="17">
        <v>0</v>
      </c>
      <c r="N702" s="17">
        <v>0</v>
      </c>
      <c r="O702" s="17" t="str">
        <v/>
      </c>
      <c r="P702" s="17" t="str">
        <v/>
      </c>
      <c r="Q702" s="17">
        <v>0</v>
      </c>
      <c r="R702" s="17">
        <v>0</v>
      </c>
      <c r="S702" s="17">
        <v>0</v>
      </c>
      <c r="T702" s="22">
        <v>0</v>
      </c>
    </row>
    <row r="703" spans="2:20" x14ac:dyDescent="0.25">
      <c r="B703" s="21">
        <v>0</v>
      </c>
      <c r="C703" s="17">
        <v>0</v>
      </c>
      <c r="D703" s="17">
        <v>0</v>
      </c>
      <c r="E703" s="17">
        <v>0</v>
      </c>
      <c r="F703" s="17">
        <v>0</v>
      </c>
      <c r="G703" s="17">
        <v>0</v>
      </c>
      <c r="H703" s="38">
        <v>0</v>
      </c>
      <c r="I703" s="17" t="str">
        <v/>
      </c>
      <c r="J703" s="17">
        <v>0</v>
      </c>
      <c r="K703" s="38">
        <v>0</v>
      </c>
      <c r="L703" s="17" t="str">
        <v/>
      </c>
      <c r="M703" s="17">
        <v>0</v>
      </c>
      <c r="N703" s="17">
        <v>0</v>
      </c>
      <c r="O703" s="17" t="str">
        <v/>
      </c>
      <c r="P703" s="17" t="str">
        <v/>
      </c>
      <c r="Q703" s="17">
        <v>0</v>
      </c>
      <c r="R703" s="17">
        <v>0</v>
      </c>
      <c r="S703" s="17">
        <v>0</v>
      </c>
      <c r="T703" s="22">
        <v>0</v>
      </c>
    </row>
    <row r="704" spans="2:20" x14ac:dyDescent="0.25">
      <c r="B704" s="21">
        <v>0</v>
      </c>
      <c r="C704" s="17">
        <v>0</v>
      </c>
      <c r="D704" s="17">
        <v>0</v>
      </c>
      <c r="E704" s="17">
        <v>0</v>
      </c>
      <c r="F704" s="17">
        <v>0</v>
      </c>
      <c r="G704" s="17">
        <v>0</v>
      </c>
      <c r="H704" s="38">
        <v>0</v>
      </c>
      <c r="I704" s="17" t="str">
        <v/>
      </c>
      <c r="J704" s="17">
        <v>0</v>
      </c>
      <c r="K704" s="38">
        <v>0</v>
      </c>
      <c r="L704" s="17" t="str">
        <v/>
      </c>
      <c r="M704" s="17">
        <v>0</v>
      </c>
      <c r="N704" s="17">
        <v>0</v>
      </c>
      <c r="O704" s="17" t="str">
        <v/>
      </c>
      <c r="P704" s="17" t="str">
        <v/>
      </c>
      <c r="Q704" s="17">
        <v>0</v>
      </c>
      <c r="R704" s="17">
        <v>0</v>
      </c>
      <c r="S704" s="17">
        <v>0</v>
      </c>
      <c r="T704" s="22">
        <v>0</v>
      </c>
    </row>
    <row r="705" spans="2:20" x14ac:dyDescent="0.25">
      <c r="B705" s="21">
        <v>0</v>
      </c>
      <c r="C705" s="17">
        <v>0</v>
      </c>
      <c r="D705" s="17">
        <v>0</v>
      </c>
      <c r="E705" s="17">
        <v>0</v>
      </c>
      <c r="F705" s="17">
        <v>0</v>
      </c>
      <c r="G705" s="17">
        <v>0</v>
      </c>
      <c r="H705" s="38">
        <v>0</v>
      </c>
      <c r="I705" s="17" t="str">
        <v/>
      </c>
      <c r="J705" s="17">
        <v>0</v>
      </c>
      <c r="K705" s="38">
        <v>0</v>
      </c>
      <c r="L705" s="17" t="str">
        <v/>
      </c>
      <c r="M705" s="17">
        <v>0</v>
      </c>
      <c r="N705" s="17">
        <v>0</v>
      </c>
      <c r="O705" s="17" t="str">
        <v/>
      </c>
      <c r="P705" s="17" t="str">
        <v/>
      </c>
      <c r="Q705" s="17">
        <v>0</v>
      </c>
      <c r="R705" s="17">
        <v>0</v>
      </c>
      <c r="S705" s="17">
        <v>0</v>
      </c>
      <c r="T705" s="22">
        <v>0</v>
      </c>
    </row>
    <row r="706" spans="2:20" x14ac:dyDescent="0.25">
      <c r="B706" s="21">
        <v>0</v>
      </c>
      <c r="C706" s="17">
        <v>0</v>
      </c>
      <c r="D706" s="17">
        <v>0</v>
      </c>
      <c r="E706" s="17">
        <v>0</v>
      </c>
      <c r="F706" s="17">
        <v>0</v>
      </c>
      <c r="G706" s="17">
        <v>0</v>
      </c>
      <c r="H706" s="38">
        <v>0</v>
      </c>
      <c r="I706" s="17" t="str">
        <v/>
      </c>
      <c r="J706" s="17">
        <v>0</v>
      </c>
      <c r="K706" s="38">
        <v>0</v>
      </c>
      <c r="L706" s="17" t="str">
        <v/>
      </c>
      <c r="M706" s="17">
        <v>0</v>
      </c>
      <c r="N706" s="17">
        <v>0</v>
      </c>
      <c r="O706" s="17" t="str">
        <v/>
      </c>
      <c r="P706" s="17" t="str">
        <v/>
      </c>
      <c r="Q706" s="17">
        <v>0</v>
      </c>
      <c r="R706" s="17">
        <v>0</v>
      </c>
      <c r="S706" s="17">
        <v>0</v>
      </c>
      <c r="T706" s="22">
        <v>0</v>
      </c>
    </row>
    <row r="707" spans="2:20" x14ac:dyDescent="0.25">
      <c r="B707" s="21">
        <v>0</v>
      </c>
      <c r="C707" s="17">
        <v>0</v>
      </c>
      <c r="D707" s="17">
        <v>0</v>
      </c>
      <c r="E707" s="17">
        <v>0</v>
      </c>
      <c r="F707" s="17">
        <v>0</v>
      </c>
      <c r="G707" s="17">
        <v>0</v>
      </c>
      <c r="H707" s="38">
        <v>0</v>
      </c>
      <c r="I707" s="17" t="str">
        <v/>
      </c>
      <c r="J707" s="17">
        <v>0</v>
      </c>
      <c r="K707" s="38">
        <v>0</v>
      </c>
      <c r="L707" s="17" t="str">
        <v/>
      </c>
      <c r="M707" s="17">
        <v>0</v>
      </c>
      <c r="N707" s="17">
        <v>0</v>
      </c>
      <c r="O707" s="17" t="str">
        <v/>
      </c>
      <c r="P707" s="17" t="str">
        <v/>
      </c>
      <c r="Q707" s="17">
        <v>0</v>
      </c>
      <c r="R707" s="17">
        <v>0</v>
      </c>
      <c r="S707" s="17">
        <v>0</v>
      </c>
      <c r="T707" s="22">
        <v>0</v>
      </c>
    </row>
    <row r="708" spans="2:20" x14ac:dyDescent="0.25">
      <c r="B708" s="21">
        <v>0</v>
      </c>
      <c r="C708" s="17">
        <v>0</v>
      </c>
      <c r="D708" s="17">
        <v>0</v>
      </c>
      <c r="E708" s="17">
        <v>0</v>
      </c>
      <c r="F708" s="17">
        <v>0</v>
      </c>
      <c r="G708" s="17">
        <v>0</v>
      </c>
      <c r="H708" s="38">
        <v>0</v>
      </c>
      <c r="I708" s="17" t="str">
        <v/>
      </c>
      <c r="J708" s="17">
        <v>0</v>
      </c>
      <c r="K708" s="38">
        <v>0</v>
      </c>
      <c r="L708" s="17" t="str">
        <v/>
      </c>
      <c r="M708" s="17">
        <v>0</v>
      </c>
      <c r="N708" s="17">
        <v>0</v>
      </c>
      <c r="O708" s="17" t="str">
        <v/>
      </c>
      <c r="P708" s="17" t="str">
        <v/>
      </c>
      <c r="Q708" s="17">
        <v>0</v>
      </c>
      <c r="R708" s="17">
        <v>0</v>
      </c>
      <c r="S708" s="17">
        <v>0</v>
      </c>
      <c r="T708" s="22">
        <v>0</v>
      </c>
    </row>
    <row r="709" spans="2:20" x14ac:dyDescent="0.25">
      <c r="B709" s="21">
        <v>0</v>
      </c>
      <c r="C709" s="17">
        <v>0</v>
      </c>
      <c r="D709" s="17">
        <v>0</v>
      </c>
      <c r="E709" s="17">
        <v>0</v>
      </c>
      <c r="F709" s="17">
        <v>0</v>
      </c>
      <c r="G709" s="17">
        <v>0</v>
      </c>
      <c r="H709" s="38">
        <v>0</v>
      </c>
      <c r="I709" s="17" t="str">
        <v/>
      </c>
      <c r="J709" s="17">
        <v>0</v>
      </c>
      <c r="K709" s="38">
        <v>0</v>
      </c>
      <c r="L709" s="17" t="str">
        <v/>
      </c>
      <c r="M709" s="17">
        <v>0</v>
      </c>
      <c r="N709" s="17">
        <v>0</v>
      </c>
      <c r="O709" s="17" t="str">
        <v/>
      </c>
      <c r="P709" s="17" t="str">
        <v/>
      </c>
      <c r="Q709" s="17">
        <v>0</v>
      </c>
      <c r="R709" s="17">
        <v>0</v>
      </c>
      <c r="S709" s="17">
        <v>0</v>
      </c>
      <c r="T709" s="22">
        <v>0</v>
      </c>
    </row>
    <row r="710" spans="2:20" x14ac:dyDescent="0.25">
      <c r="B710" s="21">
        <v>0</v>
      </c>
      <c r="C710" s="17">
        <v>0</v>
      </c>
      <c r="D710" s="17">
        <v>0</v>
      </c>
      <c r="E710" s="17">
        <v>0</v>
      </c>
      <c r="F710" s="17">
        <v>0</v>
      </c>
      <c r="G710" s="17">
        <v>0</v>
      </c>
      <c r="H710" s="38">
        <v>0</v>
      </c>
      <c r="I710" s="17" t="str">
        <v/>
      </c>
      <c r="J710" s="17">
        <v>0</v>
      </c>
      <c r="K710" s="38">
        <v>0</v>
      </c>
      <c r="L710" s="17" t="str">
        <v/>
      </c>
      <c r="M710" s="17">
        <v>0</v>
      </c>
      <c r="N710" s="17">
        <v>0</v>
      </c>
      <c r="O710" s="17" t="str">
        <v/>
      </c>
      <c r="P710" s="17" t="str">
        <v/>
      </c>
      <c r="Q710" s="17">
        <v>0</v>
      </c>
      <c r="R710" s="17">
        <v>0</v>
      </c>
      <c r="S710" s="17">
        <v>0</v>
      </c>
      <c r="T710" s="22">
        <v>0</v>
      </c>
    </row>
    <row r="711" spans="2:20" x14ac:dyDescent="0.25">
      <c r="B711" s="21">
        <v>0</v>
      </c>
      <c r="C711" s="17">
        <v>0</v>
      </c>
      <c r="D711" s="17">
        <v>0</v>
      </c>
      <c r="E711" s="17">
        <v>0</v>
      </c>
      <c r="F711" s="17">
        <v>0</v>
      </c>
      <c r="G711" s="17">
        <v>0</v>
      </c>
      <c r="H711" s="38">
        <v>0</v>
      </c>
      <c r="I711" s="17" t="str">
        <v/>
      </c>
      <c r="J711" s="17">
        <v>0</v>
      </c>
      <c r="K711" s="38">
        <v>0</v>
      </c>
      <c r="L711" s="17" t="str">
        <v/>
      </c>
      <c r="M711" s="17">
        <v>0</v>
      </c>
      <c r="N711" s="17">
        <v>0</v>
      </c>
      <c r="O711" s="17" t="str">
        <v/>
      </c>
      <c r="P711" s="17" t="str">
        <v/>
      </c>
      <c r="Q711" s="17">
        <v>0</v>
      </c>
      <c r="R711" s="17">
        <v>0</v>
      </c>
      <c r="S711" s="17">
        <v>0</v>
      </c>
      <c r="T711" s="22">
        <v>0</v>
      </c>
    </row>
    <row r="712" spans="2:20" x14ac:dyDescent="0.25">
      <c r="B712" s="21">
        <v>0</v>
      </c>
      <c r="C712" s="17">
        <v>0</v>
      </c>
      <c r="D712" s="17">
        <v>0</v>
      </c>
      <c r="E712" s="17">
        <v>0</v>
      </c>
      <c r="F712" s="17">
        <v>0</v>
      </c>
      <c r="G712" s="17">
        <v>0</v>
      </c>
      <c r="H712" s="38">
        <v>0</v>
      </c>
      <c r="I712" s="17" t="str">
        <v/>
      </c>
      <c r="J712" s="17">
        <v>0</v>
      </c>
      <c r="K712" s="38">
        <v>0</v>
      </c>
      <c r="L712" s="17" t="str">
        <v/>
      </c>
      <c r="M712" s="17">
        <v>0</v>
      </c>
      <c r="N712" s="17">
        <v>0</v>
      </c>
      <c r="O712" s="17" t="str">
        <v/>
      </c>
      <c r="P712" s="17" t="str">
        <v/>
      </c>
      <c r="Q712" s="17">
        <v>0</v>
      </c>
      <c r="R712" s="17">
        <v>0</v>
      </c>
      <c r="S712" s="17">
        <v>0</v>
      </c>
      <c r="T712" s="22">
        <v>0</v>
      </c>
    </row>
    <row r="713" spans="2:20" x14ac:dyDescent="0.25">
      <c r="B713" s="21">
        <v>0</v>
      </c>
      <c r="C713" s="17">
        <v>0</v>
      </c>
      <c r="D713" s="17">
        <v>0</v>
      </c>
      <c r="E713" s="17">
        <v>0</v>
      </c>
      <c r="F713" s="17">
        <v>0</v>
      </c>
      <c r="G713" s="17">
        <v>0</v>
      </c>
      <c r="H713" s="38">
        <v>0</v>
      </c>
      <c r="I713" s="17" t="str">
        <v/>
      </c>
      <c r="J713" s="17">
        <v>0</v>
      </c>
      <c r="K713" s="38">
        <v>0</v>
      </c>
      <c r="L713" s="17" t="str">
        <v/>
      </c>
      <c r="M713" s="17">
        <v>0</v>
      </c>
      <c r="N713" s="17">
        <v>0</v>
      </c>
      <c r="O713" s="17" t="str">
        <v/>
      </c>
      <c r="P713" s="17" t="str">
        <v/>
      </c>
      <c r="Q713" s="17">
        <v>0</v>
      </c>
      <c r="R713" s="17">
        <v>0</v>
      </c>
      <c r="S713" s="17">
        <v>0</v>
      </c>
      <c r="T713" s="22">
        <v>0</v>
      </c>
    </row>
    <row r="714" spans="2:20" x14ac:dyDescent="0.25">
      <c r="B714" s="21">
        <v>0</v>
      </c>
      <c r="C714" s="17">
        <v>0</v>
      </c>
      <c r="D714" s="17">
        <v>0</v>
      </c>
      <c r="E714" s="17">
        <v>0</v>
      </c>
      <c r="F714" s="17">
        <v>0</v>
      </c>
      <c r="G714" s="17">
        <v>0</v>
      </c>
      <c r="H714" s="38">
        <v>0</v>
      </c>
      <c r="I714" s="17" t="str">
        <v/>
      </c>
      <c r="J714" s="17">
        <v>0</v>
      </c>
      <c r="K714" s="38">
        <v>0</v>
      </c>
      <c r="L714" s="17" t="str">
        <v/>
      </c>
      <c r="M714" s="17">
        <v>0</v>
      </c>
      <c r="N714" s="17">
        <v>0</v>
      </c>
      <c r="O714" s="17" t="str">
        <v/>
      </c>
      <c r="P714" s="17" t="str">
        <v/>
      </c>
      <c r="Q714" s="17">
        <v>0</v>
      </c>
      <c r="R714" s="17">
        <v>0</v>
      </c>
      <c r="S714" s="17">
        <v>0</v>
      </c>
      <c r="T714" s="22">
        <v>0</v>
      </c>
    </row>
    <row r="715" spans="2:20" x14ac:dyDescent="0.25">
      <c r="B715" s="21">
        <v>0</v>
      </c>
      <c r="C715" s="17">
        <v>0</v>
      </c>
      <c r="D715" s="17">
        <v>0</v>
      </c>
      <c r="E715" s="17">
        <v>0</v>
      </c>
      <c r="F715" s="17">
        <v>0</v>
      </c>
      <c r="G715" s="17">
        <v>0</v>
      </c>
      <c r="H715" s="38">
        <v>0</v>
      </c>
      <c r="I715" s="17" t="str">
        <v/>
      </c>
      <c r="J715" s="17">
        <v>0</v>
      </c>
      <c r="K715" s="38">
        <v>0</v>
      </c>
      <c r="L715" s="17" t="str">
        <v/>
      </c>
      <c r="M715" s="17">
        <v>0</v>
      </c>
      <c r="N715" s="17">
        <v>0</v>
      </c>
      <c r="O715" s="17" t="str">
        <v/>
      </c>
      <c r="P715" s="17" t="str">
        <v/>
      </c>
      <c r="Q715" s="17">
        <v>0</v>
      </c>
      <c r="R715" s="17">
        <v>0</v>
      </c>
      <c r="S715" s="17">
        <v>0</v>
      </c>
      <c r="T715" s="22">
        <v>0</v>
      </c>
    </row>
    <row r="716" spans="2:20" x14ac:dyDescent="0.25">
      <c r="B716" s="21">
        <v>0</v>
      </c>
      <c r="C716" s="17">
        <v>0</v>
      </c>
      <c r="D716" s="17">
        <v>0</v>
      </c>
      <c r="E716" s="17">
        <v>0</v>
      </c>
      <c r="F716" s="17">
        <v>0</v>
      </c>
      <c r="G716" s="17">
        <v>0</v>
      </c>
      <c r="H716" s="38">
        <v>0</v>
      </c>
      <c r="I716" s="17" t="str">
        <v/>
      </c>
      <c r="J716" s="17">
        <v>0</v>
      </c>
      <c r="K716" s="38">
        <v>0</v>
      </c>
      <c r="L716" s="17" t="str">
        <v/>
      </c>
      <c r="M716" s="17">
        <v>0</v>
      </c>
      <c r="N716" s="17">
        <v>0</v>
      </c>
      <c r="O716" s="17" t="str">
        <v/>
      </c>
      <c r="P716" s="17" t="str">
        <v/>
      </c>
      <c r="Q716" s="17">
        <v>0</v>
      </c>
      <c r="R716" s="17">
        <v>0</v>
      </c>
      <c r="S716" s="17">
        <v>0</v>
      </c>
      <c r="T716" s="22">
        <v>0</v>
      </c>
    </row>
    <row r="717" spans="2:20" x14ac:dyDescent="0.25">
      <c r="B717" s="21">
        <v>0</v>
      </c>
      <c r="C717" s="17">
        <v>0</v>
      </c>
      <c r="D717" s="17">
        <v>0</v>
      </c>
      <c r="E717" s="17">
        <v>0</v>
      </c>
      <c r="F717" s="17">
        <v>0</v>
      </c>
      <c r="G717" s="17">
        <v>0</v>
      </c>
      <c r="H717" s="38">
        <v>0</v>
      </c>
      <c r="I717" s="17" t="str">
        <v/>
      </c>
      <c r="J717" s="17">
        <v>0</v>
      </c>
      <c r="K717" s="38">
        <v>0</v>
      </c>
      <c r="L717" s="17" t="str">
        <v/>
      </c>
      <c r="M717" s="17">
        <v>0</v>
      </c>
      <c r="N717" s="17">
        <v>0</v>
      </c>
      <c r="O717" s="17" t="str">
        <v/>
      </c>
      <c r="P717" s="17" t="str">
        <v/>
      </c>
      <c r="Q717" s="17">
        <v>0</v>
      </c>
      <c r="R717" s="17">
        <v>0</v>
      </c>
      <c r="S717" s="17">
        <v>0</v>
      </c>
      <c r="T717" s="22">
        <v>0</v>
      </c>
    </row>
    <row r="718" spans="2:20" x14ac:dyDescent="0.25">
      <c r="B718" s="21">
        <v>0</v>
      </c>
      <c r="C718" s="17">
        <v>0</v>
      </c>
      <c r="D718" s="17">
        <v>0</v>
      </c>
      <c r="E718" s="17">
        <v>0</v>
      </c>
      <c r="F718" s="17">
        <v>0</v>
      </c>
      <c r="G718" s="17">
        <v>0</v>
      </c>
      <c r="H718" s="38">
        <v>0</v>
      </c>
      <c r="I718" s="17" t="str">
        <v/>
      </c>
      <c r="J718" s="17">
        <v>0</v>
      </c>
      <c r="K718" s="38">
        <v>0</v>
      </c>
      <c r="L718" s="17" t="str">
        <v/>
      </c>
      <c r="M718" s="17">
        <v>0</v>
      </c>
      <c r="N718" s="17">
        <v>0</v>
      </c>
      <c r="O718" s="17" t="str">
        <v/>
      </c>
      <c r="P718" s="17" t="str">
        <v/>
      </c>
      <c r="Q718" s="17">
        <v>0</v>
      </c>
      <c r="R718" s="17">
        <v>0</v>
      </c>
      <c r="S718" s="17">
        <v>0</v>
      </c>
      <c r="T718" s="22">
        <v>0</v>
      </c>
    </row>
    <row r="719" spans="2:20" x14ac:dyDescent="0.25">
      <c r="B719" s="21">
        <v>0</v>
      </c>
      <c r="C719" s="17">
        <v>0</v>
      </c>
      <c r="D719" s="17">
        <v>0</v>
      </c>
      <c r="E719" s="17">
        <v>0</v>
      </c>
      <c r="F719" s="17">
        <v>0</v>
      </c>
      <c r="G719" s="17">
        <v>0</v>
      </c>
      <c r="H719" s="38">
        <v>0</v>
      </c>
      <c r="I719" s="17" t="str">
        <v/>
      </c>
      <c r="J719" s="17">
        <v>0</v>
      </c>
      <c r="K719" s="38">
        <v>0</v>
      </c>
      <c r="L719" s="17" t="str">
        <v/>
      </c>
      <c r="M719" s="17">
        <v>0</v>
      </c>
      <c r="N719" s="17">
        <v>0</v>
      </c>
      <c r="O719" s="17" t="str">
        <v/>
      </c>
      <c r="P719" s="17" t="str">
        <v/>
      </c>
      <c r="Q719" s="17">
        <v>0</v>
      </c>
      <c r="R719" s="17">
        <v>0</v>
      </c>
      <c r="S719" s="17">
        <v>0</v>
      </c>
      <c r="T719" s="22">
        <v>0</v>
      </c>
    </row>
    <row r="720" spans="2:20" x14ac:dyDescent="0.25">
      <c r="B720" s="21">
        <v>0</v>
      </c>
      <c r="C720" s="17">
        <v>0</v>
      </c>
      <c r="D720" s="17">
        <v>0</v>
      </c>
      <c r="E720" s="17">
        <v>0</v>
      </c>
      <c r="F720" s="17">
        <v>0</v>
      </c>
      <c r="G720" s="17">
        <v>0</v>
      </c>
      <c r="H720" s="38">
        <v>0</v>
      </c>
      <c r="I720" s="17" t="str">
        <v/>
      </c>
      <c r="J720" s="17">
        <v>0</v>
      </c>
      <c r="K720" s="38">
        <v>0</v>
      </c>
      <c r="L720" s="17" t="str">
        <v/>
      </c>
      <c r="M720" s="17">
        <v>0</v>
      </c>
      <c r="N720" s="17">
        <v>0</v>
      </c>
      <c r="O720" s="17" t="str">
        <v/>
      </c>
      <c r="P720" s="17" t="str">
        <v/>
      </c>
      <c r="Q720" s="17">
        <v>0</v>
      </c>
      <c r="R720" s="17">
        <v>0</v>
      </c>
      <c r="S720" s="17">
        <v>0</v>
      </c>
      <c r="T720" s="22">
        <v>0</v>
      </c>
    </row>
    <row r="721" spans="2:20" x14ac:dyDescent="0.25">
      <c r="B721" s="21">
        <v>0</v>
      </c>
      <c r="C721" s="17">
        <v>0</v>
      </c>
      <c r="D721" s="17">
        <v>0</v>
      </c>
      <c r="E721" s="17">
        <v>0</v>
      </c>
      <c r="F721" s="17">
        <v>0</v>
      </c>
      <c r="G721" s="17">
        <v>0</v>
      </c>
      <c r="H721" s="38">
        <v>0</v>
      </c>
      <c r="I721" s="17" t="str">
        <v/>
      </c>
      <c r="J721" s="17">
        <v>0</v>
      </c>
      <c r="K721" s="38">
        <v>0</v>
      </c>
      <c r="L721" s="17" t="str">
        <v/>
      </c>
      <c r="M721" s="17">
        <v>0</v>
      </c>
      <c r="N721" s="17">
        <v>0</v>
      </c>
      <c r="O721" s="17" t="str">
        <v/>
      </c>
      <c r="P721" s="17" t="str">
        <v/>
      </c>
      <c r="Q721" s="17">
        <v>0</v>
      </c>
      <c r="R721" s="17">
        <v>0</v>
      </c>
      <c r="S721" s="17">
        <v>0</v>
      </c>
      <c r="T721" s="22">
        <v>0</v>
      </c>
    </row>
    <row r="722" spans="2:20" x14ac:dyDescent="0.25">
      <c r="B722" s="21">
        <v>0</v>
      </c>
      <c r="C722" s="17">
        <v>0</v>
      </c>
      <c r="D722" s="17">
        <v>0</v>
      </c>
      <c r="E722" s="17">
        <v>0</v>
      </c>
      <c r="F722" s="17">
        <v>0</v>
      </c>
      <c r="G722" s="17">
        <v>0</v>
      </c>
      <c r="H722" s="38">
        <v>0</v>
      </c>
      <c r="I722" s="17" t="str">
        <v/>
      </c>
      <c r="J722" s="17">
        <v>0</v>
      </c>
      <c r="K722" s="38">
        <v>0</v>
      </c>
      <c r="L722" s="17" t="str">
        <v/>
      </c>
      <c r="M722" s="17">
        <v>0</v>
      </c>
      <c r="N722" s="17">
        <v>0</v>
      </c>
      <c r="O722" s="17" t="str">
        <v/>
      </c>
      <c r="P722" s="17" t="str">
        <v/>
      </c>
      <c r="Q722" s="17">
        <v>0</v>
      </c>
      <c r="R722" s="17">
        <v>0</v>
      </c>
      <c r="S722" s="17">
        <v>0</v>
      </c>
      <c r="T722" s="22">
        <v>0</v>
      </c>
    </row>
    <row r="723" spans="2:20" x14ac:dyDescent="0.25">
      <c r="B723" s="21">
        <v>0</v>
      </c>
      <c r="C723" s="17">
        <v>0</v>
      </c>
      <c r="D723" s="17">
        <v>0</v>
      </c>
      <c r="E723" s="17">
        <v>0</v>
      </c>
      <c r="F723" s="17">
        <v>0</v>
      </c>
      <c r="G723" s="17">
        <v>0</v>
      </c>
      <c r="H723" s="38">
        <v>0</v>
      </c>
      <c r="I723" s="17" t="str">
        <v/>
      </c>
      <c r="J723" s="17">
        <v>0</v>
      </c>
      <c r="K723" s="38">
        <v>0</v>
      </c>
      <c r="L723" s="17" t="str">
        <v/>
      </c>
      <c r="M723" s="17">
        <v>0</v>
      </c>
      <c r="N723" s="17">
        <v>0</v>
      </c>
      <c r="O723" s="17" t="str">
        <v/>
      </c>
      <c r="P723" s="17" t="str">
        <v/>
      </c>
      <c r="Q723" s="17">
        <v>0</v>
      </c>
      <c r="R723" s="17">
        <v>0</v>
      </c>
      <c r="S723" s="17">
        <v>0</v>
      </c>
      <c r="T723" s="22">
        <v>0</v>
      </c>
    </row>
    <row r="724" spans="2:20" x14ac:dyDescent="0.25">
      <c r="B724" s="21">
        <v>0</v>
      </c>
      <c r="C724" s="17">
        <v>0</v>
      </c>
      <c r="D724" s="17">
        <v>0</v>
      </c>
      <c r="E724" s="17">
        <v>0</v>
      </c>
      <c r="F724" s="17">
        <v>0</v>
      </c>
      <c r="G724" s="17">
        <v>0</v>
      </c>
      <c r="H724" s="38">
        <v>0</v>
      </c>
      <c r="I724" s="17" t="str">
        <v/>
      </c>
      <c r="J724" s="17">
        <v>0</v>
      </c>
      <c r="K724" s="38">
        <v>0</v>
      </c>
      <c r="L724" s="17" t="str">
        <v/>
      </c>
      <c r="M724" s="17">
        <v>0</v>
      </c>
      <c r="N724" s="17">
        <v>0</v>
      </c>
      <c r="O724" s="17" t="str">
        <v/>
      </c>
      <c r="P724" s="17" t="str">
        <v/>
      </c>
      <c r="Q724" s="17">
        <v>0</v>
      </c>
      <c r="R724" s="17">
        <v>0</v>
      </c>
      <c r="S724" s="17">
        <v>0</v>
      </c>
      <c r="T724" s="22">
        <v>0</v>
      </c>
    </row>
    <row r="725" spans="2:20" x14ac:dyDescent="0.25">
      <c r="B725" s="21">
        <v>0</v>
      </c>
      <c r="C725" s="17">
        <v>0</v>
      </c>
      <c r="D725" s="17">
        <v>0</v>
      </c>
      <c r="E725" s="17">
        <v>0</v>
      </c>
      <c r="F725" s="17">
        <v>0</v>
      </c>
      <c r="G725" s="17">
        <v>0</v>
      </c>
      <c r="H725" s="38">
        <v>0</v>
      </c>
      <c r="I725" s="17" t="str">
        <v/>
      </c>
      <c r="J725" s="17">
        <v>0</v>
      </c>
      <c r="K725" s="38">
        <v>0</v>
      </c>
      <c r="L725" s="17" t="str">
        <v/>
      </c>
      <c r="M725" s="17">
        <v>0</v>
      </c>
      <c r="N725" s="17">
        <v>0</v>
      </c>
      <c r="O725" s="17" t="str">
        <v/>
      </c>
      <c r="P725" s="17" t="str">
        <v/>
      </c>
      <c r="Q725" s="17">
        <v>0</v>
      </c>
      <c r="R725" s="17">
        <v>0</v>
      </c>
      <c r="S725" s="17">
        <v>0</v>
      </c>
      <c r="T725" s="22">
        <v>0</v>
      </c>
    </row>
    <row r="726" spans="2:20" x14ac:dyDescent="0.25">
      <c r="B726" s="21">
        <v>0</v>
      </c>
      <c r="C726" s="17">
        <v>0</v>
      </c>
      <c r="D726" s="17">
        <v>0</v>
      </c>
      <c r="E726" s="17">
        <v>0</v>
      </c>
      <c r="F726" s="17">
        <v>0</v>
      </c>
      <c r="G726" s="17">
        <v>0</v>
      </c>
      <c r="H726" s="38">
        <v>0</v>
      </c>
      <c r="I726" s="17" t="str">
        <v/>
      </c>
      <c r="J726" s="17">
        <v>0</v>
      </c>
      <c r="K726" s="38">
        <v>0</v>
      </c>
      <c r="L726" s="17" t="str">
        <v/>
      </c>
      <c r="M726" s="17">
        <v>0</v>
      </c>
      <c r="N726" s="17">
        <v>0</v>
      </c>
      <c r="O726" s="17" t="str">
        <v/>
      </c>
      <c r="P726" s="17" t="str">
        <v/>
      </c>
      <c r="Q726" s="17">
        <v>0</v>
      </c>
      <c r="R726" s="17">
        <v>0</v>
      </c>
      <c r="S726" s="17">
        <v>0</v>
      </c>
      <c r="T726" s="22">
        <v>0</v>
      </c>
    </row>
    <row r="727" spans="2:20" x14ac:dyDescent="0.25">
      <c r="B727" s="21">
        <v>0</v>
      </c>
      <c r="C727" s="17">
        <v>0</v>
      </c>
      <c r="D727" s="17">
        <v>0</v>
      </c>
      <c r="E727" s="17">
        <v>0</v>
      </c>
      <c r="F727" s="17">
        <v>0</v>
      </c>
      <c r="G727" s="17">
        <v>0</v>
      </c>
      <c r="H727" s="38">
        <v>0</v>
      </c>
      <c r="I727" s="17" t="str">
        <v/>
      </c>
      <c r="J727" s="17">
        <v>0</v>
      </c>
      <c r="K727" s="38">
        <v>0</v>
      </c>
      <c r="L727" s="17" t="str">
        <v/>
      </c>
      <c r="M727" s="17">
        <v>0</v>
      </c>
      <c r="N727" s="17">
        <v>0</v>
      </c>
      <c r="O727" s="17" t="str">
        <v/>
      </c>
      <c r="P727" s="17" t="str">
        <v/>
      </c>
      <c r="Q727" s="17">
        <v>0</v>
      </c>
      <c r="R727" s="17">
        <v>0</v>
      </c>
      <c r="S727" s="17">
        <v>0</v>
      </c>
      <c r="T727" s="22">
        <v>0</v>
      </c>
    </row>
    <row r="728" spans="2:20" x14ac:dyDescent="0.25">
      <c r="B728" s="21">
        <v>0</v>
      </c>
      <c r="C728" s="17">
        <v>0</v>
      </c>
      <c r="D728" s="17">
        <v>0</v>
      </c>
      <c r="E728" s="17">
        <v>0</v>
      </c>
      <c r="F728" s="17">
        <v>0</v>
      </c>
      <c r="G728" s="17">
        <v>0</v>
      </c>
      <c r="H728" s="38">
        <v>0</v>
      </c>
      <c r="I728" s="17" t="str">
        <v/>
      </c>
      <c r="J728" s="17">
        <v>0</v>
      </c>
      <c r="K728" s="38">
        <v>0</v>
      </c>
      <c r="L728" s="17" t="str">
        <v/>
      </c>
      <c r="M728" s="17">
        <v>0</v>
      </c>
      <c r="N728" s="17">
        <v>0</v>
      </c>
      <c r="O728" s="17" t="str">
        <v/>
      </c>
      <c r="P728" s="17" t="str">
        <v/>
      </c>
      <c r="Q728" s="17">
        <v>0</v>
      </c>
      <c r="R728" s="17">
        <v>0</v>
      </c>
      <c r="S728" s="17">
        <v>0</v>
      </c>
      <c r="T728" s="22">
        <v>0</v>
      </c>
    </row>
    <row r="729" spans="2:20" x14ac:dyDescent="0.25">
      <c r="B729" s="21">
        <v>0</v>
      </c>
      <c r="C729" s="17">
        <v>0</v>
      </c>
      <c r="D729" s="17">
        <v>0</v>
      </c>
      <c r="E729" s="17">
        <v>0</v>
      </c>
      <c r="F729" s="17">
        <v>0</v>
      </c>
      <c r="G729" s="17">
        <v>0</v>
      </c>
      <c r="H729" s="38">
        <v>0</v>
      </c>
      <c r="I729" s="17" t="str">
        <v/>
      </c>
      <c r="J729" s="17">
        <v>0</v>
      </c>
      <c r="K729" s="38">
        <v>0</v>
      </c>
      <c r="L729" s="17" t="str">
        <v/>
      </c>
      <c r="M729" s="17">
        <v>0</v>
      </c>
      <c r="N729" s="17">
        <v>0</v>
      </c>
      <c r="O729" s="17" t="str">
        <v/>
      </c>
      <c r="P729" s="17" t="str">
        <v/>
      </c>
      <c r="Q729" s="17">
        <v>0</v>
      </c>
      <c r="R729" s="17">
        <v>0</v>
      </c>
      <c r="S729" s="17">
        <v>0</v>
      </c>
      <c r="T729" s="22">
        <v>0</v>
      </c>
    </row>
    <row r="730" spans="2:20" x14ac:dyDescent="0.25">
      <c r="B730" s="21">
        <v>0</v>
      </c>
      <c r="C730" s="17">
        <v>0</v>
      </c>
      <c r="D730" s="17">
        <v>0</v>
      </c>
      <c r="E730" s="17">
        <v>0</v>
      </c>
      <c r="F730" s="17">
        <v>0</v>
      </c>
      <c r="G730" s="17">
        <v>0</v>
      </c>
      <c r="H730" s="38">
        <v>0</v>
      </c>
      <c r="I730" s="17" t="str">
        <v/>
      </c>
      <c r="J730" s="17">
        <v>0</v>
      </c>
      <c r="K730" s="38">
        <v>0</v>
      </c>
      <c r="L730" s="17" t="str">
        <v/>
      </c>
      <c r="M730" s="17">
        <v>0</v>
      </c>
      <c r="N730" s="17">
        <v>0</v>
      </c>
      <c r="O730" s="17" t="str">
        <v/>
      </c>
      <c r="P730" s="17" t="str">
        <v/>
      </c>
      <c r="Q730" s="17">
        <v>0</v>
      </c>
      <c r="R730" s="17">
        <v>0</v>
      </c>
      <c r="S730" s="17">
        <v>0</v>
      </c>
      <c r="T730" s="22">
        <v>0</v>
      </c>
    </row>
    <row r="731" spans="2:20" x14ac:dyDescent="0.25">
      <c r="B731" s="21">
        <v>0</v>
      </c>
      <c r="C731" s="17">
        <v>0</v>
      </c>
      <c r="D731" s="17">
        <v>0</v>
      </c>
      <c r="E731" s="17">
        <v>0</v>
      </c>
      <c r="F731" s="17">
        <v>0</v>
      </c>
      <c r="G731" s="17">
        <v>0</v>
      </c>
      <c r="H731" s="38">
        <v>0</v>
      </c>
      <c r="I731" s="17" t="str">
        <v/>
      </c>
      <c r="J731" s="17">
        <v>0</v>
      </c>
      <c r="K731" s="38">
        <v>0</v>
      </c>
      <c r="L731" s="17" t="str">
        <v/>
      </c>
      <c r="M731" s="17">
        <v>0</v>
      </c>
      <c r="N731" s="17">
        <v>0</v>
      </c>
      <c r="O731" s="17" t="str">
        <v/>
      </c>
      <c r="P731" s="17" t="str">
        <v/>
      </c>
      <c r="Q731" s="17">
        <v>0</v>
      </c>
      <c r="R731" s="17">
        <v>0</v>
      </c>
      <c r="S731" s="17">
        <v>0</v>
      </c>
      <c r="T731" s="22">
        <v>0</v>
      </c>
    </row>
    <row r="732" spans="2:20" x14ac:dyDescent="0.25">
      <c r="B732" s="21">
        <v>0</v>
      </c>
      <c r="C732" s="17">
        <v>0</v>
      </c>
      <c r="D732" s="17">
        <v>0</v>
      </c>
      <c r="E732" s="17">
        <v>0</v>
      </c>
      <c r="F732" s="17">
        <v>0</v>
      </c>
      <c r="G732" s="17">
        <v>0</v>
      </c>
      <c r="H732" s="38">
        <v>0</v>
      </c>
      <c r="I732" s="17" t="str">
        <v/>
      </c>
      <c r="J732" s="17">
        <v>0</v>
      </c>
      <c r="K732" s="38">
        <v>0</v>
      </c>
      <c r="L732" s="17" t="str">
        <v/>
      </c>
      <c r="M732" s="17">
        <v>0</v>
      </c>
      <c r="N732" s="17">
        <v>0</v>
      </c>
      <c r="O732" s="17" t="str">
        <v/>
      </c>
      <c r="P732" s="17" t="str">
        <v/>
      </c>
      <c r="Q732" s="17">
        <v>0</v>
      </c>
      <c r="R732" s="17">
        <v>0</v>
      </c>
      <c r="S732" s="17">
        <v>0</v>
      </c>
      <c r="T732" s="22">
        <v>0</v>
      </c>
    </row>
    <row r="733" spans="2:20" x14ac:dyDescent="0.25">
      <c r="B733" s="21">
        <v>0</v>
      </c>
      <c r="C733" s="17">
        <v>0</v>
      </c>
      <c r="D733" s="17">
        <v>0</v>
      </c>
      <c r="E733" s="17">
        <v>0</v>
      </c>
      <c r="F733" s="17">
        <v>0</v>
      </c>
      <c r="G733" s="17">
        <v>0</v>
      </c>
      <c r="H733" s="38">
        <v>0</v>
      </c>
      <c r="I733" s="17" t="str">
        <v/>
      </c>
      <c r="J733" s="17">
        <v>0</v>
      </c>
      <c r="K733" s="38">
        <v>0</v>
      </c>
      <c r="L733" s="17" t="str">
        <v/>
      </c>
      <c r="M733" s="17">
        <v>0</v>
      </c>
      <c r="N733" s="17">
        <v>0</v>
      </c>
      <c r="O733" s="17" t="str">
        <v/>
      </c>
      <c r="P733" s="17" t="str">
        <v/>
      </c>
      <c r="Q733" s="17">
        <v>0</v>
      </c>
      <c r="R733" s="17">
        <v>0</v>
      </c>
      <c r="S733" s="17">
        <v>0</v>
      </c>
      <c r="T733" s="22">
        <v>0</v>
      </c>
    </row>
    <row r="734" spans="2:20" x14ac:dyDescent="0.25">
      <c r="B734" s="21">
        <v>0</v>
      </c>
      <c r="C734" s="17">
        <v>0</v>
      </c>
      <c r="D734" s="17">
        <v>0</v>
      </c>
      <c r="E734" s="17">
        <v>0</v>
      </c>
      <c r="F734" s="17">
        <v>0</v>
      </c>
      <c r="G734" s="17">
        <v>0</v>
      </c>
      <c r="H734" s="38">
        <v>0</v>
      </c>
      <c r="I734" s="17" t="str">
        <v/>
      </c>
      <c r="J734" s="17">
        <v>0</v>
      </c>
      <c r="K734" s="38">
        <v>0</v>
      </c>
      <c r="L734" s="17" t="str">
        <v/>
      </c>
      <c r="M734" s="17">
        <v>0</v>
      </c>
      <c r="N734" s="17">
        <v>0</v>
      </c>
      <c r="O734" s="17" t="str">
        <v/>
      </c>
      <c r="P734" s="17" t="str">
        <v/>
      </c>
      <c r="Q734" s="17">
        <v>0</v>
      </c>
      <c r="R734" s="17">
        <v>0</v>
      </c>
      <c r="S734" s="17">
        <v>0</v>
      </c>
      <c r="T734" s="22">
        <v>0</v>
      </c>
    </row>
    <row r="735" spans="2:20" x14ac:dyDescent="0.25">
      <c r="B735" s="21">
        <v>0</v>
      </c>
      <c r="C735" s="17">
        <v>0</v>
      </c>
      <c r="D735" s="17">
        <v>0</v>
      </c>
      <c r="E735" s="17">
        <v>0</v>
      </c>
      <c r="F735" s="17">
        <v>0</v>
      </c>
      <c r="G735" s="17">
        <v>0</v>
      </c>
      <c r="H735" s="38">
        <v>0</v>
      </c>
      <c r="I735" s="17" t="str">
        <v/>
      </c>
      <c r="J735" s="17">
        <v>0</v>
      </c>
      <c r="K735" s="38">
        <v>0</v>
      </c>
      <c r="L735" s="17" t="str">
        <v/>
      </c>
      <c r="M735" s="17">
        <v>0</v>
      </c>
      <c r="N735" s="17">
        <v>0</v>
      </c>
      <c r="O735" s="17" t="str">
        <v/>
      </c>
      <c r="P735" s="17" t="str">
        <v/>
      </c>
      <c r="Q735" s="17">
        <v>0</v>
      </c>
      <c r="R735" s="17">
        <v>0</v>
      </c>
      <c r="S735" s="17">
        <v>0</v>
      </c>
      <c r="T735" s="22">
        <v>0</v>
      </c>
    </row>
    <row r="736" spans="2:20" x14ac:dyDescent="0.25">
      <c r="B736" s="21">
        <v>0</v>
      </c>
      <c r="C736" s="17">
        <v>0</v>
      </c>
      <c r="D736" s="17">
        <v>0</v>
      </c>
      <c r="E736" s="17">
        <v>0</v>
      </c>
      <c r="F736" s="17">
        <v>0</v>
      </c>
      <c r="G736" s="17">
        <v>0</v>
      </c>
      <c r="H736" s="38">
        <v>0</v>
      </c>
      <c r="I736" s="17" t="str">
        <v/>
      </c>
      <c r="J736" s="17">
        <v>0</v>
      </c>
      <c r="K736" s="38">
        <v>0</v>
      </c>
      <c r="L736" s="17" t="str">
        <v/>
      </c>
      <c r="M736" s="17">
        <v>0</v>
      </c>
      <c r="N736" s="17">
        <v>0</v>
      </c>
      <c r="O736" s="17" t="str">
        <v/>
      </c>
      <c r="P736" s="17" t="str">
        <v/>
      </c>
      <c r="Q736" s="17">
        <v>0</v>
      </c>
      <c r="R736" s="17">
        <v>0</v>
      </c>
      <c r="S736" s="17">
        <v>0</v>
      </c>
      <c r="T736" s="22">
        <v>0</v>
      </c>
    </row>
    <row r="737" spans="2:20" x14ac:dyDescent="0.25">
      <c r="B737" s="21">
        <v>0</v>
      </c>
      <c r="C737" s="17">
        <v>0</v>
      </c>
      <c r="D737" s="17">
        <v>0</v>
      </c>
      <c r="E737" s="17">
        <v>0</v>
      </c>
      <c r="F737" s="17">
        <v>0</v>
      </c>
      <c r="G737" s="17">
        <v>0</v>
      </c>
      <c r="H737" s="38">
        <v>0</v>
      </c>
      <c r="I737" s="17" t="str">
        <v/>
      </c>
      <c r="J737" s="17">
        <v>0</v>
      </c>
      <c r="K737" s="38">
        <v>0</v>
      </c>
      <c r="L737" s="17" t="str">
        <v/>
      </c>
      <c r="M737" s="17">
        <v>0</v>
      </c>
      <c r="N737" s="17">
        <v>0</v>
      </c>
      <c r="O737" s="17" t="str">
        <v/>
      </c>
      <c r="P737" s="17" t="str">
        <v/>
      </c>
      <c r="Q737" s="17">
        <v>0</v>
      </c>
      <c r="R737" s="17">
        <v>0</v>
      </c>
      <c r="S737" s="17">
        <v>0</v>
      </c>
      <c r="T737" s="22">
        <v>0</v>
      </c>
    </row>
    <row r="738" spans="2:20" x14ac:dyDescent="0.25">
      <c r="B738" s="21">
        <v>0</v>
      </c>
      <c r="C738" s="17">
        <v>0</v>
      </c>
      <c r="D738" s="17">
        <v>0</v>
      </c>
      <c r="E738" s="17">
        <v>0</v>
      </c>
      <c r="F738" s="17">
        <v>0</v>
      </c>
      <c r="G738" s="17">
        <v>0</v>
      </c>
      <c r="H738" s="38">
        <v>0</v>
      </c>
      <c r="I738" s="17" t="str">
        <v/>
      </c>
      <c r="J738" s="17">
        <v>0</v>
      </c>
      <c r="K738" s="38">
        <v>0</v>
      </c>
      <c r="L738" s="17" t="str">
        <v/>
      </c>
      <c r="M738" s="17">
        <v>0</v>
      </c>
      <c r="N738" s="17">
        <v>0</v>
      </c>
      <c r="O738" s="17" t="str">
        <v/>
      </c>
      <c r="P738" s="17" t="str">
        <v/>
      </c>
      <c r="Q738" s="17">
        <v>0</v>
      </c>
      <c r="R738" s="17">
        <v>0</v>
      </c>
      <c r="S738" s="17">
        <v>0</v>
      </c>
      <c r="T738" s="22">
        <v>0</v>
      </c>
    </row>
    <row r="739" spans="2:20" x14ac:dyDescent="0.25">
      <c r="B739" s="21">
        <v>0</v>
      </c>
      <c r="C739" s="17">
        <v>0</v>
      </c>
      <c r="D739" s="17">
        <v>0</v>
      </c>
      <c r="E739" s="17">
        <v>0</v>
      </c>
      <c r="F739" s="17">
        <v>0</v>
      </c>
      <c r="G739" s="17">
        <v>0</v>
      </c>
      <c r="H739" s="38">
        <v>0</v>
      </c>
      <c r="I739" s="17" t="str">
        <v/>
      </c>
      <c r="J739" s="17">
        <v>0</v>
      </c>
      <c r="K739" s="38">
        <v>0</v>
      </c>
      <c r="L739" s="17" t="str">
        <v/>
      </c>
      <c r="M739" s="17">
        <v>0</v>
      </c>
      <c r="N739" s="17">
        <v>0</v>
      </c>
      <c r="O739" s="17" t="str">
        <v/>
      </c>
      <c r="P739" s="17" t="str">
        <v/>
      </c>
      <c r="Q739" s="17">
        <v>0</v>
      </c>
      <c r="R739" s="17">
        <v>0</v>
      </c>
      <c r="S739" s="17">
        <v>0</v>
      </c>
      <c r="T739" s="22">
        <v>0</v>
      </c>
    </row>
    <row r="740" spans="2:20" x14ac:dyDescent="0.25">
      <c r="B740" s="21">
        <v>0</v>
      </c>
      <c r="C740" s="17">
        <v>0</v>
      </c>
      <c r="D740" s="17">
        <v>0</v>
      </c>
      <c r="E740" s="17">
        <v>0</v>
      </c>
      <c r="F740" s="17">
        <v>0</v>
      </c>
      <c r="G740" s="17">
        <v>0</v>
      </c>
      <c r="H740" s="38">
        <v>0</v>
      </c>
      <c r="I740" s="17" t="str">
        <v/>
      </c>
      <c r="J740" s="17">
        <v>0</v>
      </c>
      <c r="K740" s="38">
        <v>0</v>
      </c>
      <c r="L740" s="17" t="str">
        <v/>
      </c>
      <c r="M740" s="17">
        <v>0</v>
      </c>
      <c r="N740" s="17">
        <v>0</v>
      </c>
      <c r="O740" s="17" t="str">
        <v/>
      </c>
      <c r="P740" s="17" t="str">
        <v/>
      </c>
      <c r="Q740" s="17">
        <v>0</v>
      </c>
      <c r="R740" s="17">
        <v>0</v>
      </c>
      <c r="S740" s="17">
        <v>0</v>
      </c>
      <c r="T740" s="22">
        <v>0</v>
      </c>
    </row>
    <row r="741" spans="2:20" x14ac:dyDescent="0.25">
      <c r="B741" s="21">
        <v>0</v>
      </c>
      <c r="C741" s="17">
        <v>0</v>
      </c>
      <c r="D741" s="17">
        <v>0</v>
      </c>
      <c r="E741" s="17">
        <v>0</v>
      </c>
      <c r="F741" s="17">
        <v>0</v>
      </c>
      <c r="G741" s="17">
        <v>0</v>
      </c>
      <c r="H741" s="38">
        <v>0</v>
      </c>
      <c r="I741" s="17" t="str">
        <v/>
      </c>
      <c r="J741" s="17">
        <v>0</v>
      </c>
      <c r="K741" s="38">
        <v>0</v>
      </c>
      <c r="L741" s="17" t="str">
        <v/>
      </c>
      <c r="M741" s="17">
        <v>0</v>
      </c>
      <c r="N741" s="17">
        <v>0</v>
      </c>
      <c r="O741" s="17" t="str">
        <v/>
      </c>
      <c r="P741" s="17" t="str">
        <v/>
      </c>
      <c r="Q741" s="17">
        <v>0</v>
      </c>
      <c r="R741" s="17">
        <v>0</v>
      </c>
      <c r="S741" s="17">
        <v>0</v>
      </c>
      <c r="T741" s="22">
        <v>0</v>
      </c>
    </row>
    <row r="742" spans="2:20" x14ac:dyDescent="0.25">
      <c r="B742" s="21">
        <v>0</v>
      </c>
      <c r="C742" s="17">
        <v>0</v>
      </c>
      <c r="D742" s="17">
        <v>0</v>
      </c>
      <c r="E742" s="17">
        <v>0</v>
      </c>
      <c r="F742" s="17">
        <v>0</v>
      </c>
      <c r="G742" s="17">
        <v>0</v>
      </c>
      <c r="H742" s="38">
        <v>0</v>
      </c>
      <c r="I742" s="17" t="str">
        <v/>
      </c>
      <c r="J742" s="17">
        <v>0</v>
      </c>
      <c r="K742" s="38">
        <v>0</v>
      </c>
      <c r="L742" s="17" t="str">
        <v/>
      </c>
      <c r="M742" s="17">
        <v>0</v>
      </c>
      <c r="N742" s="17">
        <v>0</v>
      </c>
      <c r="O742" s="17" t="str">
        <v/>
      </c>
      <c r="P742" s="17" t="str">
        <v/>
      </c>
      <c r="Q742" s="17">
        <v>0</v>
      </c>
      <c r="R742" s="17">
        <v>0</v>
      </c>
      <c r="S742" s="17">
        <v>0</v>
      </c>
      <c r="T742" s="22">
        <v>0</v>
      </c>
    </row>
    <row r="743" spans="2:20" x14ac:dyDescent="0.25">
      <c r="B743" s="21">
        <v>0</v>
      </c>
      <c r="C743" s="17">
        <v>0</v>
      </c>
      <c r="D743" s="17">
        <v>0</v>
      </c>
      <c r="E743" s="17">
        <v>0</v>
      </c>
      <c r="F743" s="17">
        <v>0</v>
      </c>
      <c r="G743" s="17">
        <v>0</v>
      </c>
      <c r="H743" s="38">
        <v>0</v>
      </c>
      <c r="I743" s="17" t="str">
        <v/>
      </c>
      <c r="J743" s="17">
        <v>0</v>
      </c>
      <c r="K743" s="38">
        <v>0</v>
      </c>
      <c r="L743" s="17" t="str">
        <v/>
      </c>
      <c r="M743" s="17">
        <v>0</v>
      </c>
      <c r="N743" s="17">
        <v>0</v>
      </c>
      <c r="O743" s="17" t="str">
        <v/>
      </c>
      <c r="P743" s="17" t="str">
        <v/>
      </c>
      <c r="Q743" s="17">
        <v>0</v>
      </c>
      <c r="R743" s="17">
        <v>0</v>
      </c>
      <c r="S743" s="17">
        <v>0</v>
      </c>
      <c r="T743" s="22">
        <v>0</v>
      </c>
    </row>
    <row r="744" spans="2:20" x14ac:dyDescent="0.25">
      <c r="B744" s="21">
        <v>0</v>
      </c>
      <c r="C744" s="17">
        <v>0</v>
      </c>
      <c r="D744" s="17">
        <v>0</v>
      </c>
      <c r="E744" s="17">
        <v>0</v>
      </c>
      <c r="F744" s="17">
        <v>0</v>
      </c>
      <c r="G744" s="17">
        <v>0</v>
      </c>
      <c r="H744" s="38">
        <v>0</v>
      </c>
      <c r="I744" s="17" t="str">
        <v/>
      </c>
      <c r="J744" s="17">
        <v>0</v>
      </c>
      <c r="K744" s="38">
        <v>0</v>
      </c>
      <c r="L744" s="17" t="str">
        <v/>
      </c>
      <c r="M744" s="17">
        <v>0</v>
      </c>
      <c r="N744" s="17">
        <v>0</v>
      </c>
      <c r="O744" s="17" t="str">
        <v/>
      </c>
      <c r="P744" s="17" t="str">
        <v/>
      </c>
      <c r="Q744" s="17">
        <v>0</v>
      </c>
      <c r="R744" s="17">
        <v>0</v>
      </c>
      <c r="S744" s="17">
        <v>0</v>
      </c>
      <c r="T744" s="22">
        <v>0</v>
      </c>
    </row>
    <row r="745" spans="2:20" x14ac:dyDescent="0.25">
      <c r="B745" s="21">
        <v>0</v>
      </c>
      <c r="C745" s="17">
        <v>0</v>
      </c>
      <c r="D745" s="17">
        <v>0</v>
      </c>
      <c r="E745" s="17">
        <v>0</v>
      </c>
      <c r="F745" s="17">
        <v>0</v>
      </c>
      <c r="G745" s="17">
        <v>0</v>
      </c>
      <c r="H745" s="38">
        <v>0</v>
      </c>
      <c r="I745" s="17" t="str">
        <v/>
      </c>
      <c r="J745" s="17">
        <v>0</v>
      </c>
      <c r="K745" s="38">
        <v>0</v>
      </c>
      <c r="L745" s="17" t="str">
        <v/>
      </c>
      <c r="M745" s="17">
        <v>0</v>
      </c>
      <c r="N745" s="17">
        <v>0</v>
      </c>
      <c r="O745" s="17" t="str">
        <v/>
      </c>
      <c r="P745" s="17" t="str">
        <v/>
      </c>
      <c r="Q745" s="17">
        <v>0</v>
      </c>
      <c r="R745" s="17">
        <v>0</v>
      </c>
      <c r="S745" s="17">
        <v>0</v>
      </c>
      <c r="T745" s="22">
        <v>0</v>
      </c>
    </row>
    <row r="746" spans="2:20" x14ac:dyDescent="0.25">
      <c r="B746" s="21">
        <v>0</v>
      </c>
      <c r="C746" s="17">
        <v>0</v>
      </c>
      <c r="D746" s="17">
        <v>0</v>
      </c>
      <c r="E746" s="17">
        <v>0</v>
      </c>
      <c r="F746" s="17">
        <v>0</v>
      </c>
      <c r="G746" s="17">
        <v>0</v>
      </c>
      <c r="H746" s="38">
        <v>0</v>
      </c>
      <c r="I746" s="17" t="str">
        <v/>
      </c>
      <c r="J746" s="17">
        <v>0</v>
      </c>
      <c r="K746" s="38">
        <v>0</v>
      </c>
      <c r="L746" s="17" t="str">
        <v/>
      </c>
      <c r="M746" s="17">
        <v>0</v>
      </c>
      <c r="N746" s="17">
        <v>0</v>
      </c>
      <c r="O746" s="17" t="str">
        <v/>
      </c>
      <c r="P746" s="17" t="str">
        <v/>
      </c>
      <c r="Q746" s="17">
        <v>0</v>
      </c>
      <c r="R746" s="17">
        <v>0</v>
      </c>
      <c r="S746" s="17">
        <v>0</v>
      </c>
      <c r="T746" s="22">
        <v>0</v>
      </c>
    </row>
    <row r="747" spans="2:20" x14ac:dyDescent="0.25">
      <c r="B747" s="21">
        <v>0</v>
      </c>
      <c r="C747" s="17">
        <v>0</v>
      </c>
      <c r="D747" s="17">
        <v>0</v>
      </c>
      <c r="E747" s="17">
        <v>0</v>
      </c>
      <c r="F747" s="17">
        <v>0</v>
      </c>
      <c r="G747" s="17">
        <v>0</v>
      </c>
      <c r="H747" s="38">
        <v>0</v>
      </c>
      <c r="I747" s="17" t="str">
        <v/>
      </c>
      <c r="J747" s="17">
        <v>0</v>
      </c>
      <c r="K747" s="38">
        <v>0</v>
      </c>
      <c r="L747" s="17" t="str">
        <v/>
      </c>
      <c r="M747" s="17">
        <v>0</v>
      </c>
      <c r="N747" s="17">
        <v>0</v>
      </c>
      <c r="O747" s="17" t="str">
        <v/>
      </c>
      <c r="P747" s="17" t="str">
        <v/>
      </c>
      <c r="Q747" s="17">
        <v>0</v>
      </c>
      <c r="R747" s="17">
        <v>0</v>
      </c>
      <c r="S747" s="17">
        <v>0</v>
      </c>
      <c r="T747" s="22">
        <v>0</v>
      </c>
    </row>
    <row r="748" spans="2:20" x14ac:dyDescent="0.25">
      <c r="B748" s="21">
        <v>0</v>
      </c>
      <c r="C748" s="17">
        <v>0</v>
      </c>
      <c r="D748" s="17">
        <v>0</v>
      </c>
      <c r="E748" s="17">
        <v>0</v>
      </c>
      <c r="F748" s="17">
        <v>0</v>
      </c>
      <c r="G748" s="17">
        <v>0</v>
      </c>
      <c r="H748" s="38">
        <v>0</v>
      </c>
      <c r="I748" s="17" t="str">
        <v/>
      </c>
      <c r="J748" s="17">
        <v>0</v>
      </c>
      <c r="K748" s="38">
        <v>0</v>
      </c>
      <c r="L748" s="17" t="str">
        <v/>
      </c>
      <c r="M748" s="17">
        <v>0</v>
      </c>
      <c r="N748" s="17">
        <v>0</v>
      </c>
      <c r="O748" s="17" t="str">
        <v/>
      </c>
      <c r="P748" s="17" t="str">
        <v/>
      </c>
      <c r="Q748" s="17">
        <v>0</v>
      </c>
      <c r="R748" s="17">
        <v>0</v>
      </c>
      <c r="S748" s="17">
        <v>0</v>
      </c>
      <c r="T748" s="22">
        <v>0</v>
      </c>
    </row>
    <row r="749" spans="2:20" x14ac:dyDescent="0.25">
      <c r="B749" s="21">
        <v>0</v>
      </c>
      <c r="C749" s="17">
        <v>0</v>
      </c>
      <c r="D749" s="17">
        <v>0</v>
      </c>
      <c r="E749" s="17">
        <v>0</v>
      </c>
      <c r="F749" s="17">
        <v>0</v>
      </c>
      <c r="G749" s="17">
        <v>0</v>
      </c>
      <c r="H749" s="38">
        <v>0</v>
      </c>
      <c r="I749" s="17" t="str">
        <v/>
      </c>
      <c r="J749" s="17">
        <v>0</v>
      </c>
      <c r="K749" s="38">
        <v>0</v>
      </c>
      <c r="L749" s="17" t="str">
        <v/>
      </c>
      <c r="M749" s="17">
        <v>0</v>
      </c>
      <c r="N749" s="17">
        <v>0</v>
      </c>
      <c r="O749" s="17" t="str">
        <v/>
      </c>
      <c r="P749" s="17" t="str">
        <v/>
      </c>
      <c r="Q749" s="17">
        <v>0</v>
      </c>
      <c r="R749" s="17">
        <v>0</v>
      </c>
      <c r="S749" s="17">
        <v>0</v>
      </c>
      <c r="T749" s="22">
        <v>0</v>
      </c>
    </row>
    <row r="750" spans="2:20" x14ac:dyDescent="0.25">
      <c r="B750" s="21">
        <v>0</v>
      </c>
      <c r="C750" s="17">
        <v>0</v>
      </c>
      <c r="D750" s="17">
        <v>0</v>
      </c>
      <c r="E750" s="17">
        <v>0</v>
      </c>
      <c r="F750" s="17">
        <v>0</v>
      </c>
      <c r="G750" s="17">
        <v>0</v>
      </c>
      <c r="H750" s="38">
        <v>0</v>
      </c>
      <c r="I750" s="17" t="str">
        <v/>
      </c>
      <c r="J750" s="17">
        <v>0</v>
      </c>
      <c r="K750" s="38">
        <v>0</v>
      </c>
      <c r="L750" s="17" t="str">
        <v/>
      </c>
      <c r="M750" s="17">
        <v>0</v>
      </c>
      <c r="N750" s="17">
        <v>0</v>
      </c>
      <c r="O750" s="17" t="str">
        <v/>
      </c>
      <c r="P750" s="17" t="str">
        <v/>
      </c>
      <c r="Q750" s="17">
        <v>0</v>
      </c>
      <c r="R750" s="17">
        <v>0</v>
      </c>
      <c r="S750" s="17">
        <v>0</v>
      </c>
      <c r="T750" s="22">
        <v>0</v>
      </c>
    </row>
    <row r="751" spans="2:20" x14ac:dyDescent="0.25">
      <c r="B751" s="21">
        <v>0</v>
      </c>
      <c r="C751" s="17">
        <v>0</v>
      </c>
      <c r="D751" s="17">
        <v>0</v>
      </c>
      <c r="E751" s="17">
        <v>0</v>
      </c>
      <c r="F751" s="17">
        <v>0</v>
      </c>
      <c r="G751" s="17">
        <v>0</v>
      </c>
      <c r="H751" s="38">
        <v>0</v>
      </c>
      <c r="I751" s="17" t="str">
        <v/>
      </c>
      <c r="J751" s="17">
        <v>0</v>
      </c>
      <c r="K751" s="38">
        <v>0</v>
      </c>
      <c r="L751" s="17" t="str">
        <v/>
      </c>
      <c r="M751" s="17">
        <v>0</v>
      </c>
      <c r="N751" s="17">
        <v>0</v>
      </c>
      <c r="O751" s="17" t="str">
        <v/>
      </c>
      <c r="P751" s="17" t="str">
        <v/>
      </c>
      <c r="Q751" s="17">
        <v>0</v>
      </c>
      <c r="R751" s="17">
        <v>0</v>
      </c>
      <c r="S751" s="17">
        <v>0</v>
      </c>
      <c r="T751" s="22">
        <v>0</v>
      </c>
    </row>
    <row r="752" spans="2:20" x14ac:dyDescent="0.25">
      <c r="B752" s="21">
        <v>0</v>
      </c>
      <c r="C752" s="17">
        <v>0</v>
      </c>
      <c r="D752" s="17">
        <v>0</v>
      </c>
      <c r="E752" s="17">
        <v>0</v>
      </c>
      <c r="F752" s="17">
        <v>0</v>
      </c>
      <c r="G752" s="17">
        <v>0</v>
      </c>
      <c r="H752" s="38">
        <v>0</v>
      </c>
      <c r="I752" s="17" t="str">
        <v/>
      </c>
      <c r="J752" s="17">
        <v>0</v>
      </c>
      <c r="K752" s="38">
        <v>0</v>
      </c>
      <c r="L752" s="17" t="str">
        <v/>
      </c>
      <c r="M752" s="17">
        <v>0</v>
      </c>
      <c r="N752" s="17">
        <v>0</v>
      </c>
      <c r="O752" s="17" t="str">
        <v/>
      </c>
      <c r="P752" s="17" t="str">
        <v/>
      </c>
      <c r="Q752" s="17">
        <v>0</v>
      </c>
      <c r="R752" s="17">
        <v>0</v>
      </c>
      <c r="S752" s="17">
        <v>0</v>
      </c>
      <c r="T752" s="22">
        <v>0</v>
      </c>
    </row>
    <row r="753" spans="2:20" x14ac:dyDescent="0.25">
      <c r="B753" s="21">
        <v>0</v>
      </c>
      <c r="C753" s="17">
        <v>0</v>
      </c>
      <c r="D753" s="17">
        <v>0</v>
      </c>
      <c r="E753" s="17">
        <v>0</v>
      </c>
      <c r="F753" s="17">
        <v>0</v>
      </c>
      <c r="G753" s="17">
        <v>0</v>
      </c>
      <c r="H753" s="38">
        <v>0</v>
      </c>
      <c r="I753" s="17" t="str">
        <v/>
      </c>
      <c r="J753" s="17">
        <v>0</v>
      </c>
      <c r="K753" s="38">
        <v>0</v>
      </c>
      <c r="L753" s="17" t="str">
        <v/>
      </c>
      <c r="M753" s="17">
        <v>0</v>
      </c>
      <c r="N753" s="17">
        <v>0</v>
      </c>
      <c r="O753" s="17" t="str">
        <v/>
      </c>
      <c r="P753" s="17" t="str">
        <v/>
      </c>
      <c r="Q753" s="17">
        <v>0</v>
      </c>
      <c r="R753" s="17">
        <v>0</v>
      </c>
      <c r="S753" s="17">
        <v>0</v>
      </c>
      <c r="T753" s="22">
        <v>0</v>
      </c>
    </row>
    <row r="754" spans="2:20" x14ac:dyDescent="0.25">
      <c r="B754" s="21">
        <v>0</v>
      </c>
      <c r="C754" s="17">
        <v>0</v>
      </c>
      <c r="D754" s="17">
        <v>0</v>
      </c>
      <c r="E754" s="17">
        <v>0</v>
      </c>
      <c r="F754" s="17">
        <v>0</v>
      </c>
      <c r="G754" s="17">
        <v>0</v>
      </c>
      <c r="H754" s="38">
        <v>0</v>
      </c>
      <c r="I754" s="17" t="str">
        <v/>
      </c>
      <c r="J754" s="17">
        <v>0</v>
      </c>
      <c r="K754" s="38">
        <v>0</v>
      </c>
      <c r="L754" s="17" t="str">
        <v/>
      </c>
      <c r="M754" s="17">
        <v>0</v>
      </c>
      <c r="N754" s="17">
        <v>0</v>
      </c>
      <c r="O754" s="17" t="str">
        <v/>
      </c>
      <c r="P754" s="17" t="str">
        <v/>
      </c>
      <c r="Q754" s="17">
        <v>0</v>
      </c>
      <c r="R754" s="17">
        <v>0</v>
      </c>
      <c r="S754" s="17">
        <v>0</v>
      </c>
      <c r="T754" s="22">
        <v>0</v>
      </c>
    </row>
    <row r="755" spans="2:20" x14ac:dyDescent="0.25">
      <c r="B755" s="21">
        <v>0</v>
      </c>
      <c r="C755" s="17">
        <v>0</v>
      </c>
      <c r="D755" s="17">
        <v>0</v>
      </c>
      <c r="E755" s="17">
        <v>0</v>
      </c>
      <c r="F755" s="17">
        <v>0</v>
      </c>
      <c r="G755" s="17">
        <v>0</v>
      </c>
      <c r="H755" s="38">
        <v>0</v>
      </c>
      <c r="I755" s="17" t="str">
        <v/>
      </c>
      <c r="J755" s="17">
        <v>0</v>
      </c>
      <c r="K755" s="38">
        <v>0</v>
      </c>
      <c r="L755" s="17" t="str">
        <v/>
      </c>
      <c r="M755" s="17">
        <v>0</v>
      </c>
      <c r="N755" s="17">
        <v>0</v>
      </c>
      <c r="O755" s="17" t="str">
        <v/>
      </c>
      <c r="P755" s="17" t="str">
        <v/>
      </c>
      <c r="Q755" s="17">
        <v>0</v>
      </c>
      <c r="R755" s="17">
        <v>0</v>
      </c>
      <c r="S755" s="17">
        <v>0</v>
      </c>
      <c r="T755" s="22">
        <v>0</v>
      </c>
    </row>
    <row r="756" spans="2:20" x14ac:dyDescent="0.25">
      <c r="B756" s="21">
        <v>0</v>
      </c>
      <c r="C756" s="17">
        <v>0</v>
      </c>
      <c r="D756" s="17">
        <v>0</v>
      </c>
      <c r="E756" s="17">
        <v>0</v>
      </c>
      <c r="F756" s="17">
        <v>0</v>
      </c>
      <c r="G756" s="17">
        <v>0</v>
      </c>
      <c r="H756" s="38">
        <v>0</v>
      </c>
      <c r="I756" s="17" t="str">
        <v/>
      </c>
      <c r="J756" s="17">
        <v>0</v>
      </c>
      <c r="K756" s="38">
        <v>0</v>
      </c>
      <c r="L756" s="17" t="str">
        <v/>
      </c>
      <c r="M756" s="17">
        <v>0</v>
      </c>
      <c r="N756" s="17">
        <v>0</v>
      </c>
      <c r="O756" s="17" t="str">
        <v/>
      </c>
      <c r="P756" s="17" t="str">
        <v/>
      </c>
      <c r="Q756" s="17">
        <v>0</v>
      </c>
      <c r="R756" s="17">
        <v>0</v>
      </c>
      <c r="S756" s="17">
        <v>0</v>
      </c>
      <c r="T756" s="22">
        <v>0</v>
      </c>
    </row>
    <row r="757" spans="2:20" x14ac:dyDescent="0.25">
      <c r="B757" s="21">
        <v>0</v>
      </c>
      <c r="C757" s="17">
        <v>0</v>
      </c>
      <c r="D757" s="17">
        <v>0</v>
      </c>
      <c r="E757" s="17">
        <v>0</v>
      </c>
      <c r="F757" s="17">
        <v>0</v>
      </c>
      <c r="G757" s="17">
        <v>0</v>
      </c>
      <c r="H757" s="38">
        <v>0</v>
      </c>
      <c r="I757" s="17" t="str">
        <v/>
      </c>
      <c r="J757" s="17">
        <v>0</v>
      </c>
      <c r="K757" s="38">
        <v>0</v>
      </c>
      <c r="L757" s="17" t="str">
        <v/>
      </c>
      <c r="M757" s="17">
        <v>0</v>
      </c>
      <c r="N757" s="17">
        <v>0</v>
      </c>
      <c r="O757" s="17" t="str">
        <v/>
      </c>
      <c r="P757" s="17" t="str">
        <v/>
      </c>
      <c r="Q757" s="17">
        <v>0</v>
      </c>
      <c r="R757" s="17">
        <v>0</v>
      </c>
      <c r="S757" s="17">
        <v>0</v>
      </c>
      <c r="T757" s="22">
        <v>0</v>
      </c>
    </row>
    <row r="758" spans="2:20" x14ac:dyDescent="0.25">
      <c r="B758" s="21">
        <v>0</v>
      </c>
      <c r="C758" s="17">
        <v>0</v>
      </c>
      <c r="D758" s="17">
        <v>0</v>
      </c>
      <c r="E758" s="17">
        <v>0</v>
      </c>
      <c r="F758" s="17">
        <v>0</v>
      </c>
      <c r="G758" s="17">
        <v>0</v>
      </c>
      <c r="H758" s="38">
        <v>0</v>
      </c>
      <c r="I758" s="17" t="str">
        <v/>
      </c>
      <c r="J758" s="17">
        <v>0</v>
      </c>
      <c r="K758" s="38">
        <v>0</v>
      </c>
      <c r="L758" s="17" t="str">
        <v/>
      </c>
      <c r="M758" s="17">
        <v>0</v>
      </c>
      <c r="N758" s="17">
        <v>0</v>
      </c>
      <c r="O758" s="17" t="str">
        <v/>
      </c>
      <c r="P758" s="17" t="str">
        <v/>
      </c>
      <c r="Q758" s="17">
        <v>0</v>
      </c>
      <c r="R758" s="17">
        <v>0</v>
      </c>
      <c r="S758" s="17">
        <v>0</v>
      </c>
      <c r="T758" s="22">
        <v>0</v>
      </c>
    </row>
    <row r="759" spans="2:20" x14ac:dyDescent="0.25">
      <c r="B759" s="21">
        <v>0</v>
      </c>
      <c r="C759" s="17">
        <v>0</v>
      </c>
      <c r="D759" s="17">
        <v>0</v>
      </c>
      <c r="E759" s="17">
        <v>0</v>
      </c>
      <c r="F759" s="17">
        <v>0</v>
      </c>
      <c r="G759" s="17">
        <v>0</v>
      </c>
      <c r="H759" s="38">
        <v>0</v>
      </c>
      <c r="I759" s="17" t="str">
        <v/>
      </c>
      <c r="J759" s="17">
        <v>0</v>
      </c>
      <c r="K759" s="38">
        <v>0</v>
      </c>
      <c r="L759" s="17" t="str">
        <v/>
      </c>
      <c r="M759" s="17">
        <v>0</v>
      </c>
      <c r="N759" s="17">
        <v>0</v>
      </c>
      <c r="O759" s="17" t="str">
        <v/>
      </c>
      <c r="P759" s="17" t="str">
        <v/>
      </c>
      <c r="Q759" s="17">
        <v>0</v>
      </c>
      <c r="R759" s="17">
        <v>0</v>
      </c>
      <c r="S759" s="17">
        <v>0</v>
      </c>
      <c r="T759" s="22">
        <v>0</v>
      </c>
    </row>
    <row r="760" spans="2:20" x14ac:dyDescent="0.25">
      <c r="B760" s="21">
        <v>0</v>
      </c>
      <c r="C760" s="17">
        <v>0</v>
      </c>
      <c r="D760" s="17">
        <v>0</v>
      </c>
      <c r="E760" s="17">
        <v>0</v>
      </c>
      <c r="F760" s="17">
        <v>0</v>
      </c>
      <c r="G760" s="17">
        <v>0</v>
      </c>
      <c r="H760" s="38">
        <v>0</v>
      </c>
      <c r="I760" s="17" t="str">
        <v/>
      </c>
      <c r="J760" s="17">
        <v>0</v>
      </c>
      <c r="K760" s="38">
        <v>0</v>
      </c>
      <c r="L760" s="17" t="str">
        <v/>
      </c>
      <c r="M760" s="17">
        <v>0</v>
      </c>
      <c r="N760" s="17">
        <v>0</v>
      </c>
      <c r="O760" s="17" t="str">
        <v/>
      </c>
      <c r="P760" s="17" t="str">
        <v/>
      </c>
      <c r="Q760" s="17">
        <v>0</v>
      </c>
      <c r="R760" s="17">
        <v>0</v>
      </c>
      <c r="S760" s="17">
        <v>0</v>
      </c>
      <c r="T760" s="22">
        <v>0</v>
      </c>
    </row>
    <row r="761" spans="2:20" x14ac:dyDescent="0.25">
      <c r="B761" s="21">
        <v>0</v>
      </c>
      <c r="C761" s="17">
        <v>0</v>
      </c>
      <c r="D761" s="17">
        <v>0</v>
      </c>
      <c r="E761" s="17">
        <v>0</v>
      </c>
      <c r="F761" s="17">
        <v>0</v>
      </c>
      <c r="G761" s="17">
        <v>0</v>
      </c>
      <c r="H761" s="38">
        <v>0</v>
      </c>
      <c r="I761" s="17" t="str">
        <v/>
      </c>
      <c r="J761" s="17">
        <v>0</v>
      </c>
      <c r="K761" s="38">
        <v>0</v>
      </c>
      <c r="L761" s="17" t="str">
        <v/>
      </c>
      <c r="M761" s="17">
        <v>0</v>
      </c>
      <c r="N761" s="17">
        <v>0</v>
      </c>
      <c r="O761" s="17" t="str">
        <v/>
      </c>
      <c r="P761" s="17" t="str">
        <v/>
      </c>
      <c r="Q761" s="17">
        <v>0</v>
      </c>
      <c r="R761" s="17">
        <v>0</v>
      </c>
      <c r="S761" s="17">
        <v>0</v>
      </c>
      <c r="T761" s="22">
        <v>0</v>
      </c>
    </row>
    <row r="762" spans="2:20" x14ac:dyDescent="0.25">
      <c r="B762" s="21">
        <v>0</v>
      </c>
      <c r="C762" s="17">
        <v>0</v>
      </c>
      <c r="D762" s="17">
        <v>0</v>
      </c>
      <c r="E762" s="17">
        <v>0</v>
      </c>
      <c r="F762" s="17">
        <v>0</v>
      </c>
      <c r="G762" s="17">
        <v>0</v>
      </c>
      <c r="H762" s="38">
        <v>0</v>
      </c>
      <c r="I762" s="17" t="str">
        <v/>
      </c>
      <c r="J762" s="17">
        <v>0</v>
      </c>
      <c r="K762" s="38">
        <v>0</v>
      </c>
      <c r="L762" s="17" t="str">
        <v/>
      </c>
      <c r="M762" s="17">
        <v>0</v>
      </c>
      <c r="N762" s="17">
        <v>0</v>
      </c>
      <c r="O762" s="17" t="str">
        <v/>
      </c>
      <c r="P762" s="17" t="str">
        <v/>
      </c>
      <c r="Q762" s="17">
        <v>0</v>
      </c>
      <c r="R762" s="17">
        <v>0</v>
      </c>
      <c r="S762" s="17">
        <v>0</v>
      </c>
      <c r="T762" s="22">
        <v>0</v>
      </c>
    </row>
    <row r="763" spans="2:20" x14ac:dyDescent="0.25">
      <c r="B763" s="21">
        <v>0</v>
      </c>
      <c r="C763" s="17">
        <v>0</v>
      </c>
      <c r="D763" s="17">
        <v>0</v>
      </c>
      <c r="E763" s="17">
        <v>0</v>
      </c>
      <c r="F763" s="17">
        <v>0</v>
      </c>
      <c r="G763" s="17">
        <v>0</v>
      </c>
      <c r="H763" s="38">
        <v>0</v>
      </c>
      <c r="I763" s="17" t="str">
        <v/>
      </c>
      <c r="J763" s="17">
        <v>0</v>
      </c>
      <c r="K763" s="38">
        <v>0</v>
      </c>
      <c r="L763" s="17" t="str">
        <v/>
      </c>
      <c r="M763" s="17">
        <v>0</v>
      </c>
      <c r="N763" s="17">
        <v>0</v>
      </c>
      <c r="O763" s="17" t="str">
        <v/>
      </c>
      <c r="P763" s="17" t="str">
        <v/>
      </c>
      <c r="Q763" s="17">
        <v>0</v>
      </c>
      <c r="R763" s="17">
        <v>0</v>
      </c>
      <c r="S763" s="17">
        <v>0</v>
      </c>
      <c r="T763" s="22">
        <v>0</v>
      </c>
    </row>
    <row r="764" spans="2:20" x14ac:dyDescent="0.25">
      <c r="B764" s="21">
        <v>0</v>
      </c>
      <c r="C764" s="17">
        <v>0</v>
      </c>
      <c r="D764" s="17">
        <v>0</v>
      </c>
      <c r="E764" s="17">
        <v>0</v>
      </c>
      <c r="F764" s="17">
        <v>0</v>
      </c>
      <c r="G764" s="17">
        <v>0</v>
      </c>
      <c r="H764" s="38">
        <v>0</v>
      </c>
      <c r="I764" s="17" t="str">
        <v/>
      </c>
      <c r="J764" s="17">
        <v>0</v>
      </c>
      <c r="K764" s="38">
        <v>0</v>
      </c>
      <c r="L764" s="17" t="str">
        <v/>
      </c>
      <c r="M764" s="17">
        <v>0</v>
      </c>
      <c r="N764" s="17">
        <v>0</v>
      </c>
      <c r="O764" s="17" t="str">
        <v/>
      </c>
      <c r="P764" s="17" t="str">
        <v/>
      </c>
      <c r="Q764" s="17">
        <v>0</v>
      </c>
      <c r="R764" s="17">
        <v>0</v>
      </c>
      <c r="S764" s="17">
        <v>0</v>
      </c>
      <c r="T764" s="22">
        <v>0</v>
      </c>
    </row>
    <row r="765" spans="2:20" x14ac:dyDescent="0.25">
      <c r="B765" s="21">
        <v>0</v>
      </c>
      <c r="C765" s="17">
        <v>0</v>
      </c>
      <c r="D765" s="17">
        <v>0</v>
      </c>
      <c r="E765" s="17">
        <v>0</v>
      </c>
      <c r="F765" s="17">
        <v>0</v>
      </c>
      <c r="G765" s="17">
        <v>0</v>
      </c>
      <c r="H765" s="38">
        <v>0</v>
      </c>
      <c r="I765" s="17" t="str">
        <v/>
      </c>
      <c r="J765" s="17">
        <v>0</v>
      </c>
      <c r="K765" s="38">
        <v>0</v>
      </c>
      <c r="L765" s="17" t="str">
        <v/>
      </c>
      <c r="M765" s="17">
        <v>0</v>
      </c>
      <c r="N765" s="17">
        <v>0</v>
      </c>
      <c r="O765" s="17" t="str">
        <v/>
      </c>
      <c r="P765" s="17" t="str">
        <v/>
      </c>
      <c r="Q765" s="17">
        <v>0</v>
      </c>
      <c r="R765" s="17">
        <v>0</v>
      </c>
      <c r="S765" s="17">
        <v>0</v>
      </c>
      <c r="T765" s="22">
        <v>0</v>
      </c>
    </row>
    <row r="766" spans="2:20" x14ac:dyDescent="0.25">
      <c r="B766" s="21">
        <v>0</v>
      </c>
      <c r="C766" s="17">
        <v>0</v>
      </c>
      <c r="D766" s="17">
        <v>0</v>
      </c>
      <c r="E766" s="17">
        <v>0</v>
      </c>
      <c r="F766" s="17">
        <v>0</v>
      </c>
      <c r="G766" s="17">
        <v>0</v>
      </c>
      <c r="H766" s="38">
        <v>0</v>
      </c>
      <c r="I766" s="17" t="str">
        <v/>
      </c>
      <c r="J766" s="17">
        <v>0</v>
      </c>
      <c r="K766" s="38">
        <v>0</v>
      </c>
      <c r="L766" s="17" t="str">
        <v/>
      </c>
      <c r="M766" s="17">
        <v>0</v>
      </c>
      <c r="N766" s="17">
        <v>0</v>
      </c>
      <c r="O766" s="17" t="str">
        <v/>
      </c>
      <c r="P766" s="17" t="str">
        <v/>
      </c>
      <c r="Q766" s="17">
        <v>0</v>
      </c>
      <c r="R766" s="17">
        <v>0</v>
      </c>
      <c r="S766" s="17">
        <v>0</v>
      </c>
      <c r="T766" s="22">
        <v>0</v>
      </c>
    </row>
    <row r="767" spans="2:20" x14ac:dyDescent="0.25">
      <c r="B767" s="21">
        <v>0</v>
      </c>
      <c r="C767" s="17">
        <v>0</v>
      </c>
      <c r="D767" s="17">
        <v>0</v>
      </c>
      <c r="E767" s="17">
        <v>0</v>
      </c>
      <c r="F767" s="17">
        <v>0</v>
      </c>
      <c r="G767" s="17">
        <v>0</v>
      </c>
      <c r="H767" s="38">
        <v>0</v>
      </c>
      <c r="I767" s="17" t="str">
        <v/>
      </c>
      <c r="J767" s="17">
        <v>0</v>
      </c>
      <c r="K767" s="38">
        <v>0</v>
      </c>
      <c r="L767" s="17" t="str">
        <v/>
      </c>
      <c r="M767" s="17">
        <v>0</v>
      </c>
      <c r="N767" s="17">
        <v>0</v>
      </c>
      <c r="O767" s="17" t="str">
        <v/>
      </c>
      <c r="P767" s="17" t="str">
        <v/>
      </c>
      <c r="Q767" s="17">
        <v>0</v>
      </c>
      <c r="R767" s="17">
        <v>0</v>
      </c>
      <c r="S767" s="17">
        <v>0</v>
      </c>
      <c r="T767" s="22">
        <v>0</v>
      </c>
    </row>
    <row r="768" spans="2:20" x14ac:dyDescent="0.25">
      <c r="B768" s="21">
        <v>0</v>
      </c>
      <c r="C768" s="17">
        <v>0</v>
      </c>
      <c r="D768" s="17">
        <v>0</v>
      </c>
      <c r="E768" s="17">
        <v>0</v>
      </c>
      <c r="F768" s="17">
        <v>0</v>
      </c>
      <c r="G768" s="17">
        <v>0</v>
      </c>
      <c r="H768" s="38">
        <v>0</v>
      </c>
      <c r="I768" s="17" t="str">
        <v/>
      </c>
      <c r="J768" s="17">
        <v>0</v>
      </c>
      <c r="K768" s="38">
        <v>0</v>
      </c>
      <c r="L768" s="17" t="str">
        <v/>
      </c>
      <c r="M768" s="17">
        <v>0</v>
      </c>
      <c r="N768" s="17">
        <v>0</v>
      </c>
      <c r="O768" s="17" t="str">
        <v/>
      </c>
      <c r="P768" s="17" t="str">
        <v/>
      </c>
      <c r="Q768" s="17">
        <v>0</v>
      </c>
      <c r="R768" s="17">
        <v>0</v>
      </c>
      <c r="S768" s="17">
        <v>0</v>
      </c>
      <c r="T768" s="22">
        <v>0</v>
      </c>
    </row>
    <row r="769" spans="2:20" x14ac:dyDescent="0.25">
      <c r="B769" s="21">
        <v>0</v>
      </c>
      <c r="C769" s="17">
        <v>0</v>
      </c>
      <c r="D769" s="17">
        <v>0</v>
      </c>
      <c r="E769" s="17">
        <v>0</v>
      </c>
      <c r="F769" s="17">
        <v>0</v>
      </c>
      <c r="G769" s="17">
        <v>0</v>
      </c>
      <c r="H769" s="38">
        <v>0</v>
      </c>
      <c r="I769" s="17" t="str">
        <v/>
      </c>
      <c r="J769" s="17">
        <v>0</v>
      </c>
      <c r="K769" s="38">
        <v>0</v>
      </c>
      <c r="L769" s="17" t="str">
        <v/>
      </c>
      <c r="M769" s="17">
        <v>0</v>
      </c>
      <c r="N769" s="17">
        <v>0</v>
      </c>
      <c r="O769" s="17" t="str">
        <v/>
      </c>
      <c r="P769" s="17" t="str">
        <v/>
      </c>
      <c r="Q769" s="17">
        <v>0</v>
      </c>
      <c r="R769" s="17">
        <v>0</v>
      </c>
      <c r="S769" s="17">
        <v>0</v>
      </c>
      <c r="T769" s="22">
        <v>0</v>
      </c>
    </row>
    <row r="770" spans="2:20" x14ac:dyDescent="0.25">
      <c r="B770" s="21">
        <v>0</v>
      </c>
      <c r="C770" s="17">
        <v>0</v>
      </c>
      <c r="D770" s="17">
        <v>0</v>
      </c>
      <c r="E770" s="17">
        <v>0</v>
      </c>
      <c r="F770" s="17">
        <v>0</v>
      </c>
      <c r="G770" s="17">
        <v>0</v>
      </c>
      <c r="H770" s="38">
        <v>0</v>
      </c>
      <c r="I770" s="17" t="str">
        <v/>
      </c>
      <c r="J770" s="17">
        <v>0</v>
      </c>
      <c r="K770" s="38">
        <v>0</v>
      </c>
      <c r="L770" s="17" t="str">
        <v/>
      </c>
      <c r="M770" s="17">
        <v>0</v>
      </c>
      <c r="N770" s="17">
        <v>0</v>
      </c>
      <c r="O770" s="17" t="str">
        <v/>
      </c>
      <c r="P770" s="17" t="str">
        <v/>
      </c>
      <c r="Q770" s="17">
        <v>0</v>
      </c>
      <c r="R770" s="17">
        <v>0</v>
      </c>
      <c r="S770" s="17">
        <v>0</v>
      </c>
      <c r="T770" s="22">
        <v>0</v>
      </c>
    </row>
    <row r="771" spans="2:20" x14ac:dyDescent="0.25">
      <c r="B771" s="21">
        <v>0</v>
      </c>
      <c r="C771" s="17">
        <v>0</v>
      </c>
      <c r="D771" s="17">
        <v>0</v>
      </c>
      <c r="E771" s="17">
        <v>0</v>
      </c>
      <c r="F771" s="17">
        <v>0</v>
      </c>
      <c r="G771" s="17">
        <v>0</v>
      </c>
      <c r="H771" s="38">
        <v>0</v>
      </c>
      <c r="I771" s="17" t="str">
        <v/>
      </c>
      <c r="J771" s="17">
        <v>0</v>
      </c>
      <c r="K771" s="38">
        <v>0</v>
      </c>
      <c r="L771" s="17" t="str">
        <v/>
      </c>
      <c r="M771" s="17">
        <v>0</v>
      </c>
      <c r="N771" s="17">
        <v>0</v>
      </c>
      <c r="O771" s="17" t="str">
        <v/>
      </c>
      <c r="P771" s="17" t="str">
        <v/>
      </c>
      <c r="Q771" s="17">
        <v>0</v>
      </c>
      <c r="R771" s="17">
        <v>0</v>
      </c>
      <c r="S771" s="17">
        <v>0</v>
      </c>
      <c r="T771" s="22">
        <v>0</v>
      </c>
    </row>
    <row r="772" spans="2:20" x14ac:dyDescent="0.25">
      <c r="B772" s="21">
        <v>0</v>
      </c>
      <c r="C772" s="17">
        <v>0</v>
      </c>
      <c r="D772" s="17">
        <v>0</v>
      </c>
      <c r="E772" s="17">
        <v>0</v>
      </c>
      <c r="F772" s="17">
        <v>0</v>
      </c>
      <c r="G772" s="17">
        <v>0</v>
      </c>
      <c r="H772" s="38">
        <v>0</v>
      </c>
      <c r="I772" s="17" t="str">
        <v/>
      </c>
      <c r="J772" s="17">
        <v>0</v>
      </c>
      <c r="K772" s="38">
        <v>0</v>
      </c>
      <c r="L772" s="17" t="str">
        <v/>
      </c>
      <c r="M772" s="17">
        <v>0</v>
      </c>
      <c r="N772" s="17">
        <v>0</v>
      </c>
      <c r="O772" s="17" t="str">
        <v/>
      </c>
      <c r="P772" s="17" t="str">
        <v/>
      </c>
      <c r="Q772" s="17">
        <v>0</v>
      </c>
      <c r="R772" s="17">
        <v>0</v>
      </c>
      <c r="S772" s="17">
        <v>0</v>
      </c>
      <c r="T772" s="22">
        <v>0</v>
      </c>
    </row>
    <row r="773" spans="2:20" x14ac:dyDescent="0.25">
      <c r="B773" s="21">
        <v>0</v>
      </c>
      <c r="C773" s="17">
        <v>0</v>
      </c>
      <c r="D773" s="17">
        <v>0</v>
      </c>
      <c r="E773" s="17">
        <v>0</v>
      </c>
      <c r="F773" s="17">
        <v>0</v>
      </c>
      <c r="G773" s="17">
        <v>0</v>
      </c>
      <c r="H773" s="38">
        <v>0</v>
      </c>
      <c r="I773" s="17" t="str">
        <v/>
      </c>
      <c r="J773" s="17">
        <v>0</v>
      </c>
      <c r="K773" s="38">
        <v>0</v>
      </c>
      <c r="L773" s="17" t="str">
        <v/>
      </c>
      <c r="M773" s="17">
        <v>0</v>
      </c>
      <c r="N773" s="17">
        <v>0</v>
      </c>
      <c r="O773" s="17" t="str">
        <v/>
      </c>
      <c r="P773" s="17" t="str">
        <v/>
      </c>
      <c r="Q773" s="17">
        <v>0</v>
      </c>
      <c r="R773" s="17">
        <v>0</v>
      </c>
      <c r="S773" s="17">
        <v>0</v>
      </c>
      <c r="T773" s="22">
        <v>0</v>
      </c>
    </row>
    <row r="774" spans="2:20" x14ac:dyDescent="0.25">
      <c r="B774" s="21">
        <v>0</v>
      </c>
      <c r="C774" s="17">
        <v>0</v>
      </c>
      <c r="D774" s="17">
        <v>0</v>
      </c>
      <c r="E774" s="17">
        <v>0</v>
      </c>
      <c r="F774" s="17">
        <v>0</v>
      </c>
      <c r="G774" s="17">
        <v>0</v>
      </c>
      <c r="H774" s="38">
        <v>0</v>
      </c>
      <c r="I774" s="17" t="str">
        <v/>
      </c>
      <c r="J774" s="17">
        <v>0</v>
      </c>
      <c r="K774" s="38">
        <v>0</v>
      </c>
      <c r="L774" s="17" t="str">
        <v/>
      </c>
      <c r="M774" s="17">
        <v>0</v>
      </c>
      <c r="N774" s="17">
        <v>0</v>
      </c>
      <c r="O774" s="17" t="str">
        <v/>
      </c>
      <c r="P774" s="17" t="str">
        <v/>
      </c>
      <c r="Q774" s="17">
        <v>0</v>
      </c>
      <c r="R774" s="17">
        <v>0</v>
      </c>
      <c r="S774" s="17">
        <v>0</v>
      </c>
      <c r="T774" s="22">
        <v>0</v>
      </c>
    </row>
    <row r="775" spans="2:20" x14ac:dyDescent="0.25">
      <c r="B775" s="21">
        <v>0</v>
      </c>
      <c r="C775" s="17">
        <v>0</v>
      </c>
      <c r="D775" s="17">
        <v>0</v>
      </c>
      <c r="E775" s="17">
        <v>0</v>
      </c>
      <c r="F775" s="17">
        <v>0</v>
      </c>
      <c r="G775" s="17">
        <v>0</v>
      </c>
      <c r="H775" s="38">
        <v>0</v>
      </c>
      <c r="I775" s="17" t="str">
        <v/>
      </c>
      <c r="J775" s="17">
        <v>0</v>
      </c>
      <c r="K775" s="38">
        <v>0</v>
      </c>
      <c r="L775" s="17" t="str">
        <v/>
      </c>
      <c r="M775" s="17">
        <v>0</v>
      </c>
      <c r="N775" s="17">
        <v>0</v>
      </c>
      <c r="O775" s="17" t="str">
        <v/>
      </c>
      <c r="P775" s="17" t="str">
        <v/>
      </c>
      <c r="Q775" s="17">
        <v>0</v>
      </c>
      <c r="R775" s="17">
        <v>0</v>
      </c>
      <c r="S775" s="17">
        <v>0</v>
      </c>
      <c r="T775" s="22">
        <v>0</v>
      </c>
    </row>
    <row r="776" spans="2:20" x14ac:dyDescent="0.25">
      <c r="B776" s="21">
        <v>0</v>
      </c>
      <c r="C776" s="17">
        <v>0</v>
      </c>
      <c r="D776" s="17">
        <v>0</v>
      </c>
      <c r="E776" s="17">
        <v>0</v>
      </c>
      <c r="F776" s="17">
        <v>0</v>
      </c>
      <c r="G776" s="17">
        <v>0</v>
      </c>
      <c r="H776" s="38">
        <v>0</v>
      </c>
      <c r="I776" s="17" t="str">
        <v/>
      </c>
      <c r="J776" s="17">
        <v>0</v>
      </c>
      <c r="K776" s="38">
        <v>0</v>
      </c>
      <c r="L776" s="17" t="str">
        <v/>
      </c>
      <c r="M776" s="17">
        <v>0</v>
      </c>
      <c r="N776" s="17">
        <v>0</v>
      </c>
      <c r="O776" s="17" t="str">
        <v/>
      </c>
      <c r="P776" s="17" t="str">
        <v/>
      </c>
      <c r="Q776" s="17">
        <v>0</v>
      </c>
      <c r="R776" s="17">
        <v>0</v>
      </c>
      <c r="S776" s="17">
        <v>0</v>
      </c>
      <c r="T776" s="22">
        <v>0</v>
      </c>
    </row>
    <row r="777" spans="2:20" x14ac:dyDescent="0.25">
      <c r="B777" s="21">
        <v>0</v>
      </c>
      <c r="C777" s="17">
        <v>0</v>
      </c>
      <c r="D777" s="17">
        <v>0</v>
      </c>
      <c r="E777" s="17">
        <v>0</v>
      </c>
      <c r="F777" s="17">
        <v>0</v>
      </c>
      <c r="G777" s="17">
        <v>0</v>
      </c>
      <c r="H777" s="38">
        <v>0</v>
      </c>
      <c r="I777" s="17" t="str">
        <v/>
      </c>
      <c r="J777" s="17">
        <v>0</v>
      </c>
      <c r="K777" s="38">
        <v>0</v>
      </c>
      <c r="L777" s="17" t="str">
        <v/>
      </c>
      <c r="M777" s="17">
        <v>0</v>
      </c>
      <c r="N777" s="17">
        <v>0</v>
      </c>
      <c r="O777" s="17" t="str">
        <v/>
      </c>
      <c r="P777" s="17" t="str">
        <v/>
      </c>
      <c r="Q777" s="17">
        <v>0</v>
      </c>
      <c r="R777" s="17">
        <v>0</v>
      </c>
      <c r="S777" s="17">
        <v>0</v>
      </c>
      <c r="T777" s="22">
        <v>0</v>
      </c>
    </row>
    <row r="778" spans="2:20" x14ac:dyDescent="0.25">
      <c r="B778" s="21">
        <v>0</v>
      </c>
      <c r="C778" s="17">
        <v>0</v>
      </c>
      <c r="D778" s="17">
        <v>0</v>
      </c>
      <c r="E778" s="17">
        <v>0</v>
      </c>
      <c r="F778" s="17">
        <v>0</v>
      </c>
      <c r="G778" s="17">
        <v>0</v>
      </c>
      <c r="H778" s="38">
        <v>0</v>
      </c>
      <c r="I778" s="17" t="str">
        <v/>
      </c>
      <c r="J778" s="17">
        <v>0</v>
      </c>
      <c r="K778" s="38">
        <v>0</v>
      </c>
      <c r="L778" s="17" t="str">
        <v/>
      </c>
      <c r="M778" s="17">
        <v>0</v>
      </c>
      <c r="N778" s="17">
        <v>0</v>
      </c>
      <c r="O778" s="17" t="str">
        <v/>
      </c>
      <c r="P778" s="17" t="str">
        <v/>
      </c>
      <c r="Q778" s="17">
        <v>0</v>
      </c>
      <c r="R778" s="17">
        <v>0</v>
      </c>
      <c r="S778" s="17">
        <v>0</v>
      </c>
      <c r="T778" s="22">
        <v>0</v>
      </c>
    </row>
    <row r="779" spans="2:20" x14ac:dyDescent="0.25">
      <c r="B779" s="21">
        <v>0</v>
      </c>
      <c r="C779" s="17">
        <v>0</v>
      </c>
      <c r="D779" s="17">
        <v>0</v>
      </c>
      <c r="E779" s="17">
        <v>0</v>
      </c>
      <c r="F779" s="17">
        <v>0</v>
      </c>
      <c r="G779" s="17">
        <v>0</v>
      </c>
      <c r="H779" s="38">
        <v>0</v>
      </c>
      <c r="I779" s="17" t="str">
        <v/>
      </c>
      <c r="J779" s="17">
        <v>0</v>
      </c>
      <c r="K779" s="38">
        <v>0</v>
      </c>
      <c r="L779" s="17" t="str">
        <v/>
      </c>
      <c r="M779" s="17">
        <v>0</v>
      </c>
      <c r="N779" s="17">
        <v>0</v>
      </c>
      <c r="O779" s="17" t="str">
        <v/>
      </c>
      <c r="P779" s="17" t="str">
        <v/>
      </c>
      <c r="Q779" s="17">
        <v>0</v>
      </c>
      <c r="R779" s="17">
        <v>0</v>
      </c>
      <c r="S779" s="17">
        <v>0</v>
      </c>
      <c r="T779" s="22">
        <v>0</v>
      </c>
    </row>
    <row r="780" spans="2:20" x14ac:dyDescent="0.25">
      <c r="B780" s="21">
        <v>0</v>
      </c>
      <c r="C780" s="17">
        <v>0</v>
      </c>
      <c r="D780" s="17">
        <v>0</v>
      </c>
      <c r="E780" s="17">
        <v>0</v>
      </c>
      <c r="F780" s="17">
        <v>0</v>
      </c>
      <c r="G780" s="17">
        <v>0</v>
      </c>
      <c r="H780" s="38">
        <v>0</v>
      </c>
      <c r="I780" s="17" t="str">
        <v/>
      </c>
      <c r="J780" s="17">
        <v>0</v>
      </c>
      <c r="K780" s="38">
        <v>0</v>
      </c>
      <c r="L780" s="17" t="str">
        <v/>
      </c>
      <c r="M780" s="17">
        <v>0</v>
      </c>
      <c r="N780" s="17">
        <v>0</v>
      </c>
      <c r="O780" s="17" t="str">
        <v/>
      </c>
      <c r="P780" s="17" t="str">
        <v/>
      </c>
      <c r="Q780" s="17">
        <v>0</v>
      </c>
      <c r="R780" s="17">
        <v>0</v>
      </c>
      <c r="S780" s="17">
        <v>0</v>
      </c>
      <c r="T780" s="22">
        <v>0</v>
      </c>
    </row>
    <row r="781" spans="2:20" x14ac:dyDescent="0.25">
      <c r="B781" s="21">
        <v>0</v>
      </c>
      <c r="C781" s="17">
        <v>0</v>
      </c>
      <c r="D781" s="17">
        <v>0</v>
      </c>
      <c r="E781" s="17">
        <v>0</v>
      </c>
      <c r="F781" s="17">
        <v>0</v>
      </c>
      <c r="G781" s="17">
        <v>0</v>
      </c>
      <c r="H781" s="38">
        <v>0</v>
      </c>
      <c r="I781" s="17" t="str">
        <v/>
      </c>
      <c r="J781" s="17">
        <v>0</v>
      </c>
      <c r="K781" s="38">
        <v>0</v>
      </c>
      <c r="L781" s="17" t="str">
        <v/>
      </c>
      <c r="M781" s="17">
        <v>0</v>
      </c>
      <c r="N781" s="17">
        <v>0</v>
      </c>
      <c r="O781" s="17" t="str">
        <v/>
      </c>
      <c r="P781" s="17" t="str">
        <v/>
      </c>
      <c r="Q781" s="17">
        <v>0</v>
      </c>
      <c r="R781" s="17">
        <v>0</v>
      </c>
      <c r="S781" s="17">
        <v>0</v>
      </c>
      <c r="T781" s="22">
        <v>0</v>
      </c>
    </row>
    <row r="782" spans="2:20" x14ac:dyDescent="0.25">
      <c r="B782" s="21">
        <v>0</v>
      </c>
      <c r="C782" s="17">
        <v>0</v>
      </c>
      <c r="D782" s="17">
        <v>0</v>
      </c>
      <c r="E782" s="17">
        <v>0</v>
      </c>
      <c r="F782" s="17">
        <v>0</v>
      </c>
      <c r="G782" s="17">
        <v>0</v>
      </c>
      <c r="H782" s="38">
        <v>0</v>
      </c>
      <c r="I782" s="17" t="str">
        <v/>
      </c>
      <c r="J782" s="17">
        <v>0</v>
      </c>
      <c r="K782" s="38">
        <v>0</v>
      </c>
      <c r="L782" s="17" t="str">
        <v/>
      </c>
      <c r="M782" s="17">
        <v>0</v>
      </c>
      <c r="N782" s="17">
        <v>0</v>
      </c>
      <c r="O782" s="17" t="str">
        <v/>
      </c>
      <c r="P782" s="17" t="str">
        <v/>
      </c>
      <c r="Q782" s="17">
        <v>0</v>
      </c>
      <c r="R782" s="17">
        <v>0</v>
      </c>
      <c r="S782" s="17">
        <v>0</v>
      </c>
      <c r="T782" s="22">
        <v>0</v>
      </c>
    </row>
    <row r="783" spans="2:20" x14ac:dyDescent="0.25">
      <c r="B783" s="21">
        <v>0</v>
      </c>
      <c r="C783" s="17">
        <v>0</v>
      </c>
      <c r="D783" s="17">
        <v>0</v>
      </c>
      <c r="E783" s="17">
        <v>0</v>
      </c>
      <c r="F783" s="17">
        <v>0</v>
      </c>
      <c r="G783" s="17">
        <v>0</v>
      </c>
      <c r="H783" s="38">
        <v>0</v>
      </c>
      <c r="I783" s="17" t="str">
        <v/>
      </c>
      <c r="J783" s="17">
        <v>0</v>
      </c>
      <c r="K783" s="38">
        <v>0</v>
      </c>
      <c r="L783" s="17" t="str">
        <v/>
      </c>
      <c r="M783" s="17">
        <v>0</v>
      </c>
      <c r="N783" s="17">
        <v>0</v>
      </c>
      <c r="O783" s="17" t="str">
        <v/>
      </c>
      <c r="P783" s="17" t="str">
        <v/>
      </c>
      <c r="Q783" s="17">
        <v>0</v>
      </c>
      <c r="R783" s="17">
        <v>0</v>
      </c>
      <c r="S783" s="17">
        <v>0</v>
      </c>
      <c r="T783" s="22">
        <v>0</v>
      </c>
    </row>
    <row r="784" spans="2:20" x14ac:dyDescent="0.25">
      <c r="B784" s="21">
        <v>0</v>
      </c>
      <c r="C784" s="17">
        <v>0</v>
      </c>
      <c r="D784" s="17">
        <v>0</v>
      </c>
      <c r="E784" s="17">
        <v>0</v>
      </c>
      <c r="F784" s="17">
        <v>0</v>
      </c>
      <c r="G784" s="17">
        <v>0</v>
      </c>
      <c r="H784" s="38">
        <v>0</v>
      </c>
      <c r="I784" s="17" t="str">
        <v/>
      </c>
      <c r="J784" s="17">
        <v>0</v>
      </c>
      <c r="K784" s="38">
        <v>0</v>
      </c>
      <c r="L784" s="17" t="str">
        <v/>
      </c>
      <c r="M784" s="17">
        <v>0</v>
      </c>
      <c r="N784" s="17">
        <v>0</v>
      </c>
      <c r="O784" s="17" t="str">
        <v/>
      </c>
      <c r="P784" s="17" t="str">
        <v/>
      </c>
      <c r="Q784" s="17">
        <v>0</v>
      </c>
      <c r="R784" s="17">
        <v>0</v>
      </c>
      <c r="S784" s="17">
        <v>0</v>
      </c>
      <c r="T784" s="22">
        <v>0</v>
      </c>
    </row>
    <row r="785" spans="2:20" x14ac:dyDescent="0.25">
      <c r="B785" s="21">
        <v>0</v>
      </c>
      <c r="C785" s="17">
        <v>0</v>
      </c>
      <c r="D785" s="17">
        <v>0</v>
      </c>
      <c r="E785" s="17">
        <v>0</v>
      </c>
      <c r="F785" s="17">
        <v>0</v>
      </c>
      <c r="G785" s="17">
        <v>0</v>
      </c>
      <c r="H785" s="38">
        <v>0</v>
      </c>
      <c r="I785" s="17" t="str">
        <v/>
      </c>
      <c r="J785" s="17">
        <v>0</v>
      </c>
      <c r="K785" s="38">
        <v>0</v>
      </c>
      <c r="L785" s="17" t="str">
        <v/>
      </c>
      <c r="M785" s="17">
        <v>0</v>
      </c>
      <c r="N785" s="17">
        <v>0</v>
      </c>
      <c r="O785" s="17" t="str">
        <v/>
      </c>
      <c r="P785" s="17" t="str">
        <v/>
      </c>
      <c r="Q785" s="17">
        <v>0</v>
      </c>
      <c r="R785" s="17">
        <v>0</v>
      </c>
      <c r="S785" s="17">
        <v>0</v>
      </c>
      <c r="T785" s="22">
        <v>0</v>
      </c>
    </row>
    <row r="786" spans="2:20" x14ac:dyDescent="0.25">
      <c r="B786" s="21">
        <v>0</v>
      </c>
      <c r="C786" s="17">
        <v>0</v>
      </c>
      <c r="D786" s="17">
        <v>0</v>
      </c>
      <c r="E786" s="17">
        <v>0</v>
      </c>
      <c r="F786" s="17">
        <v>0</v>
      </c>
      <c r="G786" s="17">
        <v>0</v>
      </c>
      <c r="H786" s="38">
        <v>0</v>
      </c>
      <c r="I786" s="17" t="str">
        <v/>
      </c>
      <c r="J786" s="17">
        <v>0</v>
      </c>
      <c r="K786" s="38">
        <v>0</v>
      </c>
      <c r="L786" s="17" t="str">
        <v/>
      </c>
      <c r="M786" s="17">
        <v>0</v>
      </c>
      <c r="N786" s="17">
        <v>0</v>
      </c>
      <c r="O786" s="17" t="str">
        <v/>
      </c>
      <c r="P786" s="17" t="str">
        <v/>
      </c>
      <c r="Q786" s="17">
        <v>0</v>
      </c>
      <c r="R786" s="17">
        <v>0</v>
      </c>
      <c r="S786" s="17">
        <v>0</v>
      </c>
      <c r="T786" s="22">
        <v>0</v>
      </c>
    </row>
    <row r="787" spans="2:20" x14ac:dyDescent="0.25">
      <c r="B787" s="21">
        <v>0</v>
      </c>
      <c r="C787" s="17">
        <v>0</v>
      </c>
      <c r="D787" s="17">
        <v>0</v>
      </c>
      <c r="E787" s="17">
        <v>0</v>
      </c>
      <c r="F787" s="17">
        <v>0</v>
      </c>
      <c r="G787" s="17">
        <v>0</v>
      </c>
      <c r="H787" s="38">
        <v>0</v>
      </c>
      <c r="I787" s="17" t="str">
        <v/>
      </c>
      <c r="J787" s="17">
        <v>0</v>
      </c>
      <c r="K787" s="38">
        <v>0</v>
      </c>
      <c r="L787" s="17" t="str">
        <v/>
      </c>
      <c r="M787" s="17">
        <v>0</v>
      </c>
      <c r="N787" s="17">
        <v>0</v>
      </c>
      <c r="O787" s="17" t="str">
        <v/>
      </c>
      <c r="P787" s="17" t="str">
        <v/>
      </c>
      <c r="Q787" s="17">
        <v>0</v>
      </c>
      <c r="R787" s="17">
        <v>0</v>
      </c>
      <c r="S787" s="17">
        <v>0</v>
      </c>
      <c r="T787" s="22">
        <v>0</v>
      </c>
    </row>
    <row r="788" spans="2:20" x14ac:dyDescent="0.25">
      <c r="B788" s="21">
        <v>0</v>
      </c>
      <c r="C788" s="17">
        <v>0</v>
      </c>
      <c r="D788" s="17">
        <v>0</v>
      </c>
      <c r="E788" s="17">
        <v>0</v>
      </c>
      <c r="F788" s="17">
        <v>0</v>
      </c>
      <c r="G788" s="17">
        <v>0</v>
      </c>
      <c r="H788" s="38">
        <v>0</v>
      </c>
      <c r="I788" s="17" t="str">
        <v/>
      </c>
      <c r="J788" s="17">
        <v>0</v>
      </c>
      <c r="K788" s="38">
        <v>0</v>
      </c>
      <c r="L788" s="17" t="str">
        <v/>
      </c>
      <c r="M788" s="17">
        <v>0</v>
      </c>
      <c r="N788" s="17">
        <v>0</v>
      </c>
      <c r="O788" s="17" t="str">
        <v/>
      </c>
      <c r="P788" s="17" t="str">
        <v/>
      </c>
      <c r="Q788" s="17">
        <v>0</v>
      </c>
      <c r="R788" s="17">
        <v>0</v>
      </c>
      <c r="S788" s="17">
        <v>0</v>
      </c>
      <c r="T788" s="22">
        <v>0</v>
      </c>
    </row>
    <row r="789" spans="2:20" x14ac:dyDescent="0.25">
      <c r="B789" s="21">
        <v>0</v>
      </c>
      <c r="C789" s="17">
        <v>0</v>
      </c>
      <c r="D789" s="17">
        <v>0</v>
      </c>
      <c r="E789" s="17">
        <v>0</v>
      </c>
      <c r="F789" s="17">
        <v>0</v>
      </c>
      <c r="G789" s="17">
        <v>0</v>
      </c>
      <c r="H789" s="38">
        <v>0</v>
      </c>
      <c r="I789" s="17" t="str">
        <v/>
      </c>
      <c r="J789" s="17">
        <v>0</v>
      </c>
      <c r="K789" s="38">
        <v>0</v>
      </c>
      <c r="L789" s="17" t="str">
        <v/>
      </c>
      <c r="M789" s="17">
        <v>0</v>
      </c>
      <c r="N789" s="17">
        <v>0</v>
      </c>
      <c r="O789" s="17" t="str">
        <v/>
      </c>
      <c r="P789" s="17" t="str">
        <v/>
      </c>
      <c r="Q789" s="17">
        <v>0</v>
      </c>
      <c r="R789" s="17">
        <v>0</v>
      </c>
      <c r="S789" s="17">
        <v>0</v>
      </c>
      <c r="T789" s="22">
        <v>0</v>
      </c>
    </row>
    <row r="790" spans="2:20" x14ac:dyDescent="0.25">
      <c r="B790" s="21">
        <v>0</v>
      </c>
      <c r="C790" s="17">
        <v>0</v>
      </c>
      <c r="D790" s="17">
        <v>0</v>
      </c>
      <c r="E790" s="17">
        <v>0</v>
      </c>
      <c r="F790" s="17">
        <v>0</v>
      </c>
      <c r="G790" s="17">
        <v>0</v>
      </c>
      <c r="H790" s="38">
        <v>0</v>
      </c>
      <c r="I790" s="17" t="str">
        <v/>
      </c>
      <c r="J790" s="17">
        <v>0</v>
      </c>
      <c r="K790" s="38">
        <v>0</v>
      </c>
      <c r="L790" s="17" t="str">
        <v/>
      </c>
      <c r="M790" s="17">
        <v>0</v>
      </c>
      <c r="N790" s="17">
        <v>0</v>
      </c>
      <c r="O790" s="17" t="str">
        <v/>
      </c>
      <c r="P790" s="17" t="str">
        <v/>
      </c>
      <c r="Q790" s="17">
        <v>0</v>
      </c>
      <c r="R790" s="17">
        <v>0</v>
      </c>
      <c r="S790" s="17">
        <v>0</v>
      </c>
      <c r="T790" s="22">
        <v>0</v>
      </c>
    </row>
    <row r="791" spans="2:20" x14ac:dyDescent="0.25">
      <c r="B791" s="21">
        <v>0</v>
      </c>
      <c r="C791" s="17">
        <v>0</v>
      </c>
      <c r="D791" s="17">
        <v>0</v>
      </c>
      <c r="E791" s="17">
        <v>0</v>
      </c>
      <c r="F791" s="17">
        <v>0</v>
      </c>
      <c r="G791" s="17">
        <v>0</v>
      </c>
      <c r="H791" s="38">
        <v>0</v>
      </c>
      <c r="I791" s="17" t="str">
        <v/>
      </c>
      <c r="J791" s="17">
        <v>0</v>
      </c>
      <c r="K791" s="38">
        <v>0</v>
      </c>
      <c r="L791" s="17" t="str">
        <v/>
      </c>
      <c r="M791" s="17">
        <v>0</v>
      </c>
      <c r="N791" s="17">
        <v>0</v>
      </c>
      <c r="O791" s="17" t="str">
        <v/>
      </c>
      <c r="P791" s="17" t="str">
        <v/>
      </c>
      <c r="Q791" s="17">
        <v>0</v>
      </c>
      <c r="R791" s="17">
        <v>0</v>
      </c>
      <c r="S791" s="17">
        <v>0</v>
      </c>
      <c r="T791" s="22">
        <v>0</v>
      </c>
    </row>
    <row r="792" spans="2:20" x14ac:dyDescent="0.25">
      <c r="B792" s="21">
        <v>0</v>
      </c>
      <c r="C792" s="17">
        <v>0</v>
      </c>
      <c r="D792" s="17">
        <v>0</v>
      </c>
      <c r="E792" s="17">
        <v>0</v>
      </c>
      <c r="F792" s="17">
        <v>0</v>
      </c>
      <c r="G792" s="17">
        <v>0</v>
      </c>
      <c r="H792" s="38">
        <v>0</v>
      </c>
      <c r="I792" s="17" t="str">
        <v/>
      </c>
      <c r="J792" s="17">
        <v>0</v>
      </c>
      <c r="K792" s="38">
        <v>0</v>
      </c>
      <c r="L792" s="17" t="str">
        <v/>
      </c>
      <c r="M792" s="17">
        <v>0</v>
      </c>
      <c r="N792" s="17">
        <v>0</v>
      </c>
      <c r="O792" s="17" t="str">
        <v/>
      </c>
      <c r="P792" s="17" t="str">
        <v/>
      </c>
      <c r="Q792" s="17">
        <v>0</v>
      </c>
      <c r="R792" s="17">
        <v>0</v>
      </c>
      <c r="S792" s="17">
        <v>0</v>
      </c>
      <c r="T792" s="22">
        <v>0</v>
      </c>
    </row>
    <row r="793" spans="2:20" x14ac:dyDescent="0.25">
      <c r="B793" s="21">
        <v>0</v>
      </c>
      <c r="C793" s="17">
        <v>0</v>
      </c>
      <c r="D793" s="17">
        <v>0</v>
      </c>
      <c r="E793" s="17">
        <v>0</v>
      </c>
      <c r="F793" s="17">
        <v>0</v>
      </c>
      <c r="G793" s="17">
        <v>0</v>
      </c>
      <c r="H793" s="38">
        <v>0</v>
      </c>
      <c r="I793" s="17" t="str">
        <v/>
      </c>
      <c r="J793" s="17">
        <v>0</v>
      </c>
      <c r="K793" s="38">
        <v>0</v>
      </c>
      <c r="L793" s="17" t="str">
        <v/>
      </c>
      <c r="M793" s="17">
        <v>0</v>
      </c>
      <c r="N793" s="17">
        <v>0</v>
      </c>
      <c r="O793" s="17" t="str">
        <v/>
      </c>
      <c r="P793" s="17" t="str">
        <v/>
      </c>
      <c r="Q793" s="17">
        <v>0</v>
      </c>
      <c r="R793" s="17">
        <v>0</v>
      </c>
      <c r="S793" s="17">
        <v>0</v>
      </c>
      <c r="T793" s="22">
        <v>0</v>
      </c>
    </row>
    <row r="794" spans="2:20" x14ac:dyDescent="0.25">
      <c r="B794" s="21">
        <v>0</v>
      </c>
      <c r="C794" s="17">
        <v>0</v>
      </c>
      <c r="D794" s="17">
        <v>0</v>
      </c>
      <c r="E794" s="17">
        <v>0</v>
      </c>
      <c r="F794" s="17">
        <v>0</v>
      </c>
      <c r="G794" s="17">
        <v>0</v>
      </c>
      <c r="H794" s="38">
        <v>0</v>
      </c>
      <c r="I794" s="17" t="str">
        <v/>
      </c>
      <c r="J794" s="17">
        <v>0</v>
      </c>
      <c r="K794" s="38">
        <v>0</v>
      </c>
      <c r="L794" s="17" t="str">
        <v/>
      </c>
      <c r="M794" s="17">
        <v>0</v>
      </c>
      <c r="N794" s="17">
        <v>0</v>
      </c>
      <c r="O794" s="17" t="str">
        <v/>
      </c>
      <c r="P794" s="17" t="str">
        <v/>
      </c>
      <c r="Q794" s="17">
        <v>0</v>
      </c>
      <c r="R794" s="17">
        <v>0</v>
      </c>
      <c r="S794" s="17">
        <v>0</v>
      </c>
      <c r="T794" s="22">
        <v>0</v>
      </c>
    </row>
    <row r="795" spans="2:20" x14ac:dyDescent="0.25">
      <c r="B795" s="21">
        <v>0</v>
      </c>
      <c r="C795" s="17">
        <v>0</v>
      </c>
      <c r="D795" s="17">
        <v>0</v>
      </c>
      <c r="E795" s="17">
        <v>0</v>
      </c>
      <c r="F795" s="17">
        <v>0</v>
      </c>
      <c r="G795" s="17">
        <v>0</v>
      </c>
      <c r="H795" s="38">
        <v>0</v>
      </c>
      <c r="I795" s="17" t="str">
        <v/>
      </c>
      <c r="J795" s="17">
        <v>0</v>
      </c>
      <c r="K795" s="38">
        <v>0</v>
      </c>
      <c r="L795" s="17" t="str">
        <v/>
      </c>
      <c r="M795" s="17">
        <v>0</v>
      </c>
      <c r="N795" s="17">
        <v>0</v>
      </c>
      <c r="O795" s="17" t="str">
        <v/>
      </c>
      <c r="P795" s="17" t="str">
        <v/>
      </c>
      <c r="Q795" s="17">
        <v>0</v>
      </c>
      <c r="R795" s="17">
        <v>0</v>
      </c>
      <c r="S795" s="17">
        <v>0</v>
      </c>
      <c r="T795" s="22">
        <v>0</v>
      </c>
    </row>
    <row r="796" spans="2:20" x14ac:dyDescent="0.25">
      <c r="B796" s="21">
        <v>0</v>
      </c>
      <c r="C796" s="17">
        <v>0</v>
      </c>
      <c r="D796" s="17">
        <v>0</v>
      </c>
      <c r="E796" s="17">
        <v>0</v>
      </c>
      <c r="F796" s="17">
        <v>0</v>
      </c>
      <c r="G796" s="17">
        <v>0</v>
      </c>
      <c r="H796" s="38">
        <v>0</v>
      </c>
      <c r="I796" s="17" t="str">
        <v/>
      </c>
      <c r="J796" s="17">
        <v>0</v>
      </c>
      <c r="K796" s="38">
        <v>0</v>
      </c>
      <c r="L796" s="17" t="str">
        <v/>
      </c>
      <c r="M796" s="17">
        <v>0</v>
      </c>
      <c r="N796" s="17">
        <v>0</v>
      </c>
      <c r="O796" s="17" t="str">
        <v/>
      </c>
      <c r="P796" s="17" t="str">
        <v/>
      </c>
      <c r="Q796" s="17">
        <v>0</v>
      </c>
      <c r="R796" s="17">
        <v>0</v>
      </c>
      <c r="S796" s="17">
        <v>0</v>
      </c>
      <c r="T796" s="22">
        <v>0</v>
      </c>
    </row>
    <row r="797" spans="2:20" x14ac:dyDescent="0.25">
      <c r="B797" s="21">
        <v>0</v>
      </c>
      <c r="C797" s="17">
        <v>0</v>
      </c>
      <c r="D797" s="17">
        <v>0</v>
      </c>
      <c r="E797" s="17">
        <v>0</v>
      </c>
      <c r="F797" s="17">
        <v>0</v>
      </c>
      <c r="G797" s="17">
        <v>0</v>
      </c>
      <c r="H797" s="38">
        <v>0</v>
      </c>
      <c r="I797" s="17" t="str">
        <v/>
      </c>
      <c r="J797" s="17">
        <v>0</v>
      </c>
      <c r="K797" s="38">
        <v>0</v>
      </c>
      <c r="L797" s="17" t="str">
        <v/>
      </c>
      <c r="M797" s="17">
        <v>0</v>
      </c>
      <c r="N797" s="17">
        <v>0</v>
      </c>
      <c r="O797" s="17" t="str">
        <v/>
      </c>
      <c r="P797" s="17" t="str">
        <v/>
      </c>
      <c r="Q797" s="17">
        <v>0</v>
      </c>
      <c r="R797" s="17">
        <v>0</v>
      </c>
      <c r="S797" s="17">
        <v>0</v>
      </c>
      <c r="T797" s="22">
        <v>0</v>
      </c>
    </row>
    <row r="798" spans="2:20" x14ac:dyDescent="0.25">
      <c r="B798" s="21">
        <v>0</v>
      </c>
      <c r="C798" s="17">
        <v>0</v>
      </c>
      <c r="D798" s="17">
        <v>0</v>
      </c>
      <c r="E798" s="17">
        <v>0</v>
      </c>
      <c r="F798" s="17">
        <v>0</v>
      </c>
      <c r="G798" s="17">
        <v>0</v>
      </c>
      <c r="H798" s="38">
        <v>0</v>
      </c>
      <c r="I798" s="17" t="str">
        <v/>
      </c>
      <c r="J798" s="17">
        <v>0</v>
      </c>
      <c r="K798" s="38">
        <v>0</v>
      </c>
      <c r="L798" s="17" t="str">
        <v/>
      </c>
      <c r="M798" s="17">
        <v>0</v>
      </c>
      <c r="N798" s="17">
        <v>0</v>
      </c>
      <c r="O798" s="17" t="str">
        <v/>
      </c>
      <c r="P798" s="17" t="str">
        <v/>
      </c>
      <c r="Q798" s="17">
        <v>0</v>
      </c>
      <c r="R798" s="17">
        <v>0</v>
      </c>
      <c r="S798" s="17">
        <v>0</v>
      </c>
      <c r="T798" s="22">
        <v>0</v>
      </c>
    </row>
    <row r="799" spans="2:20" x14ac:dyDescent="0.25">
      <c r="B799" s="21">
        <v>0</v>
      </c>
      <c r="C799" s="17">
        <v>0</v>
      </c>
      <c r="D799" s="17">
        <v>0</v>
      </c>
      <c r="E799" s="17">
        <v>0</v>
      </c>
      <c r="F799" s="17">
        <v>0</v>
      </c>
      <c r="G799" s="17">
        <v>0</v>
      </c>
      <c r="H799" s="38">
        <v>0</v>
      </c>
      <c r="I799" s="17" t="str">
        <v/>
      </c>
      <c r="J799" s="17">
        <v>0</v>
      </c>
      <c r="K799" s="38">
        <v>0</v>
      </c>
      <c r="L799" s="17" t="str">
        <v/>
      </c>
      <c r="M799" s="17">
        <v>0</v>
      </c>
      <c r="N799" s="17">
        <v>0</v>
      </c>
      <c r="O799" s="17" t="str">
        <v/>
      </c>
      <c r="P799" s="17" t="str">
        <v/>
      </c>
      <c r="Q799" s="17">
        <v>0</v>
      </c>
      <c r="R799" s="17">
        <v>0</v>
      </c>
      <c r="S799" s="17">
        <v>0</v>
      </c>
      <c r="T799" s="22">
        <v>0</v>
      </c>
    </row>
    <row r="800" spans="2:20" x14ac:dyDescent="0.25">
      <c r="B800" s="21">
        <v>0</v>
      </c>
      <c r="C800" s="17">
        <v>0</v>
      </c>
      <c r="D800" s="17">
        <v>0</v>
      </c>
      <c r="E800" s="17">
        <v>0</v>
      </c>
      <c r="F800" s="17">
        <v>0</v>
      </c>
      <c r="G800" s="17">
        <v>0</v>
      </c>
      <c r="H800" s="38">
        <v>0</v>
      </c>
      <c r="I800" s="17" t="str">
        <v/>
      </c>
      <c r="J800" s="17">
        <v>0</v>
      </c>
      <c r="K800" s="38">
        <v>0</v>
      </c>
      <c r="L800" s="17" t="str">
        <v/>
      </c>
      <c r="M800" s="17">
        <v>0</v>
      </c>
      <c r="N800" s="17">
        <v>0</v>
      </c>
      <c r="O800" s="17" t="str">
        <v/>
      </c>
      <c r="P800" s="17" t="str">
        <v/>
      </c>
      <c r="Q800" s="17">
        <v>0</v>
      </c>
      <c r="R800" s="17">
        <v>0</v>
      </c>
      <c r="S800" s="17">
        <v>0</v>
      </c>
      <c r="T800" s="22">
        <v>0</v>
      </c>
    </row>
    <row r="801" spans="2:20" x14ac:dyDescent="0.25">
      <c r="B801" s="21">
        <v>0</v>
      </c>
      <c r="C801" s="17">
        <v>0</v>
      </c>
      <c r="D801" s="17">
        <v>0</v>
      </c>
      <c r="E801" s="17">
        <v>0</v>
      </c>
      <c r="F801" s="17">
        <v>0</v>
      </c>
      <c r="G801" s="17">
        <v>0</v>
      </c>
      <c r="H801" s="38">
        <v>0</v>
      </c>
      <c r="I801" s="17" t="str">
        <v/>
      </c>
      <c r="J801" s="17">
        <v>0</v>
      </c>
      <c r="K801" s="38">
        <v>0</v>
      </c>
      <c r="L801" s="17" t="str">
        <v/>
      </c>
      <c r="M801" s="17">
        <v>0</v>
      </c>
      <c r="N801" s="17">
        <v>0</v>
      </c>
      <c r="O801" s="17" t="str">
        <v/>
      </c>
      <c r="P801" s="17" t="str">
        <v/>
      </c>
      <c r="Q801" s="17">
        <v>0</v>
      </c>
      <c r="R801" s="17">
        <v>0</v>
      </c>
      <c r="S801" s="17">
        <v>0</v>
      </c>
      <c r="T801" s="22">
        <v>0</v>
      </c>
    </row>
    <row r="802" spans="2:20" x14ac:dyDescent="0.25">
      <c r="B802" s="21">
        <v>0</v>
      </c>
      <c r="C802" s="17">
        <v>0</v>
      </c>
      <c r="D802" s="17">
        <v>0</v>
      </c>
      <c r="E802" s="17">
        <v>0</v>
      </c>
      <c r="F802" s="17">
        <v>0</v>
      </c>
      <c r="G802" s="17">
        <v>0</v>
      </c>
      <c r="H802" s="38">
        <v>0</v>
      </c>
      <c r="I802" s="17" t="str">
        <v/>
      </c>
      <c r="J802" s="17">
        <v>0</v>
      </c>
      <c r="K802" s="38">
        <v>0</v>
      </c>
      <c r="L802" s="17" t="str">
        <v/>
      </c>
      <c r="M802" s="17">
        <v>0</v>
      </c>
      <c r="N802" s="17">
        <v>0</v>
      </c>
      <c r="O802" s="17" t="str">
        <v/>
      </c>
      <c r="P802" s="17" t="str">
        <v/>
      </c>
      <c r="Q802" s="17">
        <v>0</v>
      </c>
      <c r="R802" s="17">
        <v>0</v>
      </c>
      <c r="S802" s="17">
        <v>0</v>
      </c>
      <c r="T802" s="22">
        <v>0</v>
      </c>
    </row>
    <row r="803" spans="2:20" x14ac:dyDescent="0.25">
      <c r="B803" s="21">
        <v>0</v>
      </c>
      <c r="C803" s="17">
        <v>0</v>
      </c>
      <c r="D803" s="17">
        <v>0</v>
      </c>
      <c r="E803" s="17">
        <v>0</v>
      </c>
      <c r="F803" s="17">
        <v>0</v>
      </c>
      <c r="G803" s="17">
        <v>0</v>
      </c>
      <c r="H803" s="38">
        <v>0</v>
      </c>
      <c r="I803" s="17" t="str">
        <v/>
      </c>
      <c r="J803" s="17">
        <v>0</v>
      </c>
      <c r="K803" s="38">
        <v>0</v>
      </c>
      <c r="L803" s="17" t="str">
        <v/>
      </c>
      <c r="M803" s="17">
        <v>0</v>
      </c>
      <c r="N803" s="17">
        <v>0</v>
      </c>
      <c r="O803" s="17" t="str">
        <v/>
      </c>
      <c r="P803" s="17" t="str">
        <v/>
      </c>
      <c r="Q803" s="17">
        <v>0</v>
      </c>
      <c r="R803" s="17">
        <v>0</v>
      </c>
      <c r="S803" s="17">
        <v>0</v>
      </c>
      <c r="T803" s="22">
        <v>0</v>
      </c>
    </row>
    <row r="804" spans="2:20" x14ac:dyDescent="0.25">
      <c r="B804" s="21">
        <v>0</v>
      </c>
      <c r="C804" s="17">
        <v>0</v>
      </c>
      <c r="D804" s="17">
        <v>0</v>
      </c>
      <c r="E804" s="17">
        <v>0</v>
      </c>
      <c r="F804" s="17">
        <v>0</v>
      </c>
      <c r="G804" s="17">
        <v>0</v>
      </c>
      <c r="H804" s="38">
        <v>0</v>
      </c>
      <c r="I804" s="17" t="str">
        <v/>
      </c>
      <c r="J804" s="17">
        <v>0</v>
      </c>
      <c r="K804" s="38">
        <v>0</v>
      </c>
      <c r="L804" s="17" t="str">
        <v/>
      </c>
      <c r="M804" s="17">
        <v>0</v>
      </c>
      <c r="N804" s="17">
        <v>0</v>
      </c>
      <c r="O804" s="17" t="str">
        <v/>
      </c>
      <c r="P804" s="17" t="str">
        <v/>
      </c>
      <c r="Q804" s="17">
        <v>0</v>
      </c>
      <c r="R804" s="17">
        <v>0</v>
      </c>
      <c r="S804" s="17">
        <v>0</v>
      </c>
      <c r="T804" s="22">
        <v>0</v>
      </c>
    </row>
    <row r="805" spans="2:20" x14ac:dyDescent="0.25">
      <c r="B805" s="21">
        <v>0</v>
      </c>
      <c r="C805" s="17">
        <v>0</v>
      </c>
      <c r="D805" s="17">
        <v>0</v>
      </c>
      <c r="E805" s="17">
        <v>0</v>
      </c>
      <c r="F805" s="17">
        <v>0</v>
      </c>
      <c r="G805" s="17">
        <v>0</v>
      </c>
      <c r="H805" s="38">
        <v>0</v>
      </c>
      <c r="I805" s="17" t="str">
        <v/>
      </c>
      <c r="J805" s="17">
        <v>0</v>
      </c>
      <c r="K805" s="38">
        <v>0</v>
      </c>
      <c r="L805" s="17" t="str">
        <v/>
      </c>
      <c r="M805" s="17">
        <v>0</v>
      </c>
      <c r="N805" s="17">
        <v>0</v>
      </c>
      <c r="O805" s="17" t="str">
        <v/>
      </c>
      <c r="P805" s="17" t="str">
        <v/>
      </c>
      <c r="Q805" s="17">
        <v>0</v>
      </c>
      <c r="R805" s="17">
        <v>0</v>
      </c>
      <c r="S805" s="17">
        <v>0</v>
      </c>
      <c r="T805" s="22">
        <v>0</v>
      </c>
    </row>
    <row r="806" spans="2:20" x14ac:dyDescent="0.25">
      <c r="B806" s="21">
        <v>0</v>
      </c>
      <c r="C806" s="17">
        <v>0</v>
      </c>
      <c r="D806" s="17">
        <v>0</v>
      </c>
      <c r="E806" s="17">
        <v>0</v>
      </c>
      <c r="F806" s="17">
        <v>0</v>
      </c>
      <c r="G806" s="17">
        <v>0</v>
      </c>
      <c r="H806" s="38">
        <v>0</v>
      </c>
      <c r="I806" s="17" t="str">
        <v/>
      </c>
      <c r="J806" s="17">
        <v>0</v>
      </c>
      <c r="K806" s="38">
        <v>0</v>
      </c>
      <c r="L806" s="17" t="str">
        <v/>
      </c>
      <c r="M806" s="17">
        <v>0</v>
      </c>
      <c r="N806" s="17">
        <v>0</v>
      </c>
      <c r="O806" s="17" t="str">
        <v/>
      </c>
      <c r="P806" s="17" t="str">
        <v/>
      </c>
      <c r="Q806" s="17">
        <v>0</v>
      </c>
      <c r="R806" s="17">
        <v>0</v>
      </c>
      <c r="S806" s="17">
        <v>0</v>
      </c>
      <c r="T806" s="22">
        <v>0</v>
      </c>
    </row>
    <row r="807" spans="2:20" x14ac:dyDescent="0.25">
      <c r="B807" s="21">
        <v>0</v>
      </c>
      <c r="C807" s="17">
        <v>0</v>
      </c>
      <c r="D807" s="17">
        <v>0</v>
      </c>
      <c r="E807" s="17">
        <v>0</v>
      </c>
      <c r="F807" s="17">
        <v>0</v>
      </c>
      <c r="G807" s="17">
        <v>0</v>
      </c>
      <c r="H807" s="38">
        <v>0</v>
      </c>
      <c r="I807" s="17" t="str">
        <v/>
      </c>
      <c r="J807" s="17">
        <v>0</v>
      </c>
      <c r="K807" s="38">
        <v>0</v>
      </c>
      <c r="L807" s="17" t="str">
        <v/>
      </c>
      <c r="M807" s="17">
        <v>0</v>
      </c>
      <c r="N807" s="17">
        <v>0</v>
      </c>
      <c r="O807" s="17" t="str">
        <v/>
      </c>
      <c r="P807" s="17" t="str">
        <v/>
      </c>
      <c r="Q807" s="17">
        <v>0</v>
      </c>
      <c r="R807" s="17">
        <v>0</v>
      </c>
      <c r="S807" s="17">
        <v>0</v>
      </c>
      <c r="T807" s="22">
        <v>0</v>
      </c>
    </row>
    <row r="808" spans="2:20" x14ac:dyDescent="0.25">
      <c r="B808" s="21">
        <v>0</v>
      </c>
      <c r="C808" s="17">
        <v>0</v>
      </c>
      <c r="D808" s="17">
        <v>0</v>
      </c>
      <c r="E808" s="17">
        <v>0</v>
      </c>
      <c r="F808" s="17">
        <v>0</v>
      </c>
      <c r="G808" s="17">
        <v>0</v>
      </c>
      <c r="H808" s="38">
        <v>0</v>
      </c>
      <c r="I808" s="17" t="str">
        <v/>
      </c>
      <c r="J808" s="17">
        <v>0</v>
      </c>
      <c r="K808" s="38">
        <v>0</v>
      </c>
      <c r="L808" s="17" t="str">
        <v/>
      </c>
      <c r="M808" s="17">
        <v>0</v>
      </c>
      <c r="N808" s="17">
        <v>0</v>
      </c>
      <c r="O808" s="17" t="str">
        <v/>
      </c>
      <c r="P808" s="17" t="str">
        <v/>
      </c>
      <c r="Q808" s="17">
        <v>0</v>
      </c>
      <c r="R808" s="17">
        <v>0</v>
      </c>
      <c r="S808" s="17">
        <v>0</v>
      </c>
      <c r="T808" s="22">
        <v>0</v>
      </c>
    </row>
    <row r="809" spans="2:20" x14ac:dyDescent="0.25">
      <c r="B809" s="21">
        <v>0</v>
      </c>
      <c r="C809" s="17">
        <v>0</v>
      </c>
      <c r="D809" s="17">
        <v>0</v>
      </c>
      <c r="E809" s="17">
        <v>0</v>
      </c>
      <c r="F809" s="17">
        <v>0</v>
      </c>
      <c r="G809" s="17">
        <v>0</v>
      </c>
      <c r="H809" s="38">
        <v>0</v>
      </c>
      <c r="I809" s="17" t="str">
        <v/>
      </c>
      <c r="J809" s="17">
        <v>0</v>
      </c>
      <c r="K809" s="38">
        <v>0</v>
      </c>
      <c r="L809" s="17" t="str">
        <v/>
      </c>
      <c r="M809" s="17">
        <v>0</v>
      </c>
      <c r="N809" s="17">
        <v>0</v>
      </c>
      <c r="O809" s="17" t="str">
        <v/>
      </c>
      <c r="P809" s="17" t="str">
        <v/>
      </c>
      <c r="Q809" s="17">
        <v>0</v>
      </c>
      <c r="R809" s="17">
        <v>0</v>
      </c>
      <c r="S809" s="17">
        <v>0</v>
      </c>
      <c r="T809" s="22">
        <v>0</v>
      </c>
    </row>
    <row r="810" spans="2:20" x14ac:dyDescent="0.25">
      <c r="B810" s="21">
        <v>0</v>
      </c>
      <c r="C810" s="17">
        <v>0</v>
      </c>
      <c r="D810" s="17">
        <v>0</v>
      </c>
      <c r="E810" s="17">
        <v>0</v>
      </c>
      <c r="F810" s="17">
        <v>0</v>
      </c>
      <c r="G810" s="17">
        <v>0</v>
      </c>
      <c r="H810" s="38">
        <v>0</v>
      </c>
      <c r="I810" s="17" t="str">
        <v/>
      </c>
      <c r="J810" s="17">
        <v>0</v>
      </c>
      <c r="K810" s="38">
        <v>0</v>
      </c>
      <c r="L810" s="17" t="str">
        <v/>
      </c>
      <c r="M810" s="17">
        <v>0</v>
      </c>
      <c r="N810" s="17">
        <v>0</v>
      </c>
      <c r="O810" s="17" t="str">
        <v/>
      </c>
      <c r="P810" s="17" t="str">
        <v/>
      </c>
      <c r="Q810" s="17">
        <v>0</v>
      </c>
      <c r="R810" s="17">
        <v>0</v>
      </c>
      <c r="S810" s="17">
        <v>0</v>
      </c>
      <c r="T810" s="22">
        <v>0</v>
      </c>
    </row>
    <row r="811" spans="2:20" x14ac:dyDescent="0.25">
      <c r="B811" s="21">
        <v>0</v>
      </c>
      <c r="C811" s="17">
        <v>0</v>
      </c>
      <c r="D811" s="17">
        <v>0</v>
      </c>
      <c r="E811" s="17">
        <v>0</v>
      </c>
      <c r="F811" s="17">
        <v>0</v>
      </c>
      <c r="G811" s="17">
        <v>0</v>
      </c>
      <c r="H811" s="38">
        <v>0</v>
      </c>
      <c r="I811" s="17" t="str">
        <v/>
      </c>
      <c r="J811" s="17">
        <v>0</v>
      </c>
      <c r="K811" s="38">
        <v>0</v>
      </c>
      <c r="L811" s="17" t="str">
        <v/>
      </c>
      <c r="M811" s="17">
        <v>0</v>
      </c>
      <c r="N811" s="17">
        <v>0</v>
      </c>
      <c r="O811" s="17" t="str">
        <v/>
      </c>
      <c r="P811" s="17" t="str">
        <v/>
      </c>
      <c r="Q811" s="17">
        <v>0</v>
      </c>
      <c r="R811" s="17">
        <v>0</v>
      </c>
      <c r="S811" s="17">
        <v>0</v>
      </c>
      <c r="T811" s="22">
        <v>0</v>
      </c>
    </row>
    <row r="812" spans="2:20" x14ac:dyDescent="0.25">
      <c r="B812" s="21">
        <v>0</v>
      </c>
      <c r="C812" s="17">
        <v>0</v>
      </c>
      <c r="D812" s="17">
        <v>0</v>
      </c>
      <c r="E812" s="17">
        <v>0</v>
      </c>
      <c r="F812" s="17">
        <v>0</v>
      </c>
      <c r="G812" s="17">
        <v>0</v>
      </c>
      <c r="H812" s="38">
        <v>0</v>
      </c>
      <c r="I812" s="17" t="str">
        <v/>
      </c>
      <c r="J812" s="17">
        <v>0</v>
      </c>
      <c r="K812" s="38">
        <v>0</v>
      </c>
      <c r="L812" s="17" t="str">
        <v/>
      </c>
      <c r="M812" s="17">
        <v>0</v>
      </c>
      <c r="N812" s="17">
        <v>0</v>
      </c>
      <c r="O812" s="17" t="str">
        <v/>
      </c>
      <c r="P812" s="17" t="str">
        <v/>
      </c>
      <c r="Q812" s="17">
        <v>0</v>
      </c>
      <c r="R812" s="17">
        <v>0</v>
      </c>
      <c r="S812" s="17">
        <v>0</v>
      </c>
      <c r="T812" s="22">
        <v>0</v>
      </c>
    </row>
    <row r="813" spans="2:20" x14ac:dyDescent="0.25">
      <c r="B813" s="21">
        <v>0</v>
      </c>
      <c r="C813" s="17">
        <v>0</v>
      </c>
      <c r="D813" s="17">
        <v>0</v>
      </c>
      <c r="E813" s="17">
        <v>0</v>
      </c>
      <c r="F813" s="17">
        <v>0</v>
      </c>
      <c r="G813" s="17">
        <v>0</v>
      </c>
      <c r="H813" s="38">
        <v>0</v>
      </c>
      <c r="I813" s="17" t="str">
        <v/>
      </c>
      <c r="J813" s="17">
        <v>0</v>
      </c>
      <c r="K813" s="38">
        <v>0</v>
      </c>
      <c r="L813" s="17" t="str">
        <v/>
      </c>
      <c r="M813" s="17">
        <v>0</v>
      </c>
      <c r="N813" s="17">
        <v>0</v>
      </c>
      <c r="O813" s="17" t="str">
        <v/>
      </c>
      <c r="P813" s="17" t="str">
        <v/>
      </c>
      <c r="Q813" s="17">
        <v>0</v>
      </c>
      <c r="R813" s="17">
        <v>0</v>
      </c>
      <c r="S813" s="17">
        <v>0</v>
      </c>
      <c r="T813" s="22">
        <v>0</v>
      </c>
    </row>
    <row r="814" spans="2:20" x14ac:dyDescent="0.25">
      <c r="B814" s="21">
        <v>0</v>
      </c>
      <c r="C814" s="17">
        <v>0</v>
      </c>
      <c r="D814" s="17">
        <v>0</v>
      </c>
      <c r="E814" s="17">
        <v>0</v>
      </c>
      <c r="F814" s="17">
        <v>0</v>
      </c>
      <c r="G814" s="17">
        <v>0</v>
      </c>
      <c r="H814" s="38">
        <v>0</v>
      </c>
      <c r="I814" s="17" t="str">
        <v/>
      </c>
      <c r="J814" s="17">
        <v>0</v>
      </c>
      <c r="K814" s="38">
        <v>0</v>
      </c>
      <c r="L814" s="17" t="str">
        <v/>
      </c>
      <c r="M814" s="17">
        <v>0</v>
      </c>
      <c r="N814" s="17">
        <v>0</v>
      </c>
      <c r="O814" s="17" t="str">
        <v/>
      </c>
      <c r="P814" s="17" t="str">
        <v/>
      </c>
      <c r="Q814" s="17">
        <v>0</v>
      </c>
      <c r="R814" s="17">
        <v>0</v>
      </c>
      <c r="S814" s="17">
        <v>0</v>
      </c>
      <c r="T814" s="22">
        <v>0</v>
      </c>
    </row>
    <row r="815" spans="2:20" x14ac:dyDescent="0.25">
      <c r="B815" s="21">
        <v>0</v>
      </c>
      <c r="C815" s="17">
        <v>0</v>
      </c>
      <c r="D815" s="17">
        <v>0</v>
      </c>
      <c r="E815" s="17">
        <v>0</v>
      </c>
      <c r="F815" s="17">
        <v>0</v>
      </c>
      <c r="G815" s="17">
        <v>0</v>
      </c>
      <c r="H815" s="38">
        <v>0</v>
      </c>
      <c r="I815" s="17" t="str">
        <v/>
      </c>
      <c r="J815" s="17">
        <v>0</v>
      </c>
      <c r="K815" s="38">
        <v>0</v>
      </c>
      <c r="L815" s="17" t="str">
        <v/>
      </c>
      <c r="M815" s="17">
        <v>0</v>
      </c>
      <c r="N815" s="17">
        <v>0</v>
      </c>
      <c r="O815" s="17" t="str">
        <v/>
      </c>
      <c r="P815" s="17" t="str">
        <v/>
      </c>
      <c r="Q815" s="17">
        <v>0</v>
      </c>
      <c r="R815" s="17">
        <v>0</v>
      </c>
      <c r="S815" s="17">
        <v>0</v>
      </c>
      <c r="T815" s="22">
        <v>0</v>
      </c>
    </row>
    <row r="816" spans="2:20" x14ac:dyDescent="0.25">
      <c r="B816" s="21">
        <v>0</v>
      </c>
      <c r="C816" s="17">
        <v>0</v>
      </c>
      <c r="D816" s="17">
        <v>0</v>
      </c>
      <c r="E816" s="17">
        <v>0</v>
      </c>
      <c r="F816" s="17">
        <v>0</v>
      </c>
      <c r="G816" s="17">
        <v>0</v>
      </c>
      <c r="H816" s="38">
        <v>0</v>
      </c>
      <c r="I816" s="17" t="str">
        <v/>
      </c>
      <c r="J816" s="17">
        <v>0</v>
      </c>
      <c r="K816" s="38">
        <v>0</v>
      </c>
      <c r="L816" s="17" t="str">
        <v/>
      </c>
      <c r="M816" s="17">
        <v>0</v>
      </c>
      <c r="N816" s="17">
        <v>0</v>
      </c>
      <c r="O816" s="17" t="str">
        <v/>
      </c>
      <c r="P816" s="17" t="str">
        <v/>
      </c>
      <c r="Q816" s="17">
        <v>0</v>
      </c>
      <c r="R816" s="17">
        <v>0</v>
      </c>
      <c r="S816" s="17">
        <v>0</v>
      </c>
      <c r="T816" s="22">
        <v>0</v>
      </c>
    </row>
    <row r="817" spans="2:20" x14ac:dyDescent="0.25">
      <c r="B817" s="21">
        <v>0</v>
      </c>
      <c r="C817" s="17">
        <v>0</v>
      </c>
      <c r="D817" s="17">
        <v>0</v>
      </c>
      <c r="E817" s="17">
        <v>0</v>
      </c>
      <c r="F817" s="17">
        <v>0</v>
      </c>
      <c r="G817" s="17">
        <v>0</v>
      </c>
      <c r="H817" s="38">
        <v>0</v>
      </c>
      <c r="I817" s="17" t="str">
        <v/>
      </c>
      <c r="J817" s="17">
        <v>0</v>
      </c>
      <c r="K817" s="38">
        <v>0</v>
      </c>
      <c r="L817" s="17" t="str">
        <v/>
      </c>
      <c r="M817" s="17">
        <v>0</v>
      </c>
      <c r="N817" s="17">
        <v>0</v>
      </c>
      <c r="O817" s="17" t="str">
        <v/>
      </c>
      <c r="P817" s="17" t="str">
        <v/>
      </c>
      <c r="Q817" s="17">
        <v>0</v>
      </c>
      <c r="R817" s="17">
        <v>0</v>
      </c>
      <c r="S817" s="17">
        <v>0</v>
      </c>
      <c r="T817" s="22">
        <v>0</v>
      </c>
    </row>
    <row r="818" spans="2:20" x14ac:dyDescent="0.25">
      <c r="B818" s="21">
        <v>0</v>
      </c>
      <c r="C818" s="17">
        <v>0</v>
      </c>
      <c r="D818" s="17">
        <v>0</v>
      </c>
      <c r="E818" s="17">
        <v>0</v>
      </c>
      <c r="F818" s="17">
        <v>0</v>
      </c>
      <c r="G818" s="17">
        <v>0</v>
      </c>
      <c r="H818" s="38">
        <v>0</v>
      </c>
      <c r="I818" s="17" t="str">
        <v/>
      </c>
      <c r="J818" s="17">
        <v>0</v>
      </c>
      <c r="K818" s="38">
        <v>0</v>
      </c>
      <c r="L818" s="17" t="str">
        <v/>
      </c>
      <c r="M818" s="17">
        <v>0</v>
      </c>
      <c r="N818" s="17">
        <v>0</v>
      </c>
      <c r="O818" s="17" t="str">
        <v/>
      </c>
      <c r="P818" s="17" t="str">
        <v/>
      </c>
      <c r="Q818" s="17">
        <v>0</v>
      </c>
      <c r="R818" s="17">
        <v>0</v>
      </c>
      <c r="S818" s="17">
        <v>0</v>
      </c>
      <c r="T818" s="22">
        <v>0</v>
      </c>
    </row>
    <row r="819" spans="2:20" x14ac:dyDescent="0.25">
      <c r="B819" s="21">
        <v>0</v>
      </c>
      <c r="C819" s="17">
        <v>0</v>
      </c>
      <c r="D819" s="17">
        <v>0</v>
      </c>
      <c r="E819" s="17">
        <v>0</v>
      </c>
      <c r="F819" s="17">
        <v>0</v>
      </c>
      <c r="G819" s="17">
        <v>0</v>
      </c>
      <c r="H819" s="38">
        <v>0</v>
      </c>
      <c r="I819" s="17" t="str">
        <v/>
      </c>
      <c r="J819" s="17">
        <v>0</v>
      </c>
      <c r="K819" s="38">
        <v>0</v>
      </c>
      <c r="L819" s="17" t="str">
        <v/>
      </c>
      <c r="M819" s="17">
        <v>0</v>
      </c>
      <c r="N819" s="17">
        <v>0</v>
      </c>
      <c r="O819" s="17" t="str">
        <v/>
      </c>
      <c r="P819" s="17" t="str">
        <v/>
      </c>
      <c r="Q819" s="17">
        <v>0</v>
      </c>
      <c r="R819" s="17">
        <v>0</v>
      </c>
      <c r="S819" s="17">
        <v>0</v>
      </c>
      <c r="T819" s="22">
        <v>0</v>
      </c>
    </row>
    <row r="820" spans="2:20" x14ac:dyDescent="0.25">
      <c r="B820" s="21">
        <v>0</v>
      </c>
      <c r="C820" s="17">
        <v>0</v>
      </c>
      <c r="D820" s="17">
        <v>0</v>
      </c>
      <c r="E820" s="17">
        <v>0</v>
      </c>
      <c r="F820" s="17">
        <v>0</v>
      </c>
      <c r="G820" s="17">
        <v>0</v>
      </c>
      <c r="H820" s="38">
        <v>0</v>
      </c>
      <c r="I820" s="17" t="str">
        <v/>
      </c>
      <c r="J820" s="17">
        <v>0</v>
      </c>
      <c r="K820" s="38">
        <v>0</v>
      </c>
      <c r="L820" s="17" t="str">
        <v/>
      </c>
      <c r="M820" s="17">
        <v>0</v>
      </c>
      <c r="N820" s="17">
        <v>0</v>
      </c>
      <c r="O820" s="17" t="str">
        <v/>
      </c>
      <c r="P820" s="17" t="str">
        <v/>
      </c>
      <c r="Q820" s="17">
        <v>0</v>
      </c>
      <c r="R820" s="17">
        <v>0</v>
      </c>
      <c r="S820" s="17">
        <v>0</v>
      </c>
      <c r="T820" s="22">
        <v>0</v>
      </c>
    </row>
    <row r="821" spans="2:20" x14ac:dyDescent="0.25">
      <c r="B821" s="21">
        <v>0</v>
      </c>
      <c r="C821" s="17">
        <v>0</v>
      </c>
      <c r="D821" s="17">
        <v>0</v>
      </c>
      <c r="E821" s="17">
        <v>0</v>
      </c>
      <c r="F821" s="17">
        <v>0</v>
      </c>
      <c r="G821" s="17">
        <v>0</v>
      </c>
      <c r="H821" s="38">
        <v>0</v>
      </c>
      <c r="I821" s="17" t="str">
        <v/>
      </c>
      <c r="J821" s="17">
        <v>0</v>
      </c>
      <c r="K821" s="38">
        <v>0</v>
      </c>
      <c r="L821" s="17" t="str">
        <v/>
      </c>
      <c r="M821" s="17">
        <v>0</v>
      </c>
      <c r="N821" s="17">
        <v>0</v>
      </c>
      <c r="O821" s="17" t="str">
        <v/>
      </c>
      <c r="P821" s="17" t="str">
        <v/>
      </c>
      <c r="Q821" s="17">
        <v>0</v>
      </c>
      <c r="R821" s="17">
        <v>0</v>
      </c>
      <c r="S821" s="17">
        <v>0</v>
      </c>
      <c r="T821" s="22">
        <v>0</v>
      </c>
    </row>
    <row r="822" spans="2:20" x14ac:dyDescent="0.25">
      <c r="B822" s="21">
        <v>0</v>
      </c>
      <c r="C822" s="17">
        <v>0</v>
      </c>
      <c r="D822" s="17">
        <v>0</v>
      </c>
      <c r="E822" s="17">
        <v>0</v>
      </c>
      <c r="F822" s="17">
        <v>0</v>
      </c>
      <c r="G822" s="17">
        <v>0</v>
      </c>
      <c r="H822" s="38">
        <v>0</v>
      </c>
      <c r="I822" s="17" t="str">
        <v/>
      </c>
      <c r="J822" s="17">
        <v>0</v>
      </c>
      <c r="K822" s="38">
        <v>0</v>
      </c>
      <c r="L822" s="17" t="str">
        <v/>
      </c>
      <c r="M822" s="17">
        <v>0</v>
      </c>
      <c r="N822" s="17">
        <v>0</v>
      </c>
      <c r="O822" s="17" t="str">
        <v/>
      </c>
      <c r="P822" s="17" t="str">
        <v/>
      </c>
      <c r="Q822" s="17">
        <v>0</v>
      </c>
      <c r="R822" s="17">
        <v>0</v>
      </c>
      <c r="S822" s="17">
        <v>0</v>
      </c>
      <c r="T822" s="22">
        <v>0</v>
      </c>
    </row>
    <row r="823" spans="2:20" x14ac:dyDescent="0.25">
      <c r="B823" s="21">
        <v>0</v>
      </c>
      <c r="C823" s="17">
        <v>0</v>
      </c>
      <c r="D823" s="17">
        <v>0</v>
      </c>
      <c r="E823" s="17">
        <v>0</v>
      </c>
      <c r="F823" s="17">
        <v>0</v>
      </c>
      <c r="G823" s="17">
        <v>0</v>
      </c>
      <c r="H823" s="38">
        <v>0</v>
      </c>
      <c r="I823" s="17" t="str">
        <v/>
      </c>
      <c r="J823" s="17">
        <v>0</v>
      </c>
      <c r="K823" s="38">
        <v>0</v>
      </c>
      <c r="L823" s="17" t="str">
        <v/>
      </c>
      <c r="M823" s="17">
        <v>0</v>
      </c>
      <c r="N823" s="17">
        <v>0</v>
      </c>
      <c r="O823" s="17" t="str">
        <v/>
      </c>
      <c r="P823" s="17" t="str">
        <v/>
      </c>
      <c r="Q823" s="17">
        <v>0</v>
      </c>
      <c r="R823" s="17">
        <v>0</v>
      </c>
      <c r="S823" s="17">
        <v>0</v>
      </c>
      <c r="T823" s="22">
        <v>0</v>
      </c>
    </row>
    <row r="824" spans="2:20" x14ac:dyDescent="0.25">
      <c r="B824" s="21">
        <v>0</v>
      </c>
      <c r="C824" s="17">
        <v>0</v>
      </c>
      <c r="D824" s="17">
        <v>0</v>
      </c>
      <c r="E824" s="17">
        <v>0</v>
      </c>
      <c r="F824" s="17">
        <v>0</v>
      </c>
      <c r="G824" s="17">
        <v>0</v>
      </c>
      <c r="H824" s="38">
        <v>0</v>
      </c>
      <c r="I824" s="17" t="str">
        <v/>
      </c>
      <c r="J824" s="17">
        <v>0</v>
      </c>
      <c r="K824" s="38">
        <v>0</v>
      </c>
      <c r="L824" s="17" t="str">
        <v/>
      </c>
      <c r="M824" s="17">
        <v>0</v>
      </c>
      <c r="N824" s="17">
        <v>0</v>
      </c>
      <c r="O824" s="17" t="str">
        <v/>
      </c>
      <c r="P824" s="17" t="str">
        <v/>
      </c>
      <c r="Q824" s="17">
        <v>0</v>
      </c>
      <c r="R824" s="17">
        <v>0</v>
      </c>
      <c r="S824" s="17">
        <v>0</v>
      </c>
      <c r="T824" s="22">
        <v>0</v>
      </c>
    </row>
    <row r="825" spans="2:20" x14ac:dyDescent="0.25">
      <c r="B825" s="21">
        <v>0</v>
      </c>
      <c r="C825" s="17">
        <v>0</v>
      </c>
      <c r="D825" s="17">
        <v>0</v>
      </c>
      <c r="E825" s="17">
        <v>0</v>
      </c>
      <c r="F825" s="17">
        <v>0</v>
      </c>
      <c r="G825" s="17">
        <v>0</v>
      </c>
      <c r="H825" s="38">
        <v>0</v>
      </c>
      <c r="I825" s="17" t="str">
        <v/>
      </c>
      <c r="J825" s="17">
        <v>0</v>
      </c>
      <c r="K825" s="38">
        <v>0</v>
      </c>
      <c r="L825" s="17" t="str">
        <v/>
      </c>
      <c r="M825" s="17">
        <v>0</v>
      </c>
      <c r="N825" s="17">
        <v>0</v>
      </c>
      <c r="O825" s="17" t="str">
        <v/>
      </c>
      <c r="P825" s="17" t="str">
        <v/>
      </c>
      <c r="Q825" s="17">
        <v>0</v>
      </c>
      <c r="R825" s="17">
        <v>0</v>
      </c>
      <c r="S825" s="17">
        <v>0</v>
      </c>
      <c r="T825" s="22">
        <v>0</v>
      </c>
    </row>
    <row r="826" spans="2:20" x14ac:dyDescent="0.25">
      <c r="B826" s="21">
        <v>0</v>
      </c>
      <c r="C826" s="17">
        <v>0</v>
      </c>
      <c r="D826" s="17">
        <v>0</v>
      </c>
      <c r="E826" s="17">
        <v>0</v>
      </c>
      <c r="F826" s="17">
        <v>0</v>
      </c>
      <c r="G826" s="17">
        <v>0</v>
      </c>
      <c r="H826" s="38">
        <v>0</v>
      </c>
      <c r="I826" s="17" t="str">
        <v/>
      </c>
      <c r="J826" s="17">
        <v>0</v>
      </c>
      <c r="K826" s="38">
        <v>0</v>
      </c>
      <c r="L826" s="17" t="str">
        <v/>
      </c>
      <c r="M826" s="17">
        <v>0</v>
      </c>
      <c r="N826" s="17">
        <v>0</v>
      </c>
      <c r="O826" s="17" t="str">
        <v/>
      </c>
      <c r="P826" s="17" t="str">
        <v/>
      </c>
      <c r="Q826" s="17">
        <v>0</v>
      </c>
      <c r="R826" s="17">
        <v>0</v>
      </c>
      <c r="S826" s="17">
        <v>0</v>
      </c>
      <c r="T826" s="22">
        <v>0</v>
      </c>
    </row>
    <row r="827" spans="2:20" x14ac:dyDescent="0.25">
      <c r="B827" s="21">
        <v>0</v>
      </c>
      <c r="C827" s="17">
        <v>0</v>
      </c>
      <c r="D827" s="17">
        <v>0</v>
      </c>
      <c r="E827" s="17">
        <v>0</v>
      </c>
      <c r="F827" s="17">
        <v>0</v>
      </c>
      <c r="G827" s="17">
        <v>0</v>
      </c>
      <c r="H827" s="38">
        <v>0</v>
      </c>
      <c r="I827" s="17" t="str">
        <v/>
      </c>
      <c r="J827" s="17">
        <v>0</v>
      </c>
      <c r="K827" s="38">
        <v>0</v>
      </c>
      <c r="L827" s="17" t="str">
        <v/>
      </c>
      <c r="M827" s="17">
        <v>0</v>
      </c>
      <c r="N827" s="17">
        <v>0</v>
      </c>
      <c r="O827" s="17" t="str">
        <v/>
      </c>
      <c r="P827" s="17" t="str">
        <v/>
      </c>
      <c r="Q827" s="17">
        <v>0</v>
      </c>
      <c r="R827" s="17">
        <v>0</v>
      </c>
      <c r="S827" s="17">
        <v>0</v>
      </c>
      <c r="T827" s="22">
        <v>0</v>
      </c>
    </row>
    <row r="828" spans="2:20" x14ac:dyDescent="0.25">
      <c r="B828" s="21">
        <v>0</v>
      </c>
      <c r="C828" s="17">
        <v>0</v>
      </c>
      <c r="D828" s="17">
        <v>0</v>
      </c>
      <c r="E828" s="17">
        <v>0</v>
      </c>
      <c r="F828" s="17">
        <v>0</v>
      </c>
      <c r="G828" s="17">
        <v>0</v>
      </c>
      <c r="H828" s="38">
        <v>0</v>
      </c>
      <c r="I828" s="17" t="str">
        <v/>
      </c>
      <c r="J828" s="17">
        <v>0</v>
      </c>
      <c r="K828" s="38">
        <v>0</v>
      </c>
      <c r="L828" s="17" t="str">
        <v/>
      </c>
      <c r="M828" s="17">
        <v>0</v>
      </c>
      <c r="N828" s="17">
        <v>0</v>
      </c>
      <c r="O828" s="17" t="str">
        <v/>
      </c>
      <c r="P828" s="17" t="str">
        <v/>
      </c>
      <c r="Q828" s="17">
        <v>0</v>
      </c>
      <c r="R828" s="17">
        <v>0</v>
      </c>
      <c r="S828" s="17">
        <v>0</v>
      </c>
      <c r="T828" s="22">
        <v>0</v>
      </c>
    </row>
    <row r="829" spans="2:20" x14ac:dyDescent="0.25">
      <c r="B829" s="21">
        <v>0</v>
      </c>
      <c r="C829" s="17">
        <v>0</v>
      </c>
      <c r="D829" s="17">
        <v>0</v>
      </c>
      <c r="E829" s="17">
        <v>0</v>
      </c>
      <c r="F829" s="17">
        <v>0</v>
      </c>
      <c r="G829" s="17">
        <v>0</v>
      </c>
      <c r="H829" s="38">
        <v>0</v>
      </c>
      <c r="I829" s="17" t="str">
        <v/>
      </c>
      <c r="J829" s="17">
        <v>0</v>
      </c>
      <c r="K829" s="38">
        <v>0</v>
      </c>
      <c r="L829" s="17" t="str">
        <v/>
      </c>
      <c r="M829" s="17">
        <v>0</v>
      </c>
      <c r="N829" s="17">
        <v>0</v>
      </c>
      <c r="O829" s="17" t="str">
        <v/>
      </c>
      <c r="P829" s="17" t="str">
        <v/>
      </c>
      <c r="Q829" s="17">
        <v>0</v>
      </c>
      <c r="R829" s="17">
        <v>0</v>
      </c>
      <c r="S829" s="17">
        <v>0</v>
      </c>
      <c r="T829" s="22">
        <v>0</v>
      </c>
    </row>
    <row r="830" spans="2:20" x14ac:dyDescent="0.25">
      <c r="B830" s="21">
        <v>0</v>
      </c>
      <c r="C830" s="17">
        <v>0</v>
      </c>
      <c r="D830" s="17">
        <v>0</v>
      </c>
      <c r="E830" s="17">
        <v>0</v>
      </c>
      <c r="F830" s="17">
        <v>0</v>
      </c>
      <c r="G830" s="17">
        <v>0</v>
      </c>
      <c r="H830" s="38">
        <v>0</v>
      </c>
      <c r="I830" s="17" t="str">
        <v/>
      </c>
      <c r="J830" s="17">
        <v>0</v>
      </c>
      <c r="K830" s="38">
        <v>0</v>
      </c>
      <c r="L830" s="17" t="str">
        <v/>
      </c>
      <c r="M830" s="17">
        <v>0</v>
      </c>
      <c r="N830" s="17">
        <v>0</v>
      </c>
      <c r="O830" s="17" t="str">
        <v/>
      </c>
      <c r="P830" s="17" t="str">
        <v/>
      </c>
      <c r="Q830" s="17">
        <v>0</v>
      </c>
      <c r="R830" s="17">
        <v>0</v>
      </c>
      <c r="S830" s="17">
        <v>0</v>
      </c>
      <c r="T830" s="22">
        <v>0</v>
      </c>
    </row>
    <row r="831" spans="2:20" x14ac:dyDescent="0.25">
      <c r="B831" s="21">
        <v>0</v>
      </c>
      <c r="C831" s="17">
        <v>0</v>
      </c>
      <c r="D831" s="17">
        <v>0</v>
      </c>
      <c r="E831" s="17">
        <v>0</v>
      </c>
      <c r="F831" s="17">
        <v>0</v>
      </c>
      <c r="G831" s="17">
        <v>0</v>
      </c>
      <c r="H831" s="38">
        <v>0</v>
      </c>
      <c r="I831" s="17" t="str">
        <v/>
      </c>
      <c r="J831" s="17">
        <v>0</v>
      </c>
      <c r="K831" s="38">
        <v>0</v>
      </c>
      <c r="L831" s="17" t="str">
        <v/>
      </c>
      <c r="M831" s="17">
        <v>0</v>
      </c>
      <c r="N831" s="17">
        <v>0</v>
      </c>
      <c r="O831" s="17" t="str">
        <v/>
      </c>
      <c r="P831" s="17" t="str">
        <v/>
      </c>
      <c r="Q831" s="17">
        <v>0</v>
      </c>
      <c r="R831" s="17">
        <v>0</v>
      </c>
      <c r="S831" s="17">
        <v>0</v>
      </c>
      <c r="T831" s="22">
        <v>0</v>
      </c>
    </row>
    <row r="832" spans="2:20" x14ac:dyDescent="0.25">
      <c r="B832" s="21">
        <v>0</v>
      </c>
      <c r="C832" s="17">
        <v>0</v>
      </c>
      <c r="D832" s="17">
        <v>0</v>
      </c>
      <c r="E832" s="17">
        <v>0</v>
      </c>
      <c r="F832" s="17">
        <v>0</v>
      </c>
      <c r="G832" s="17">
        <v>0</v>
      </c>
      <c r="H832" s="38">
        <v>0</v>
      </c>
      <c r="I832" s="17" t="str">
        <v/>
      </c>
      <c r="J832" s="17">
        <v>0</v>
      </c>
      <c r="K832" s="38">
        <v>0</v>
      </c>
      <c r="L832" s="17" t="str">
        <v/>
      </c>
      <c r="M832" s="17">
        <v>0</v>
      </c>
      <c r="N832" s="17">
        <v>0</v>
      </c>
      <c r="O832" s="17" t="str">
        <v/>
      </c>
      <c r="P832" s="17" t="str">
        <v/>
      </c>
      <c r="Q832" s="17">
        <v>0</v>
      </c>
      <c r="R832" s="17">
        <v>0</v>
      </c>
      <c r="S832" s="17">
        <v>0</v>
      </c>
      <c r="T832" s="22">
        <v>0</v>
      </c>
    </row>
    <row r="833" spans="2:20" x14ac:dyDescent="0.25">
      <c r="B833" s="21">
        <v>0</v>
      </c>
      <c r="C833" s="17">
        <v>0</v>
      </c>
      <c r="D833" s="17">
        <v>0</v>
      </c>
      <c r="E833" s="17">
        <v>0</v>
      </c>
      <c r="F833" s="17">
        <v>0</v>
      </c>
      <c r="G833" s="17">
        <v>0</v>
      </c>
      <c r="H833" s="38">
        <v>0</v>
      </c>
      <c r="I833" s="17" t="str">
        <v/>
      </c>
      <c r="J833" s="17">
        <v>0</v>
      </c>
      <c r="K833" s="38">
        <v>0</v>
      </c>
      <c r="L833" s="17" t="str">
        <v/>
      </c>
      <c r="M833" s="17">
        <v>0</v>
      </c>
      <c r="N833" s="17">
        <v>0</v>
      </c>
      <c r="O833" s="17" t="str">
        <v/>
      </c>
      <c r="P833" s="17" t="str">
        <v/>
      </c>
      <c r="Q833" s="17">
        <v>0</v>
      </c>
      <c r="R833" s="17">
        <v>0</v>
      </c>
      <c r="S833" s="17">
        <v>0</v>
      </c>
      <c r="T833" s="22">
        <v>0</v>
      </c>
    </row>
    <row r="834" spans="2:20" x14ac:dyDescent="0.25">
      <c r="B834" s="21">
        <v>0</v>
      </c>
      <c r="C834" s="17">
        <v>0</v>
      </c>
      <c r="D834" s="17">
        <v>0</v>
      </c>
      <c r="E834" s="17">
        <v>0</v>
      </c>
      <c r="F834" s="17">
        <v>0</v>
      </c>
      <c r="G834" s="17">
        <v>0</v>
      </c>
      <c r="H834" s="38">
        <v>0</v>
      </c>
      <c r="I834" s="17" t="str">
        <v/>
      </c>
      <c r="J834" s="17">
        <v>0</v>
      </c>
      <c r="K834" s="38">
        <v>0</v>
      </c>
      <c r="L834" s="17" t="str">
        <v/>
      </c>
      <c r="M834" s="17">
        <v>0</v>
      </c>
      <c r="N834" s="17">
        <v>0</v>
      </c>
      <c r="O834" s="17" t="str">
        <v/>
      </c>
      <c r="P834" s="17" t="str">
        <v/>
      </c>
      <c r="Q834" s="17">
        <v>0</v>
      </c>
      <c r="R834" s="17">
        <v>0</v>
      </c>
      <c r="S834" s="17">
        <v>0</v>
      </c>
      <c r="T834" s="22">
        <v>0</v>
      </c>
    </row>
    <row r="835" spans="2:20" x14ac:dyDescent="0.25">
      <c r="B835" s="21">
        <v>0</v>
      </c>
      <c r="C835" s="17">
        <v>0</v>
      </c>
      <c r="D835" s="17">
        <v>0</v>
      </c>
      <c r="E835" s="17">
        <v>0</v>
      </c>
      <c r="F835" s="17">
        <v>0</v>
      </c>
      <c r="G835" s="17">
        <v>0</v>
      </c>
      <c r="H835" s="38">
        <v>0</v>
      </c>
      <c r="I835" s="17" t="str">
        <v/>
      </c>
      <c r="J835" s="17">
        <v>0</v>
      </c>
      <c r="K835" s="38">
        <v>0</v>
      </c>
      <c r="L835" s="17" t="str">
        <v/>
      </c>
      <c r="M835" s="17">
        <v>0</v>
      </c>
      <c r="N835" s="17">
        <v>0</v>
      </c>
      <c r="O835" s="17" t="str">
        <v/>
      </c>
      <c r="P835" s="17" t="str">
        <v/>
      </c>
      <c r="Q835" s="17">
        <v>0</v>
      </c>
      <c r="R835" s="17">
        <v>0</v>
      </c>
      <c r="S835" s="17">
        <v>0</v>
      </c>
      <c r="T835" s="22">
        <v>0</v>
      </c>
    </row>
    <row r="836" spans="2:20" x14ac:dyDescent="0.25">
      <c r="B836" s="21">
        <v>0</v>
      </c>
      <c r="C836" s="17">
        <v>0</v>
      </c>
      <c r="D836" s="17">
        <v>0</v>
      </c>
      <c r="E836" s="17">
        <v>0</v>
      </c>
      <c r="F836" s="17">
        <v>0</v>
      </c>
      <c r="G836" s="17">
        <v>0</v>
      </c>
      <c r="H836" s="38">
        <v>0</v>
      </c>
      <c r="I836" s="17" t="str">
        <v/>
      </c>
      <c r="J836" s="17">
        <v>0</v>
      </c>
      <c r="K836" s="38">
        <v>0</v>
      </c>
      <c r="L836" s="17" t="str">
        <v/>
      </c>
      <c r="M836" s="17">
        <v>0</v>
      </c>
      <c r="N836" s="17">
        <v>0</v>
      </c>
      <c r="O836" s="17" t="str">
        <v/>
      </c>
      <c r="P836" s="17" t="str">
        <v/>
      </c>
      <c r="Q836" s="17">
        <v>0</v>
      </c>
      <c r="R836" s="17">
        <v>0</v>
      </c>
      <c r="S836" s="17">
        <v>0</v>
      </c>
      <c r="T836" s="22">
        <v>0</v>
      </c>
    </row>
    <row r="837" spans="2:20" x14ac:dyDescent="0.25">
      <c r="B837" s="21">
        <v>0</v>
      </c>
      <c r="C837" s="17">
        <v>0</v>
      </c>
      <c r="D837" s="17">
        <v>0</v>
      </c>
      <c r="E837" s="17">
        <v>0</v>
      </c>
      <c r="F837" s="17">
        <v>0</v>
      </c>
      <c r="G837" s="17">
        <v>0</v>
      </c>
      <c r="H837" s="38">
        <v>0</v>
      </c>
      <c r="I837" s="17" t="str">
        <v/>
      </c>
      <c r="J837" s="17">
        <v>0</v>
      </c>
      <c r="K837" s="38">
        <v>0</v>
      </c>
      <c r="L837" s="17" t="str">
        <v/>
      </c>
      <c r="M837" s="17">
        <v>0</v>
      </c>
      <c r="N837" s="17">
        <v>0</v>
      </c>
      <c r="O837" s="17" t="str">
        <v/>
      </c>
      <c r="P837" s="17" t="str">
        <v/>
      </c>
      <c r="Q837" s="17">
        <v>0</v>
      </c>
      <c r="R837" s="17">
        <v>0</v>
      </c>
      <c r="S837" s="17">
        <v>0</v>
      </c>
      <c r="T837" s="22">
        <v>0</v>
      </c>
    </row>
    <row r="838" spans="2:20" x14ac:dyDescent="0.25">
      <c r="B838" s="21">
        <v>0</v>
      </c>
      <c r="C838" s="17">
        <v>0</v>
      </c>
      <c r="D838" s="17">
        <v>0</v>
      </c>
      <c r="E838" s="17">
        <v>0</v>
      </c>
      <c r="F838" s="17">
        <v>0</v>
      </c>
      <c r="G838" s="17">
        <v>0</v>
      </c>
      <c r="H838" s="38">
        <v>0</v>
      </c>
      <c r="I838" s="17" t="str">
        <v/>
      </c>
      <c r="J838" s="17">
        <v>0</v>
      </c>
      <c r="K838" s="38">
        <v>0</v>
      </c>
      <c r="L838" s="17" t="str">
        <v/>
      </c>
      <c r="M838" s="17">
        <v>0</v>
      </c>
      <c r="N838" s="17">
        <v>0</v>
      </c>
      <c r="O838" s="17" t="str">
        <v/>
      </c>
      <c r="P838" s="17" t="str">
        <v/>
      </c>
      <c r="Q838" s="17">
        <v>0</v>
      </c>
      <c r="R838" s="17">
        <v>0</v>
      </c>
      <c r="S838" s="17">
        <v>0</v>
      </c>
      <c r="T838" s="22">
        <v>0</v>
      </c>
    </row>
    <row r="839" spans="2:20" x14ac:dyDescent="0.25">
      <c r="B839" s="21">
        <v>0</v>
      </c>
      <c r="C839" s="17">
        <v>0</v>
      </c>
      <c r="D839" s="17">
        <v>0</v>
      </c>
      <c r="E839" s="17">
        <v>0</v>
      </c>
      <c r="F839" s="17">
        <v>0</v>
      </c>
      <c r="G839" s="17">
        <v>0</v>
      </c>
      <c r="H839" s="38">
        <v>0</v>
      </c>
      <c r="I839" s="17" t="str">
        <v/>
      </c>
      <c r="J839" s="17">
        <v>0</v>
      </c>
      <c r="K839" s="38">
        <v>0</v>
      </c>
      <c r="L839" s="17" t="str">
        <v/>
      </c>
      <c r="M839" s="17">
        <v>0</v>
      </c>
      <c r="N839" s="17">
        <v>0</v>
      </c>
      <c r="O839" s="17" t="str">
        <v/>
      </c>
      <c r="P839" s="17" t="str">
        <v/>
      </c>
      <c r="Q839" s="17">
        <v>0</v>
      </c>
      <c r="R839" s="17">
        <v>0</v>
      </c>
      <c r="S839" s="17">
        <v>0</v>
      </c>
      <c r="T839" s="22">
        <v>0</v>
      </c>
    </row>
    <row r="840" spans="2:20" x14ac:dyDescent="0.25">
      <c r="B840" s="21">
        <v>0</v>
      </c>
      <c r="C840" s="17">
        <v>0</v>
      </c>
      <c r="D840" s="17">
        <v>0</v>
      </c>
      <c r="E840" s="17">
        <v>0</v>
      </c>
      <c r="F840" s="17">
        <v>0</v>
      </c>
      <c r="G840" s="17">
        <v>0</v>
      </c>
      <c r="H840" s="38">
        <v>0</v>
      </c>
      <c r="I840" s="17" t="str">
        <v/>
      </c>
      <c r="J840" s="17">
        <v>0</v>
      </c>
      <c r="K840" s="38">
        <v>0</v>
      </c>
      <c r="L840" s="17" t="str">
        <v/>
      </c>
      <c r="M840" s="17">
        <v>0</v>
      </c>
      <c r="N840" s="17">
        <v>0</v>
      </c>
      <c r="O840" s="17" t="str">
        <v/>
      </c>
      <c r="P840" s="17" t="str">
        <v/>
      </c>
      <c r="Q840" s="17">
        <v>0</v>
      </c>
      <c r="R840" s="17">
        <v>0</v>
      </c>
      <c r="S840" s="17">
        <v>0</v>
      </c>
      <c r="T840" s="22">
        <v>0</v>
      </c>
    </row>
    <row r="841" spans="2:20" x14ac:dyDescent="0.25">
      <c r="B841" s="21">
        <v>0</v>
      </c>
      <c r="C841" s="17">
        <v>0</v>
      </c>
      <c r="D841" s="17">
        <v>0</v>
      </c>
      <c r="E841" s="17">
        <v>0</v>
      </c>
      <c r="F841" s="17">
        <v>0</v>
      </c>
      <c r="G841" s="17">
        <v>0</v>
      </c>
      <c r="H841" s="38">
        <v>0</v>
      </c>
      <c r="I841" s="17" t="str">
        <v/>
      </c>
      <c r="J841" s="17">
        <v>0</v>
      </c>
      <c r="K841" s="38">
        <v>0</v>
      </c>
      <c r="L841" s="17" t="str">
        <v/>
      </c>
      <c r="M841" s="17">
        <v>0</v>
      </c>
      <c r="N841" s="17">
        <v>0</v>
      </c>
      <c r="O841" s="17" t="str">
        <v/>
      </c>
      <c r="P841" s="17" t="str">
        <v/>
      </c>
      <c r="Q841" s="17">
        <v>0</v>
      </c>
      <c r="R841" s="17">
        <v>0</v>
      </c>
      <c r="S841" s="17">
        <v>0</v>
      </c>
      <c r="T841" s="22">
        <v>0</v>
      </c>
    </row>
    <row r="842" spans="2:20" x14ac:dyDescent="0.25">
      <c r="B842" s="21">
        <v>0</v>
      </c>
      <c r="C842" s="17">
        <v>0</v>
      </c>
      <c r="D842" s="17">
        <v>0</v>
      </c>
      <c r="E842" s="17">
        <v>0</v>
      </c>
      <c r="F842" s="17">
        <v>0</v>
      </c>
      <c r="G842" s="17">
        <v>0</v>
      </c>
      <c r="H842" s="38">
        <v>0</v>
      </c>
      <c r="I842" s="17" t="str">
        <v/>
      </c>
      <c r="J842" s="17">
        <v>0</v>
      </c>
      <c r="K842" s="38">
        <v>0</v>
      </c>
      <c r="L842" s="17" t="str">
        <v/>
      </c>
      <c r="M842" s="17">
        <v>0</v>
      </c>
      <c r="N842" s="17">
        <v>0</v>
      </c>
      <c r="O842" s="17" t="str">
        <v/>
      </c>
      <c r="P842" s="17" t="str">
        <v/>
      </c>
      <c r="Q842" s="17">
        <v>0</v>
      </c>
      <c r="R842" s="17">
        <v>0</v>
      </c>
      <c r="S842" s="17">
        <v>0</v>
      </c>
      <c r="T842" s="22">
        <v>0</v>
      </c>
    </row>
    <row r="843" spans="2:20" x14ac:dyDescent="0.25">
      <c r="B843" s="21">
        <v>0</v>
      </c>
      <c r="C843" s="17">
        <v>0</v>
      </c>
      <c r="D843" s="17">
        <v>0</v>
      </c>
      <c r="E843" s="17">
        <v>0</v>
      </c>
      <c r="F843" s="17">
        <v>0</v>
      </c>
      <c r="G843" s="17">
        <v>0</v>
      </c>
      <c r="H843" s="38">
        <v>0</v>
      </c>
      <c r="I843" s="17" t="str">
        <v/>
      </c>
      <c r="J843" s="17">
        <v>0</v>
      </c>
      <c r="K843" s="38">
        <v>0</v>
      </c>
      <c r="L843" s="17" t="str">
        <v/>
      </c>
      <c r="M843" s="17">
        <v>0</v>
      </c>
      <c r="N843" s="17">
        <v>0</v>
      </c>
      <c r="O843" s="17" t="str">
        <v/>
      </c>
      <c r="P843" s="17" t="str">
        <v/>
      </c>
      <c r="Q843" s="17">
        <v>0</v>
      </c>
      <c r="R843" s="17">
        <v>0</v>
      </c>
      <c r="S843" s="17">
        <v>0</v>
      </c>
      <c r="T843" s="22">
        <v>0</v>
      </c>
    </row>
    <row r="844" spans="2:20" x14ac:dyDescent="0.25">
      <c r="B844" s="21">
        <v>0</v>
      </c>
      <c r="C844" s="17">
        <v>0</v>
      </c>
      <c r="D844" s="17">
        <v>0</v>
      </c>
      <c r="E844" s="17">
        <v>0</v>
      </c>
      <c r="F844" s="17">
        <v>0</v>
      </c>
      <c r="G844" s="17">
        <v>0</v>
      </c>
      <c r="H844" s="38">
        <v>0</v>
      </c>
      <c r="I844" s="17" t="str">
        <v/>
      </c>
      <c r="J844" s="17">
        <v>0</v>
      </c>
      <c r="K844" s="38">
        <v>0</v>
      </c>
      <c r="L844" s="17" t="str">
        <v/>
      </c>
      <c r="M844" s="17">
        <v>0</v>
      </c>
      <c r="N844" s="17">
        <v>0</v>
      </c>
      <c r="O844" s="17" t="str">
        <v/>
      </c>
      <c r="P844" s="17" t="str">
        <v/>
      </c>
      <c r="Q844" s="17">
        <v>0</v>
      </c>
      <c r="R844" s="17">
        <v>0</v>
      </c>
      <c r="S844" s="17">
        <v>0</v>
      </c>
      <c r="T844" s="22">
        <v>0</v>
      </c>
    </row>
    <row r="845" spans="2:20" x14ac:dyDescent="0.25">
      <c r="B845" s="21">
        <v>0</v>
      </c>
      <c r="C845" s="17">
        <v>0</v>
      </c>
      <c r="D845" s="17">
        <v>0</v>
      </c>
      <c r="E845" s="17">
        <v>0</v>
      </c>
      <c r="F845" s="17">
        <v>0</v>
      </c>
      <c r="G845" s="17">
        <v>0</v>
      </c>
      <c r="H845" s="38">
        <v>0</v>
      </c>
      <c r="I845" s="17" t="str">
        <v/>
      </c>
      <c r="J845" s="17">
        <v>0</v>
      </c>
      <c r="K845" s="38">
        <v>0</v>
      </c>
      <c r="L845" s="17" t="str">
        <v/>
      </c>
      <c r="M845" s="17">
        <v>0</v>
      </c>
      <c r="N845" s="17">
        <v>0</v>
      </c>
      <c r="O845" s="17" t="str">
        <v/>
      </c>
      <c r="P845" s="17" t="str">
        <v/>
      </c>
      <c r="Q845" s="17">
        <v>0</v>
      </c>
      <c r="R845" s="17">
        <v>0</v>
      </c>
      <c r="S845" s="17">
        <v>0</v>
      </c>
      <c r="T845" s="22">
        <v>0</v>
      </c>
    </row>
    <row r="846" spans="2:20" x14ac:dyDescent="0.25">
      <c r="B846" s="21">
        <v>0</v>
      </c>
      <c r="C846" s="17">
        <v>0</v>
      </c>
      <c r="D846" s="17">
        <v>0</v>
      </c>
      <c r="E846" s="17">
        <v>0</v>
      </c>
      <c r="F846" s="17">
        <v>0</v>
      </c>
      <c r="G846" s="17">
        <v>0</v>
      </c>
      <c r="H846" s="38">
        <v>0</v>
      </c>
      <c r="I846" s="17" t="str">
        <v/>
      </c>
      <c r="J846" s="17">
        <v>0</v>
      </c>
      <c r="K846" s="38">
        <v>0</v>
      </c>
      <c r="L846" s="17" t="str">
        <v/>
      </c>
      <c r="M846" s="17">
        <v>0</v>
      </c>
      <c r="N846" s="17">
        <v>0</v>
      </c>
      <c r="O846" s="17" t="str">
        <v/>
      </c>
      <c r="P846" s="17" t="str">
        <v/>
      </c>
      <c r="Q846" s="17">
        <v>0</v>
      </c>
      <c r="R846" s="17">
        <v>0</v>
      </c>
      <c r="S846" s="17">
        <v>0</v>
      </c>
      <c r="T846" s="22">
        <v>0</v>
      </c>
    </row>
    <row r="847" spans="2:20" x14ac:dyDescent="0.25">
      <c r="B847" s="21">
        <v>0</v>
      </c>
      <c r="C847" s="17">
        <v>0</v>
      </c>
      <c r="D847" s="17">
        <v>0</v>
      </c>
      <c r="E847" s="17">
        <v>0</v>
      </c>
      <c r="F847" s="17">
        <v>0</v>
      </c>
      <c r="G847" s="17">
        <v>0</v>
      </c>
      <c r="H847" s="38">
        <v>0</v>
      </c>
      <c r="I847" s="17" t="str">
        <v/>
      </c>
      <c r="J847" s="17">
        <v>0</v>
      </c>
      <c r="K847" s="38">
        <v>0</v>
      </c>
      <c r="L847" s="17" t="str">
        <v/>
      </c>
      <c r="M847" s="17">
        <v>0</v>
      </c>
      <c r="N847" s="17">
        <v>0</v>
      </c>
      <c r="O847" s="17" t="str">
        <v/>
      </c>
      <c r="P847" s="17" t="str">
        <v/>
      </c>
      <c r="Q847" s="17">
        <v>0</v>
      </c>
      <c r="R847" s="17">
        <v>0</v>
      </c>
      <c r="S847" s="17">
        <v>0</v>
      </c>
      <c r="T847" s="22">
        <v>0</v>
      </c>
    </row>
    <row r="848" spans="2:20" x14ac:dyDescent="0.25">
      <c r="B848" s="21">
        <v>0</v>
      </c>
      <c r="C848" s="17">
        <v>0</v>
      </c>
      <c r="D848" s="17">
        <v>0</v>
      </c>
      <c r="E848" s="17">
        <v>0</v>
      </c>
      <c r="F848" s="17">
        <v>0</v>
      </c>
      <c r="G848" s="17">
        <v>0</v>
      </c>
      <c r="H848" s="38">
        <v>0</v>
      </c>
      <c r="I848" s="17" t="str">
        <v/>
      </c>
      <c r="J848" s="17">
        <v>0</v>
      </c>
      <c r="K848" s="38">
        <v>0</v>
      </c>
      <c r="L848" s="17" t="str">
        <v/>
      </c>
      <c r="M848" s="17">
        <v>0</v>
      </c>
      <c r="N848" s="17">
        <v>0</v>
      </c>
      <c r="O848" s="17" t="str">
        <v/>
      </c>
      <c r="P848" s="17" t="str">
        <v/>
      </c>
      <c r="Q848" s="17">
        <v>0</v>
      </c>
      <c r="R848" s="17">
        <v>0</v>
      </c>
      <c r="S848" s="17">
        <v>0</v>
      </c>
      <c r="T848" s="22">
        <v>0</v>
      </c>
    </row>
    <row r="849" spans="2:20" x14ac:dyDescent="0.25">
      <c r="B849" s="21">
        <v>0</v>
      </c>
      <c r="C849" s="17">
        <v>0</v>
      </c>
      <c r="D849" s="17">
        <v>0</v>
      </c>
      <c r="E849" s="17">
        <v>0</v>
      </c>
      <c r="F849" s="17">
        <v>0</v>
      </c>
      <c r="G849" s="17">
        <v>0</v>
      </c>
      <c r="H849" s="38">
        <v>0</v>
      </c>
      <c r="I849" s="17" t="str">
        <v/>
      </c>
      <c r="J849" s="17">
        <v>0</v>
      </c>
      <c r="K849" s="38">
        <v>0</v>
      </c>
      <c r="L849" s="17" t="str">
        <v/>
      </c>
      <c r="M849" s="17">
        <v>0</v>
      </c>
      <c r="N849" s="17">
        <v>0</v>
      </c>
      <c r="O849" s="17" t="str">
        <v/>
      </c>
      <c r="P849" s="17" t="str">
        <v/>
      </c>
      <c r="Q849" s="17">
        <v>0</v>
      </c>
      <c r="R849" s="17">
        <v>0</v>
      </c>
      <c r="S849" s="17">
        <v>0</v>
      </c>
      <c r="T849" s="22">
        <v>0</v>
      </c>
    </row>
    <row r="850" spans="2:20" x14ac:dyDescent="0.25">
      <c r="B850" s="21">
        <v>0</v>
      </c>
      <c r="C850" s="17">
        <v>0</v>
      </c>
      <c r="D850" s="17">
        <v>0</v>
      </c>
      <c r="E850" s="17">
        <v>0</v>
      </c>
      <c r="F850" s="17">
        <v>0</v>
      </c>
      <c r="G850" s="17">
        <v>0</v>
      </c>
      <c r="H850" s="38">
        <v>0</v>
      </c>
      <c r="I850" s="17" t="str">
        <v/>
      </c>
      <c r="J850" s="17">
        <v>0</v>
      </c>
      <c r="K850" s="38">
        <v>0</v>
      </c>
      <c r="L850" s="17" t="str">
        <v/>
      </c>
      <c r="M850" s="17">
        <v>0</v>
      </c>
      <c r="N850" s="17">
        <v>0</v>
      </c>
      <c r="O850" s="17" t="str">
        <v/>
      </c>
      <c r="P850" s="17" t="str">
        <v/>
      </c>
      <c r="Q850" s="17">
        <v>0</v>
      </c>
      <c r="R850" s="17">
        <v>0</v>
      </c>
      <c r="S850" s="17">
        <v>0</v>
      </c>
      <c r="T850" s="22">
        <v>0</v>
      </c>
    </row>
    <row r="851" spans="2:20" x14ac:dyDescent="0.25">
      <c r="B851" s="21">
        <v>0</v>
      </c>
      <c r="C851" s="17">
        <v>0</v>
      </c>
      <c r="D851" s="17">
        <v>0</v>
      </c>
      <c r="E851" s="17">
        <v>0</v>
      </c>
      <c r="F851" s="17">
        <v>0</v>
      </c>
      <c r="G851" s="17">
        <v>0</v>
      </c>
      <c r="H851" s="38">
        <v>0</v>
      </c>
      <c r="I851" s="17" t="str">
        <v/>
      </c>
      <c r="J851" s="17">
        <v>0</v>
      </c>
      <c r="K851" s="38">
        <v>0</v>
      </c>
      <c r="L851" s="17" t="str">
        <v/>
      </c>
      <c r="M851" s="17">
        <v>0</v>
      </c>
      <c r="N851" s="17">
        <v>0</v>
      </c>
      <c r="O851" s="17" t="str">
        <v/>
      </c>
      <c r="P851" s="17" t="str">
        <v/>
      </c>
      <c r="Q851" s="17">
        <v>0</v>
      </c>
      <c r="R851" s="17">
        <v>0</v>
      </c>
      <c r="S851" s="17">
        <v>0</v>
      </c>
      <c r="T851" s="22">
        <v>0</v>
      </c>
    </row>
    <row r="852" spans="2:20" x14ac:dyDescent="0.25">
      <c r="B852" s="21">
        <v>0</v>
      </c>
      <c r="C852" s="17">
        <v>0</v>
      </c>
      <c r="D852" s="17">
        <v>0</v>
      </c>
      <c r="E852" s="17">
        <v>0</v>
      </c>
      <c r="F852" s="17">
        <v>0</v>
      </c>
      <c r="G852" s="17">
        <v>0</v>
      </c>
      <c r="H852" s="38">
        <v>0</v>
      </c>
      <c r="I852" s="17" t="str">
        <v/>
      </c>
      <c r="J852" s="17">
        <v>0</v>
      </c>
      <c r="K852" s="38">
        <v>0</v>
      </c>
      <c r="L852" s="17" t="str">
        <v/>
      </c>
      <c r="M852" s="17">
        <v>0</v>
      </c>
      <c r="N852" s="17">
        <v>0</v>
      </c>
      <c r="O852" s="17" t="str">
        <v/>
      </c>
      <c r="P852" s="17" t="str">
        <v/>
      </c>
      <c r="Q852" s="17">
        <v>0</v>
      </c>
      <c r="R852" s="17">
        <v>0</v>
      </c>
      <c r="S852" s="17">
        <v>0</v>
      </c>
      <c r="T852" s="22">
        <v>0</v>
      </c>
    </row>
    <row r="853" spans="2:20" x14ac:dyDescent="0.25">
      <c r="B853" s="21">
        <v>0</v>
      </c>
      <c r="C853" s="17">
        <v>0</v>
      </c>
      <c r="D853" s="17">
        <v>0</v>
      </c>
      <c r="E853" s="17">
        <v>0</v>
      </c>
      <c r="F853" s="17">
        <v>0</v>
      </c>
      <c r="G853" s="17">
        <v>0</v>
      </c>
      <c r="H853" s="38">
        <v>0</v>
      </c>
      <c r="I853" s="17" t="str">
        <v/>
      </c>
      <c r="J853" s="17">
        <v>0</v>
      </c>
      <c r="K853" s="38">
        <v>0</v>
      </c>
      <c r="L853" s="17" t="str">
        <v/>
      </c>
      <c r="M853" s="17">
        <v>0</v>
      </c>
      <c r="N853" s="17">
        <v>0</v>
      </c>
      <c r="O853" s="17" t="str">
        <v/>
      </c>
      <c r="P853" s="17" t="str">
        <v/>
      </c>
      <c r="Q853" s="17">
        <v>0</v>
      </c>
      <c r="R853" s="17">
        <v>0</v>
      </c>
      <c r="S853" s="17">
        <v>0</v>
      </c>
      <c r="T853" s="22">
        <v>0</v>
      </c>
    </row>
    <row r="854" spans="2:20" x14ac:dyDescent="0.25">
      <c r="B854" s="21">
        <v>0</v>
      </c>
      <c r="C854" s="17">
        <v>0</v>
      </c>
      <c r="D854" s="17">
        <v>0</v>
      </c>
      <c r="E854" s="17">
        <v>0</v>
      </c>
      <c r="F854" s="17">
        <v>0</v>
      </c>
      <c r="G854" s="17">
        <v>0</v>
      </c>
      <c r="H854" s="38">
        <v>0</v>
      </c>
      <c r="I854" s="17" t="str">
        <v/>
      </c>
      <c r="J854" s="17">
        <v>0</v>
      </c>
      <c r="K854" s="38">
        <v>0</v>
      </c>
      <c r="L854" s="17" t="str">
        <v/>
      </c>
      <c r="M854" s="17">
        <v>0</v>
      </c>
      <c r="N854" s="17">
        <v>0</v>
      </c>
      <c r="O854" s="17" t="str">
        <v/>
      </c>
      <c r="P854" s="17" t="str">
        <v/>
      </c>
      <c r="Q854" s="17">
        <v>0</v>
      </c>
      <c r="R854" s="17">
        <v>0</v>
      </c>
      <c r="S854" s="17">
        <v>0</v>
      </c>
      <c r="T854" s="22">
        <v>0</v>
      </c>
    </row>
    <row r="855" spans="2:20" x14ac:dyDescent="0.25">
      <c r="B855" s="21">
        <v>0</v>
      </c>
      <c r="C855" s="17">
        <v>0</v>
      </c>
      <c r="D855" s="17">
        <v>0</v>
      </c>
      <c r="E855" s="17">
        <v>0</v>
      </c>
      <c r="F855" s="17">
        <v>0</v>
      </c>
      <c r="G855" s="17">
        <v>0</v>
      </c>
      <c r="H855" s="38">
        <v>0</v>
      </c>
      <c r="I855" s="17" t="str">
        <v/>
      </c>
      <c r="J855" s="17">
        <v>0</v>
      </c>
      <c r="K855" s="38">
        <v>0</v>
      </c>
      <c r="L855" s="17" t="str">
        <v/>
      </c>
      <c r="M855" s="17">
        <v>0</v>
      </c>
      <c r="N855" s="17">
        <v>0</v>
      </c>
      <c r="O855" s="17" t="str">
        <v/>
      </c>
      <c r="P855" s="17" t="str">
        <v/>
      </c>
      <c r="Q855" s="17">
        <v>0</v>
      </c>
      <c r="R855" s="17">
        <v>0</v>
      </c>
      <c r="S855" s="17">
        <v>0</v>
      </c>
      <c r="T855" s="22">
        <v>0</v>
      </c>
    </row>
    <row r="856" spans="2:20" x14ac:dyDescent="0.25">
      <c r="B856" s="21">
        <v>0</v>
      </c>
      <c r="C856" s="17">
        <v>0</v>
      </c>
      <c r="D856" s="17">
        <v>0</v>
      </c>
      <c r="E856" s="17">
        <v>0</v>
      </c>
      <c r="F856" s="17">
        <v>0</v>
      </c>
      <c r="G856" s="17">
        <v>0</v>
      </c>
      <c r="H856" s="38">
        <v>0</v>
      </c>
      <c r="I856" s="17" t="str">
        <v/>
      </c>
      <c r="J856" s="17">
        <v>0</v>
      </c>
      <c r="K856" s="38">
        <v>0</v>
      </c>
      <c r="L856" s="17" t="str">
        <v/>
      </c>
      <c r="M856" s="17">
        <v>0</v>
      </c>
      <c r="N856" s="17">
        <v>0</v>
      </c>
      <c r="O856" s="17" t="str">
        <v/>
      </c>
      <c r="P856" s="17" t="str">
        <v/>
      </c>
      <c r="Q856" s="17">
        <v>0</v>
      </c>
      <c r="R856" s="17">
        <v>0</v>
      </c>
      <c r="S856" s="17">
        <v>0</v>
      </c>
      <c r="T856" s="22">
        <v>0</v>
      </c>
    </row>
    <row r="857" spans="2:20" x14ac:dyDescent="0.25">
      <c r="B857" s="21">
        <v>0</v>
      </c>
      <c r="C857" s="17">
        <v>0</v>
      </c>
      <c r="D857" s="17">
        <v>0</v>
      </c>
      <c r="E857" s="17">
        <v>0</v>
      </c>
      <c r="F857" s="17">
        <v>0</v>
      </c>
      <c r="G857" s="17">
        <v>0</v>
      </c>
      <c r="H857" s="38">
        <v>0</v>
      </c>
      <c r="I857" s="17" t="str">
        <v/>
      </c>
      <c r="J857" s="17">
        <v>0</v>
      </c>
      <c r="K857" s="38">
        <v>0</v>
      </c>
      <c r="L857" s="17" t="str">
        <v/>
      </c>
      <c r="M857" s="17">
        <v>0</v>
      </c>
      <c r="N857" s="17">
        <v>0</v>
      </c>
      <c r="O857" s="17" t="str">
        <v/>
      </c>
      <c r="P857" s="17" t="str">
        <v/>
      </c>
      <c r="Q857" s="17">
        <v>0</v>
      </c>
      <c r="R857" s="17">
        <v>0</v>
      </c>
      <c r="S857" s="17">
        <v>0</v>
      </c>
      <c r="T857" s="22">
        <v>0</v>
      </c>
    </row>
    <row r="858" spans="2:20" x14ac:dyDescent="0.25">
      <c r="B858" s="21">
        <v>0</v>
      </c>
      <c r="C858" s="17">
        <v>0</v>
      </c>
      <c r="D858" s="17">
        <v>0</v>
      </c>
      <c r="E858" s="17">
        <v>0</v>
      </c>
      <c r="F858" s="17">
        <v>0</v>
      </c>
      <c r="G858" s="17">
        <v>0</v>
      </c>
      <c r="H858" s="38">
        <v>0</v>
      </c>
      <c r="I858" s="17" t="str">
        <v/>
      </c>
      <c r="J858" s="17">
        <v>0</v>
      </c>
      <c r="K858" s="38">
        <v>0</v>
      </c>
      <c r="L858" s="17" t="str">
        <v/>
      </c>
      <c r="M858" s="17">
        <v>0</v>
      </c>
      <c r="N858" s="17">
        <v>0</v>
      </c>
      <c r="O858" s="17" t="str">
        <v/>
      </c>
      <c r="P858" s="17" t="str">
        <v/>
      </c>
      <c r="Q858" s="17">
        <v>0</v>
      </c>
      <c r="R858" s="17">
        <v>0</v>
      </c>
      <c r="S858" s="17">
        <v>0</v>
      </c>
      <c r="T858" s="22">
        <v>0</v>
      </c>
    </row>
    <row r="859" spans="2:20" x14ac:dyDescent="0.25">
      <c r="B859" s="21">
        <v>0</v>
      </c>
      <c r="C859" s="17">
        <v>0</v>
      </c>
      <c r="D859" s="17">
        <v>0</v>
      </c>
      <c r="E859" s="17">
        <v>0</v>
      </c>
      <c r="F859" s="17">
        <v>0</v>
      </c>
      <c r="G859" s="17">
        <v>0</v>
      </c>
      <c r="H859" s="38">
        <v>0</v>
      </c>
      <c r="I859" s="17" t="str">
        <v/>
      </c>
      <c r="J859" s="17">
        <v>0</v>
      </c>
      <c r="K859" s="38">
        <v>0</v>
      </c>
      <c r="L859" s="17" t="str">
        <v/>
      </c>
      <c r="M859" s="17">
        <v>0</v>
      </c>
      <c r="N859" s="17">
        <v>0</v>
      </c>
      <c r="O859" s="17" t="str">
        <v/>
      </c>
      <c r="P859" s="17" t="str">
        <v/>
      </c>
      <c r="Q859" s="17">
        <v>0</v>
      </c>
      <c r="R859" s="17">
        <v>0</v>
      </c>
      <c r="S859" s="17">
        <v>0</v>
      </c>
      <c r="T859" s="22">
        <v>0</v>
      </c>
    </row>
    <row r="860" spans="2:20" x14ac:dyDescent="0.25">
      <c r="B860" s="21">
        <v>0</v>
      </c>
      <c r="C860" s="17">
        <v>0</v>
      </c>
      <c r="D860" s="17">
        <v>0</v>
      </c>
      <c r="E860" s="17">
        <v>0</v>
      </c>
      <c r="F860" s="17">
        <v>0</v>
      </c>
      <c r="G860" s="17">
        <v>0</v>
      </c>
      <c r="H860" s="38">
        <v>0</v>
      </c>
      <c r="I860" s="17" t="str">
        <v/>
      </c>
      <c r="J860" s="17">
        <v>0</v>
      </c>
      <c r="K860" s="38">
        <v>0</v>
      </c>
      <c r="L860" s="17" t="str">
        <v/>
      </c>
      <c r="M860" s="17">
        <v>0</v>
      </c>
      <c r="N860" s="17">
        <v>0</v>
      </c>
      <c r="O860" s="17" t="str">
        <v/>
      </c>
      <c r="P860" s="17" t="str">
        <v/>
      </c>
      <c r="Q860" s="17">
        <v>0</v>
      </c>
      <c r="R860" s="17">
        <v>0</v>
      </c>
      <c r="S860" s="17">
        <v>0</v>
      </c>
      <c r="T860" s="22">
        <v>0</v>
      </c>
    </row>
    <row r="861" spans="2:20" x14ac:dyDescent="0.25">
      <c r="B861" s="21">
        <v>0</v>
      </c>
      <c r="C861" s="17">
        <v>0</v>
      </c>
      <c r="D861" s="17">
        <v>0</v>
      </c>
      <c r="E861" s="17">
        <v>0</v>
      </c>
      <c r="F861" s="17">
        <v>0</v>
      </c>
      <c r="G861" s="17">
        <v>0</v>
      </c>
      <c r="H861" s="38">
        <v>0</v>
      </c>
      <c r="I861" s="17" t="str">
        <v/>
      </c>
      <c r="J861" s="17">
        <v>0</v>
      </c>
      <c r="K861" s="38">
        <v>0</v>
      </c>
      <c r="L861" s="17" t="str">
        <v/>
      </c>
      <c r="M861" s="17">
        <v>0</v>
      </c>
      <c r="N861" s="17">
        <v>0</v>
      </c>
      <c r="O861" s="17" t="str">
        <v/>
      </c>
      <c r="P861" s="17" t="str">
        <v/>
      </c>
      <c r="Q861" s="17">
        <v>0</v>
      </c>
      <c r="R861" s="17">
        <v>0</v>
      </c>
      <c r="S861" s="17">
        <v>0</v>
      </c>
      <c r="T861" s="22">
        <v>0</v>
      </c>
    </row>
    <row r="862" spans="2:20" x14ac:dyDescent="0.25">
      <c r="B862" s="21">
        <v>0</v>
      </c>
      <c r="C862" s="17">
        <v>0</v>
      </c>
      <c r="D862" s="17">
        <v>0</v>
      </c>
      <c r="E862" s="17">
        <v>0</v>
      </c>
      <c r="F862" s="17">
        <v>0</v>
      </c>
      <c r="G862" s="17">
        <v>0</v>
      </c>
      <c r="H862" s="38">
        <v>0</v>
      </c>
      <c r="I862" s="17" t="str">
        <v/>
      </c>
      <c r="J862" s="17">
        <v>0</v>
      </c>
      <c r="K862" s="38">
        <v>0</v>
      </c>
      <c r="L862" s="17" t="str">
        <v/>
      </c>
      <c r="M862" s="17">
        <v>0</v>
      </c>
      <c r="N862" s="17">
        <v>0</v>
      </c>
      <c r="O862" s="17" t="str">
        <v/>
      </c>
      <c r="P862" s="17" t="str">
        <v/>
      </c>
      <c r="Q862" s="17">
        <v>0</v>
      </c>
      <c r="R862" s="17">
        <v>0</v>
      </c>
      <c r="S862" s="17">
        <v>0</v>
      </c>
      <c r="T862" s="22">
        <v>0</v>
      </c>
    </row>
    <row r="863" spans="2:20" x14ac:dyDescent="0.25">
      <c r="B863" s="21">
        <v>0</v>
      </c>
      <c r="C863" s="17">
        <v>0</v>
      </c>
      <c r="D863" s="17">
        <v>0</v>
      </c>
      <c r="E863" s="17">
        <v>0</v>
      </c>
      <c r="F863" s="17">
        <v>0</v>
      </c>
      <c r="G863" s="17">
        <v>0</v>
      </c>
      <c r="H863" s="38">
        <v>0</v>
      </c>
      <c r="I863" s="17" t="str">
        <v/>
      </c>
      <c r="J863" s="17">
        <v>0</v>
      </c>
      <c r="K863" s="38">
        <v>0</v>
      </c>
      <c r="L863" s="17" t="str">
        <v/>
      </c>
      <c r="M863" s="17">
        <v>0</v>
      </c>
      <c r="N863" s="17">
        <v>0</v>
      </c>
      <c r="O863" s="17" t="str">
        <v/>
      </c>
      <c r="P863" s="17" t="str">
        <v/>
      </c>
      <c r="Q863" s="17">
        <v>0</v>
      </c>
      <c r="R863" s="17">
        <v>0</v>
      </c>
      <c r="S863" s="17">
        <v>0</v>
      </c>
      <c r="T863" s="22">
        <v>0</v>
      </c>
    </row>
    <row r="864" spans="2:20" x14ac:dyDescent="0.25">
      <c r="B864" s="21">
        <v>0</v>
      </c>
      <c r="C864" s="17">
        <v>0</v>
      </c>
      <c r="D864" s="17">
        <v>0</v>
      </c>
      <c r="E864" s="17">
        <v>0</v>
      </c>
      <c r="F864" s="17">
        <v>0</v>
      </c>
      <c r="G864" s="17">
        <v>0</v>
      </c>
      <c r="H864" s="38">
        <v>0</v>
      </c>
      <c r="I864" s="17" t="str">
        <v/>
      </c>
      <c r="J864" s="17">
        <v>0</v>
      </c>
      <c r="K864" s="38">
        <v>0</v>
      </c>
      <c r="L864" s="17" t="str">
        <v/>
      </c>
      <c r="M864" s="17">
        <v>0</v>
      </c>
      <c r="N864" s="17">
        <v>0</v>
      </c>
      <c r="O864" s="17" t="str">
        <v/>
      </c>
      <c r="P864" s="17" t="str">
        <v/>
      </c>
      <c r="Q864" s="17">
        <v>0</v>
      </c>
      <c r="R864" s="17">
        <v>0</v>
      </c>
      <c r="S864" s="17">
        <v>0</v>
      </c>
      <c r="T864" s="22">
        <v>0</v>
      </c>
    </row>
    <row r="865" spans="2:20" x14ac:dyDescent="0.25">
      <c r="B865" s="21">
        <v>0</v>
      </c>
      <c r="C865" s="17">
        <v>0</v>
      </c>
      <c r="D865" s="17">
        <v>0</v>
      </c>
      <c r="E865" s="17">
        <v>0</v>
      </c>
      <c r="F865" s="17">
        <v>0</v>
      </c>
      <c r="G865" s="17">
        <v>0</v>
      </c>
      <c r="H865" s="38">
        <v>0</v>
      </c>
      <c r="I865" s="17" t="str">
        <v/>
      </c>
      <c r="J865" s="17">
        <v>0</v>
      </c>
      <c r="K865" s="38">
        <v>0</v>
      </c>
      <c r="L865" s="17" t="str">
        <v/>
      </c>
      <c r="M865" s="17">
        <v>0</v>
      </c>
      <c r="N865" s="17">
        <v>0</v>
      </c>
      <c r="O865" s="17" t="str">
        <v/>
      </c>
      <c r="P865" s="17" t="str">
        <v/>
      </c>
      <c r="Q865" s="17">
        <v>0</v>
      </c>
      <c r="R865" s="17">
        <v>0</v>
      </c>
      <c r="S865" s="17">
        <v>0</v>
      </c>
      <c r="T865" s="22">
        <v>0</v>
      </c>
    </row>
    <row r="866" spans="2:20" x14ac:dyDescent="0.25">
      <c r="B866" s="21">
        <v>0</v>
      </c>
      <c r="C866" s="17">
        <v>0</v>
      </c>
      <c r="D866" s="17">
        <v>0</v>
      </c>
      <c r="E866" s="17">
        <v>0</v>
      </c>
      <c r="F866" s="17">
        <v>0</v>
      </c>
      <c r="G866" s="17">
        <v>0</v>
      </c>
      <c r="H866" s="38">
        <v>0</v>
      </c>
      <c r="I866" s="17" t="str">
        <v/>
      </c>
      <c r="J866" s="17">
        <v>0</v>
      </c>
      <c r="K866" s="38">
        <v>0</v>
      </c>
      <c r="L866" s="17" t="str">
        <v/>
      </c>
      <c r="M866" s="17">
        <v>0</v>
      </c>
      <c r="N866" s="17">
        <v>0</v>
      </c>
      <c r="O866" s="17" t="str">
        <v/>
      </c>
      <c r="P866" s="17" t="str">
        <v/>
      </c>
      <c r="Q866" s="17">
        <v>0</v>
      </c>
      <c r="R866" s="17">
        <v>0</v>
      </c>
      <c r="S866" s="17">
        <v>0</v>
      </c>
      <c r="T866" s="22">
        <v>0</v>
      </c>
    </row>
    <row r="867" spans="2:20" x14ac:dyDescent="0.25">
      <c r="B867" s="21">
        <v>0</v>
      </c>
      <c r="C867" s="17">
        <v>0</v>
      </c>
      <c r="D867" s="17">
        <v>0</v>
      </c>
      <c r="E867" s="17">
        <v>0</v>
      </c>
      <c r="F867" s="17">
        <v>0</v>
      </c>
      <c r="G867" s="17">
        <v>0</v>
      </c>
      <c r="H867" s="38">
        <v>0</v>
      </c>
      <c r="I867" s="17" t="str">
        <v/>
      </c>
      <c r="J867" s="17">
        <v>0</v>
      </c>
      <c r="K867" s="38">
        <v>0</v>
      </c>
      <c r="L867" s="17" t="str">
        <v/>
      </c>
      <c r="M867" s="17">
        <v>0</v>
      </c>
      <c r="N867" s="17">
        <v>0</v>
      </c>
      <c r="O867" s="17" t="str">
        <v/>
      </c>
      <c r="P867" s="17" t="str">
        <v/>
      </c>
      <c r="Q867" s="17">
        <v>0</v>
      </c>
      <c r="R867" s="17">
        <v>0</v>
      </c>
      <c r="S867" s="17">
        <v>0</v>
      </c>
      <c r="T867" s="22">
        <v>0</v>
      </c>
    </row>
    <row r="868" spans="2:20" x14ac:dyDescent="0.25">
      <c r="B868" s="21">
        <v>0</v>
      </c>
      <c r="C868" s="17">
        <v>0</v>
      </c>
      <c r="D868" s="17">
        <v>0</v>
      </c>
      <c r="E868" s="17">
        <v>0</v>
      </c>
      <c r="F868" s="17">
        <v>0</v>
      </c>
      <c r="G868" s="17">
        <v>0</v>
      </c>
      <c r="H868" s="38">
        <v>0</v>
      </c>
      <c r="I868" s="17" t="str">
        <v/>
      </c>
      <c r="J868" s="17">
        <v>0</v>
      </c>
      <c r="K868" s="38">
        <v>0</v>
      </c>
      <c r="L868" s="17" t="str">
        <v/>
      </c>
      <c r="M868" s="17">
        <v>0</v>
      </c>
      <c r="N868" s="17">
        <v>0</v>
      </c>
      <c r="O868" s="17" t="str">
        <v/>
      </c>
      <c r="P868" s="17" t="str">
        <v/>
      </c>
      <c r="Q868" s="17">
        <v>0</v>
      </c>
      <c r="R868" s="17">
        <v>0</v>
      </c>
      <c r="S868" s="17">
        <v>0</v>
      </c>
      <c r="T868" s="22">
        <v>0</v>
      </c>
    </row>
    <row r="869" spans="2:20" x14ac:dyDescent="0.25">
      <c r="B869" s="21">
        <v>0</v>
      </c>
      <c r="C869" s="17">
        <v>0</v>
      </c>
      <c r="D869" s="17">
        <v>0</v>
      </c>
      <c r="E869" s="17">
        <v>0</v>
      </c>
      <c r="F869" s="17">
        <v>0</v>
      </c>
      <c r="G869" s="17">
        <v>0</v>
      </c>
      <c r="H869" s="38">
        <v>0</v>
      </c>
      <c r="I869" s="17" t="str">
        <v/>
      </c>
      <c r="J869" s="17">
        <v>0</v>
      </c>
      <c r="K869" s="38">
        <v>0</v>
      </c>
      <c r="L869" s="17" t="str">
        <v/>
      </c>
      <c r="M869" s="17">
        <v>0</v>
      </c>
      <c r="N869" s="17">
        <v>0</v>
      </c>
      <c r="O869" s="17" t="str">
        <v/>
      </c>
      <c r="P869" s="17" t="str">
        <v/>
      </c>
      <c r="Q869" s="17">
        <v>0</v>
      </c>
      <c r="R869" s="17">
        <v>0</v>
      </c>
      <c r="S869" s="17">
        <v>0</v>
      </c>
      <c r="T869" s="22">
        <v>0</v>
      </c>
    </row>
    <row r="870" spans="2:20" x14ac:dyDescent="0.25">
      <c r="B870" s="21">
        <v>0</v>
      </c>
      <c r="C870" s="17">
        <v>0</v>
      </c>
      <c r="D870" s="17">
        <v>0</v>
      </c>
      <c r="E870" s="17">
        <v>0</v>
      </c>
      <c r="F870" s="17">
        <v>0</v>
      </c>
      <c r="G870" s="17">
        <v>0</v>
      </c>
      <c r="H870" s="38">
        <v>0</v>
      </c>
      <c r="I870" s="17" t="str">
        <v/>
      </c>
      <c r="J870" s="17">
        <v>0</v>
      </c>
      <c r="K870" s="38">
        <v>0</v>
      </c>
      <c r="L870" s="17" t="str">
        <v/>
      </c>
      <c r="M870" s="17">
        <v>0</v>
      </c>
      <c r="N870" s="17">
        <v>0</v>
      </c>
      <c r="O870" s="17" t="str">
        <v/>
      </c>
      <c r="P870" s="17" t="str">
        <v/>
      </c>
      <c r="Q870" s="17">
        <v>0</v>
      </c>
      <c r="R870" s="17">
        <v>0</v>
      </c>
      <c r="S870" s="17">
        <v>0</v>
      </c>
      <c r="T870" s="22">
        <v>0</v>
      </c>
    </row>
    <row r="871" spans="2:20" x14ac:dyDescent="0.25">
      <c r="B871" s="21">
        <v>0</v>
      </c>
      <c r="C871" s="17">
        <v>0</v>
      </c>
      <c r="D871" s="17">
        <v>0</v>
      </c>
      <c r="E871" s="17">
        <v>0</v>
      </c>
      <c r="F871" s="17">
        <v>0</v>
      </c>
      <c r="G871" s="17">
        <v>0</v>
      </c>
      <c r="H871" s="38">
        <v>0</v>
      </c>
      <c r="I871" s="17" t="str">
        <v/>
      </c>
      <c r="J871" s="17">
        <v>0</v>
      </c>
      <c r="K871" s="38">
        <v>0</v>
      </c>
      <c r="L871" s="17" t="str">
        <v/>
      </c>
      <c r="M871" s="17">
        <v>0</v>
      </c>
      <c r="N871" s="17">
        <v>0</v>
      </c>
      <c r="O871" s="17" t="str">
        <v/>
      </c>
      <c r="P871" s="17" t="str">
        <v/>
      </c>
      <c r="Q871" s="17">
        <v>0</v>
      </c>
      <c r="R871" s="17">
        <v>0</v>
      </c>
      <c r="S871" s="17">
        <v>0</v>
      </c>
      <c r="T871" s="22">
        <v>0</v>
      </c>
    </row>
    <row r="872" spans="2:20" x14ac:dyDescent="0.25">
      <c r="B872" s="21">
        <v>0</v>
      </c>
      <c r="C872" s="17">
        <v>0</v>
      </c>
      <c r="D872" s="17">
        <v>0</v>
      </c>
      <c r="E872" s="17">
        <v>0</v>
      </c>
      <c r="F872" s="17">
        <v>0</v>
      </c>
      <c r="G872" s="17">
        <v>0</v>
      </c>
      <c r="H872" s="38">
        <v>0</v>
      </c>
      <c r="I872" s="17" t="str">
        <v/>
      </c>
      <c r="J872" s="17">
        <v>0</v>
      </c>
      <c r="K872" s="38">
        <v>0</v>
      </c>
      <c r="L872" s="17" t="str">
        <v/>
      </c>
      <c r="M872" s="17">
        <v>0</v>
      </c>
      <c r="N872" s="17">
        <v>0</v>
      </c>
      <c r="O872" s="17" t="str">
        <v/>
      </c>
      <c r="P872" s="17" t="str">
        <v/>
      </c>
      <c r="Q872" s="17">
        <v>0</v>
      </c>
      <c r="R872" s="17">
        <v>0</v>
      </c>
      <c r="S872" s="17">
        <v>0</v>
      </c>
      <c r="T872" s="22">
        <v>0</v>
      </c>
    </row>
    <row r="873" spans="2:20" x14ac:dyDescent="0.25">
      <c r="B873" s="21">
        <v>0</v>
      </c>
      <c r="C873" s="17">
        <v>0</v>
      </c>
      <c r="D873" s="17">
        <v>0</v>
      </c>
      <c r="E873" s="17">
        <v>0</v>
      </c>
      <c r="F873" s="17">
        <v>0</v>
      </c>
      <c r="G873" s="17">
        <v>0</v>
      </c>
      <c r="H873" s="38">
        <v>0</v>
      </c>
      <c r="I873" s="17" t="str">
        <v/>
      </c>
      <c r="J873" s="17">
        <v>0</v>
      </c>
      <c r="K873" s="38">
        <v>0</v>
      </c>
      <c r="L873" s="17" t="str">
        <v/>
      </c>
      <c r="M873" s="17">
        <v>0</v>
      </c>
      <c r="N873" s="17">
        <v>0</v>
      </c>
      <c r="O873" s="17" t="str">
        <v/>
      </c>
      <c r="P873" s="17" t="str">
        <v/>
      </c>
      <c r="Q873" s="17">
        <v>0</v>
      </c>
      <c r="R873" s="17">
        <v>0</v>
      </c>
      <c r="S873" s="17">
        <v>0</v>
      </c>
      <c r="T873" s="22">
        <v>0</v>
      </c>
    </row>
    <row r="874" spans="2:20" x14ac:dyDescent="0.25">
      <c r="B874" s="21">
        <v>0</v>
      </c>
      <c r="C874" s="17">
        <v>0</v>
      </c>
      <c r="D874" s="17">
        <v>0</v>
      </c>
      <c r="E874" s="17">
        <v>0</v>
      </c>
      <c r="F874" s="17">
        <v>0</v>
      </c>
      <c r="G874" s="17">
        <v>0</v>
      </c>
      <c r="H874" s="38">
        <v>0</v>
      </c>
      <c r="I874" s="17" t="str">
        <v/>
      </c>
      <c r="J874" s="17">
        <v>0</v>
      </c>
      <c r="K874" s="38">
        <v>0</v>
      </c>
      <c r="L874" s="17" t="str">
        <v/>
      </c>
      <c r="M874" s="17">
        <v>0</v>
      </c>
      <c r="N874" s="17">
        <v>0</v>
      </c>
      <c r="O874" s="17" t="str">
        <v/>
      </c>
      <c r="P874" s="17" t="str">
        <v/>
      </c>
      <c r="Q874" s="17">
        <v>0</v>
      </c>
      <c r="R874" s="17">
        <v>0</v>
      </c>
      <c r="S874" s="17">
        <v>0</v>
      </c>
      <c r="T874" s="22">
        <v>0</v>
      </c>
    </row>
    <row r="875" spans="2:20" x14ac:dyDescent="0.25">
      <c r="B875" s="21">
        <v>0</v>
      </c>
      <c r="C875" s="17">
        <v>0</v>
      </c>
      <c r="D875" s="17">
        <v>0</v>
      </c>
      <c r="E875" s="17">
        <v>0</v>
      </c>
      <c r="F875" s="17">
        <v>0</v>
      </c>
      <c r="G875" s="17">
        <v>0</v>
      </c>
      <c r="H875" s="38">
        <v>0</v>
      </c>
      <c r="I875" s="17" t="str">
        <v/>
      </c>
      <c r="J875" s="17">
        <v>0</v>
      </c>
      <c r="K875" s="38">
        <v>0</v>
      </c>
      <c r="L875" s="17" t="str">
        <v/>
      </c>
      <c r="M875" s="17">
        <v>0</v>
      </c>
      <c r="N875" s="17">
        <v>0</v>
      </c>
      <c r="O875" s="17" t="str">
        <v/>
      </c>
      <c r="P875" s="17" t="str">
        <v/>
      </c>
      <c r="Q875" s="17">
        <v>0</v>
      </c>
      <c r="R875" s="17">
        <v>0</v>
      </c>
      <c r="S875" s="17">
        <v>0</v>
      </c>
      <c r="T875" s="22">
        <v>0</v>
      </c>
    </row>
    <row r="876" spans="2:20" x14ac:dyDescent="0.25">
      <c r="B876" s="21">
        <v>0</v>
      </c>
      <c r="C876" s="17">
        <v>0</v>
      </c>
      <c r="D876" s="17">
        <v>0</v>
      </c>
      <c r="E876" s="17">
        <v>0</v>
      </c>
      <c r="F876" s="17">
        <v>0</v>
      </c>
      <c r="G876" s="17">
        <v>0</v>
      </c>
      <c r="H876" s="38">
        <v>0</v>
      </c>
      <c r="I876" s="17" t="str">
        <v/>
      </c>
      <c r="J876" s="17">
        <v>0</v>
      </c>
      <c r="K876" s="38">
        <v>0</v>
      </c>
      <c r="L876" s="17" t="str">
        <v/>
      </c>
      <c r="M876" s="17">
        <v>0</v>
      </c>
      <c r="N876" s="17">
        <v>0</v>
      </c>
      <c r="O876" s="17" t="str">
        <v/>
      </c>
      <c r="P876" s="17" t="str">
        <v/>
      </c>
      <c r="Q876" s="17">
        <v>0</v>
      </c>
      <c r="R876" s="17">
        <v>0</v>
      </c>
      <c r="S876" s="17">
        <v>0</v>
      </c>
      <c r="T876" s="22">
        <v>0</v>
      </c>
    </row>
    <row r="877" spans="2:20" x14ac:dyDescent="0.25">
      <c r="B877" s="21">
        <v>0</v>
      </c>
      <c r="C877" s="17">
        <v>0</v>
      </c>
      <c r="D877" s="17">
        <v>0</v>
      </c>
      <c r="E877" s="17">
        <v>0</v>
      </c>
      <c r="F877" s="17">
        <v>0</v>
      </c>
      <c r="G877" s="17">
        <v>0</v>
      </c>
      <c r="H877" s="38">
        <v>0</v>
      </c>
      <c r="I877" s="17" t="str">
        <v/>
      </c>
      <c r="J877" s="17">
        <v>0</v>
      </c>
      <c r="K877" s="38">
        <v>0</v>
      </c>
      <c r="L877" s="17" t="str">
        <v/>
      </c>
      <c r="M877" s="17">
        <v>0</v>
      </c>
      <c r="N877" s="17">
        <v>0</v>
      </c>
      <c r="O877" s="17" t="str">
        <v/>
      </c>
      <c r="P877" s="17" t="str">
        <v/>
      </c>
      <c r="Q877" s="17">
        <v>0</v>
      </c>
      <c r="R877" s="17">
        <v>0</v>
      </c>
      <c r="S877" s="17">
        <v>0</v>
      </c>
      <c r="T877" s="22">
        <v>0</v>
      </c>
    </row>
    <row r="878" spans="2:20" x14ac:dyDescent="0.25">
      <c r="B878" s="21">
        <v>0</v>
      </c>
      <c r="C878" s="17">
        <v>0</v>
      </c>
      <c r="D878" s="17">
        <v>0</v>
      </c>
      <c r="E878" s="17">
        <v>0</v>
      </c>
      <c r="F878" s="17">
        <v>0</v>
      </c>
      <c r="G878" s="17">
        <v>0</v>
      </c>
      <c r="H878" s="38">
        <v>0</v>
      </c>
      <c r="I878" s="17" t="str">
        <v/>
      </c>
      <c r="J878" s="17">
        <v>0</v>
      </c>
      <c r="K878" s="38">
        <v>0</v>
      </c>
      <c r="L878" s="17" t="str">
        <v/>
      </c>
      <c r="M878" s="17">
        <v>0</v>
      </c>
      <c r="N878" s="17">
        <v>0</v>
      </c>
      <c r="O878" s="17" t="str">
        <v/>
      </c>
      <c r="P878" s="17" t="str">
        <v/>
      </c>
      <c r="Q878" s="17">
        <v>0</v>
      </c>
      <c r="R878" s="17">
        <v>0</v>
      </c>
      <c r="S878" s="17">
        <v>0</v>
      </c>
      <c r="T878" s="22">
        <v>0</v>
      </c>
    </row>
    <row r="879" spans="2:20" x14ac:dyDescent="0.25">
      <c r="B879" s="21">
        <v>0</v>
      </c>
      <c r="C879" s="17">
        <v>0</v>
      </c>
      <c r="D879" s="17">
        <v>0</v>
      </c>
      <c r="E879" s="17">
        <v>0</v>
      </c>
      <c r="F879" s="17">
        <v>0</v>
      </c>
      <c r="G879" s="17">
        <v>0</v>
      </c>
      <c r="H879" s="38">
        <v>0</v>
      </c>
      <c r="I879" s="17" t="str">
        <v/>
      </c>
      <c r="J879" s="17">
        <v>0</v>
      </c>
      <c r="K879" s="38">
        <v>0</v>
      </c>
      <c r="L879" s="17" t="str">
        <v/>
      </c>
      <c r="M879" s="17">
        <v>0</v>
      </c>
      <c r="N879" s="17">
        <v>0</v>
      </c>
      <c r="O879" s="17" t="str">
        <v/>
      </c>
      <c r="P879" s="17" t="str">
        <v/>
      </c>
      <c r="Q879" s="17">
        <v>0</v>
      </c>
      <c r="R879" s="17">
        <v>0</v>
      </c>
      <c r="S879" s="17">
        <v>0</v>
      </c>
      <c r="T879" s="22">
        <v>0</v>
      </c>
    </row>
    <row r="880" spans="2:20" x14ac:dyDescent="0.25">
      <c r="B880" s="21">
        <v>0</v>
      </c>
      <c r="C880" s="17">
        <v>0</v>
      </c>
      <c r="D880" s="17">
        <v>0</v>
      </c>
      <c r="E880" s="17">
        <v>0</v>
      </c>
      <c r="F880" s="17">
        <v>0</v>
      </c>
      <c r="G880" s="17">
        <v>0</v>
      </c>
      <c r="H880" s="38">
        <v>0</v>
      </c>
      <c r="I880" s="17" t="str">
        <v/>
      </c>
      <c r="J880" s="17">
        <v>0</v>
      </c>
      <c r="K880" s="38">
        <v>0</v>
      </c>
      <c r="L880" s="17" t="str">
        <v/>
      </c>
      <c r="M880" s="17">
        <v>0</v>
      </c>
      <c r="N880" s="17">
        <v>0</v>
      </c>
      <c r="O880" s="17" t="str">
        <v/>
      </c>
      <c r="P880" s="17" t="str">
        <v/>
      </c>
      <c r="Q880" s="17">
        <v>0</v>
      </c>
      <c r="R880" s="17">
        <v>0</v>
      </c>
      <c r="S880" s="17">
        <v>0</v>
      </c>
      <c r="T880" s="22">
        <v>0</v>
      </c>
    </row>
    <row r="881" spans="2:20" x14ac:dyDescent="0.25">
      <c r="B881" s="21">
        <v>0</v>
      </c>
      <c r="C881" s="17">
        <v>0</v>
      </c>
      <c r="D881" s="17">
        <v>0</v>
      </c>
      <c r="E881" s="17">
        <v>0</v>
      </c>
      <c r="F881" s="17">
        <v>0</v>
      </c>
      <c r="G881" s="17">
        <v>0</v>
      </c>
      <c r="H881" s="38">
        <v>0</v>
      </c>
      <c r="I881" s="17" t="str">
        <v/>
      </c>
      <c r="J881" s="17">
        <v>0</v>
      </c>
      <c r="K881" s="38">
        <v>0</v>
      </c>
      <c r="L881" s="17" t="str">
        <v/>
      </c>
      <c r="M881" s="17">
        <v>0</v>
      </c>
      <c r="N881" s="17">
        <v>0</v>
      </c>
      <c r="O881" s="17" t="str">
        <v/>
      </c>
      <c r="P881" s="17" t="str">
        <v/>
      </c>
      <c r="Q881" s="17">
        <v>0</v>
      </c>
      <c r="R881" s="17">
        <v>0</v>
      </c>
      <c r="S881" s="17">
        <v>0</v>
      </c>
      <c r="T881" s="22">
        <v>0</v>
      </c>
    </row>
    <row r="882" spans="2:20" x14ac:dyDescent="0.25">
      <c r="B882" s="21">
        <v>0</v>
      </c>
      <c r="C882" s="17">
        <v>0</v>
      </c>
      <c r="D882" s="17">
        <v>0</v>
      </c>
      <c r="E882" s="17">
        <v>0</v>
      </c>
      <c r="F882" s="17">
        <v>0</v>
      </c>
      <c r="G882" s="17">
        <v>0</v>
      </c>
      <c r="H882" s="38">
        <v>0</v>
      </c>
      <c r="I882" s="17" t="str">
        <v/>
      </c>
      <c r="J882" s="17">
        <v>0</v>
      </c>
      <c r="K882" s="38">
        <v>0</v>
      </c>
      <c r="L882" s="17" t="str">
        <v/>
      </c>
      <c r="M882" s="17">
        <v>0</v>
      </c>
      <c r="N882" s="17">
        <v>0</v>
      </c>
      <c r="O882" s="17" t="str">
        <v/>
      </c>
      <c r="P882" s="17" t="str">
        <v/>
      </c>
      <c r="Q882" s="17">
        <v>0</v>
      </c>
      <c r="R882" s="17">
        <v>0</v>
      </c>
      <c r="S882" s="17">
        <v>0</v>
      </c>
      <c r="T882" s="22">
        <v>0</v>
      </c>
    </row>
    <row r="883" spans="2:20" x14ac:dyDescent="0.25">
      <c r="B883" s="21">
        <v>0</v>
      </c>
      <c r="C883" s="17">
        <v>0</v>
      </c>
      <c r="D883" s="17">
        <v>0</v>
      </c>
      <c r="E883" s="17">
        <v>0</v>
      </c>
      <c r="F883" s="17">
        <v>0</v>
      </c>
      <c r="G883" s="17">
        <v>0</v>
      </c>
      <c r="H883" s="38">
        <v>0</v>
      </c>
      <c r="I883" s="17" t="str">
        <v/>
      </c>
      <c r="J883" s="17">
        <v>0</v>
      </c>
      <c r="K883" s="38">
        <v>0</v>
      </c>
      <c r="L883" s="17" t="str">
        <v/>
      </c>
      <c r="M883" s="17">
        <v>0</v>
      </c>
      <c r="N883" s="17">
        <v>0</v>
      </c>
      <c r="O883" s="17" t="str">
        <v/>
      </c>
      <c r="P883" s="17" t="str">
        <v/>
      </c>
      <c r="Q883" s="17">
        <v>0</v>
      </c>
      <c r="R883" s="17">
        <v>0</v>
      </c>
      <c r="S883" s="17">
        <v>0</v>
      </c>
      <c r="T883" s="22">
        <v>0</v>
      </c>
    </row>
    <row r="884" spans="2:20" x14ac:dyDescent="0.25">
      <c r="B884" s="21">
        <v>0</v>
      </c>
      <c r="C884" s="17">
        <v>0</v>
      </c>
      <c r="D884" s="17">
        <v>0</v>
      </c>
      <c r="E884" s="17">
        <v>0</v>
      </c>
      <c r="F884" s="17">
        <v>0</v>
      </c>
      <c r="G884" s="17">
        <v>0</v>
      </c>
      <c r="H884" s="38">
        <v>0</v>
      </c>
      <c r="I884" s="17" t="str">
        <v/>
      </c>
      <c r="J884" s="17">
        <v>0</v>
      </c>
      <c r="K884" s="38">
        <v>0</v>
      </c>
      <c r="L884" s="17" t="str">
        <v/>
      </c>
      <c r="M884" s="17">
        <v>0</v>
      </c>
      <c r="N884" s="17">
        <v>0</v>
      </c>
      <c r="O884" s="17" t="str">
        <v/>
      </c>
      <c r="P884" s="17" t="str">
        <v/>
      </c>
      <c r="Q884" s="17">
        <v>0</v>
      </c>
      <c r="R884" s="17">
        <v>0</v>
      </c>
      <c r="S884" s="17">
        <v>0</v>
      </c>
      <c r="T884" s="22">
        <v>0</v>
      </c>
    </row>
    <row r="885" spans="2:20" x14ac:dyDescent="0.25">
      <c r="B885" s="21">
        <v>0</v>
      </c>
      <c r="C885" s="17">
        <v>0</v>
      </c>
      <c r="D885" s="17">
        <v>0</v>
      </c>
      <c r="E885" s="17">
        <v>0</v>
      </c>
      <c r="F885" s="17">
        <v>0</v>
      </c>
      <c r="G885" s="17">
        <v>0</v>
      </c>
      <c r="H885" s="38">
        <v>0</v>
      </c>
      <c r="I885" s="17" t="str">
        <v/>
      </c>
      <c r="J885" s="17">
        <v>0</v>
      </c>
      <c r="K885" s="38">
        <v>0</v>
      </c>
      <c r="L885" s="17" t="str">
        <v/>
      </c>
      <c r="M885" s="17">
        <v>0</v>
      </c>
      <c r="N885" s="17">
        <v>0</v>
      </c>
      <c r="O885" s="17" t="str">
        <v/>
      </c>
      <c r="P885" s="17" t="str">
        <v/>
      </c>
      <c r="Q885" s="17">
        <v>0</v>
      </c>
      <c r="R885" s="17">
        <v>0</v>
      </c>
      <c r="S885" s="17">
        <v>0</v>
      </c>
      <c r="T885" s="22">
        <v>0</v>
      </c>
    </row>
    <row r="886" spans="2:20" x14ac:dyDescent="0.25">
      <c r="B886" s="21">
        <v>0</v>
      </c>
      <c r="C886" s="17">
        <v>0</v>
      </c>
      <c r="D886" s="17">
        <v>0</v>
      </c>
      <c r="E886" s="17">
        <v>0</v>
      </c>
      <c r="F886" s="17">
        <v>0</v>
      </c>
      <c r="G886" s="17">
        <v>0</v>
      </c>
      <c r="H886" s="38">
        <v>0</v>
      </c>
      <c r="I886" s="17" t="str">
        <v/>
      </c>
      <c r="J886" s="17">
        <v>0</v>
      </c>
      <c r="K886" s="38">
        <v>0</v>
      </c>
      <c r="L886" s="17" t="str">
        <v/>
      </c>
      <c r="M886" s="17">
        <v>0</v>
      </c>
      <c r="N886" s="17">
        <v>0</v>
      </c>
      <c r="O886" s="17" t="str">
        <v/>
      </c>
      <c r="P886" s="17" t="str">
        <v/>
      </c>
      <c r="Q886" s="17">
        <v>0</v>
      </c>
      <c r="R886" s="17">
        <v>0</v>
      </c>
      <c r="S886" s="17">
        <v>0</v>
      </c>
      <c r="T886" s="22">
        <v>0</v>
      </c>
    </row>
    <row r="887" spans="2:20" x14ac:dyDescent="0.25">
      <c r="B887" s="21">
        <v>0</v>
      </c>
      <c r="C887" s="17">
        <v>0</v>
      </c>
      <c r="D887" s="17">
        <v>0</v>
      </c>
      <c r="E887" s="17">
        <v>0</v>
      </c>
      <c r="F887" s="17">
        <v>0</v>
      </c>
      <c r="G887" s="17">
        <v>0</v>
      </c>
      <c r="H887" s="38">
        <v>0</v>
      </c>
      <c r="I887" s="17" t="str">
        <v/>
      </c>
      <c r="J887" s="17">
        <v>0</v>
      </c>
      <c r="K887" s="38">
        <v>0</v>
      </c>
      <c r="L887" s="17" t="str">
        <v/>
      </c>
      <c r="M887" s="17">
        <v>0</v>
      </c>
      <c r="N887" s="17">
        <v>0</v>
      </c>
      <c r="O887" s="17" t="str">
        <v/>
      </c>
      <c r="P887" s="17" t="str">
        <v/>
      </c>
      <c r="Q887" s="17">
        <v>0</v>
      </c>
      <c r="R887" s="17">
        <v>0</v>
      </c>
      <c r="S887" s="17">
        <v>0</v>
      </c>
      <c r="T887" s="22">
        <v>0</v>
      </c>
    </row>
    <row r="888" spans="2:20" x14ac:dyDescent="0.25">
      <c r="B888" s="21">
        <v>0</v>
      </c>
      <c r="C888" s="17">
        <v>0</v>
      </c>
      <c r="D888" s="17">
        <v>0</v>
      </c>
      <c r="E888" s="17">
        <v>0</v>
      </c>
      <c r="F888" s="17">
        <v>0</v>
      </c>
      <c r="G888" s="17">
        <v>0</v>
      </c>
      <c r="H888" s="38">
        <v>0</v>
      </c>
      <c r="I888" s="17" t="str">
        <v/>
      </c>
      <c r="J888" s="17">
        <v>0</v>
      </c>
      <c r="K888" s="38">
        <v>0</v>
      </c>
      <c r="L888" s="17" t="str">
        <v/>
      </c>
      <c r="M888" s="17">
        <v>0</v>
      </c>
      <c r="N888" s="17">
        <v>0</v>
      </c>
      <c r="O888" s="17" t="str">
        <v/>
      </c>
      <c r="P888" s="17" t="str">
        <v/>
      </c>
      <c r="Q888" s="17">
        <v>0</v>
      </c>
      <c r="R888" s="17">
        <v>0</v>
      </c>
      <c r="S888" s="17">
        <v>0</v>
      </c>
      <c r="T888" s="22">
        <v>0</v>
      </c>
    </row>
    <row r="889" spans="2:20" x14ac:dyDescent="0.25">
      <c r="B889" s="21">
        <v>0</v>
      </c>
      <c r="C889" s="17">
        <v>0</v>
      </c>
      <c r="D889" s="17">
        <v>0</v>
      </c>
      <c r="E889" s="17">
        <v>0</v>
      </c>
      <c r="F889" s="17">
        <v>0</v>
      </c>
      <c r="G889" s="17">
        <v>0</v>
      </c>
      <c r="H889" s="38">
        <v>0</v>
      </c>
      <c r="I889" s="17" t="str">
        <v/>
      </c>
      <c r="J889" s="17">
        <v>0</v>
      </c>
      <c r="K889" s="38">
        <v>0</v>
      </c>
      <c r="L889" s="17" t="str">
        <v/>
      </c>
      <c r="M889" s="17">
        <v>0</v>
      </c>
      <c r="N889" s="17">
        <v>0</v>
      </c>
      <c r="O889" s="17" t="str">
        <v/>
      </c>
      <c r="P889" s="17" t="str">
        <v/>
      </c>
      <c r="Q889" s="17">
        <v>0</v>
      </c>
      <c r="R889" s="17">
        <v>0</v>
      </c>
      <c r="S889" s="17">
        <v>0</v>
      </c>
      <c r="T889" s="22">
        <v>0</v>
      </c>
    </row>
    <row r="890" spans="2:20" x14ac:dyDescent="0.25">
      <c r="B890" s="21">
        <v>0</v>
      </c>
      <c r="C890" s="17">
        <v>0</v>
      </c>
      <c r="D890" s="17">
        <v>0</v>
      </c>
      <c r="E890" s="17">
        <v>0</v>
      </c>
      <c r="F890" s="17">
        <v>0</v>
      </c>
      <c r="G890" s="17">
        <v>0</v>
      </c>
      <c r="H890" s="38">
        <v>0</v>
      </c>
      <c r="I890" s="17" t="str">
        <v/>
      </c>
      <c r="J890" s="17">
        <v>0</v>
      </c>
      <c r="K890" s="38">
        <v>0</v>
      </c>
      <c r="L890" s="17" t="str">
        <v/>
      </c>
      <c r="M890" s="17">
        <v>0</v>
      </c>
      <c r="N890" s="17">
        <v>0</v>
      </c>
      <c r="O890" s="17" t="str">
        <v/>
      </c>
      <c r="P890" s="17" t="str">
        <v/>
      </c>
      <c r="Q890" s="17">
        <v>0</v>
      </c>
      <c r="R890" s="17">
        <v>0</v>
      </c>
      <c r="S890" s="17">
        <v>0</v>
      </c>
      <c r="T890" s="22">
        <v>0</v>
      </c>
    </row>
    <row r="891" spans="2:20" x14ac:dyDescent="0.25">
      <c r="B891" s="21">
        <v>0</v>
      </c>
      <c r="C891" s="17">
        <v>0</v>
      </c>
      <c r="D891" s="17">
        <v>0</v>
      </c>
      <c r="E891" s="17">
        <v>0</v>
      </c>
      <c r="F891" s="17">
        <v>0</v>
      </c>
      <c r="G891" s="17">
        <v>0</v>
      </c>
      <c r="H891" s="38">
        <v>0</v>
      </c>
      <c r="I891" s="17" t="str">
        <v/>
      </c>
      <c r="J891" s="17">
        <v>0</v>
      </c>
      <c r="K891" s="38">
        <v>0</v>
      </c>
      <c r="L891" s="17" t="str">
        <v/>
      </c>
      <c r="M891" s="17">
        <v>0</v>
      </c>
      <c r="N891" s="17">
        <v>0</v>
      </c>
      <c r="O891" s="17" t="str">
        <v/>
      </c>
      <c r="P891" s="17" t="str">
        <v/>
      </c>
      <c r="Q891" s="17">
        <v>0</v>
      </c>
      <c r="R891" s="17">
        <v>0</v>
      </c>
      <c r="S891" s="17">
        <v>0</v>
      </c>
      <c r="T891" s="22">
        <v>0</v>
      </c>
    </row>
    <row r="892" spans="2:20" x14ac:dyDescent="0.25">
      <c r="B892" s="21">
        <v>0</v>
      </c>
      <c r="C892" s="17">
        <v>0</v>
      </c>
      <c r="D892" s="17">
        <v>0</v>
      </c>
      <c r="E892" s="17">
        <v>0</v>
      </c>
      <c r="F892" s="17">
        <v>0</v>
      </c>
      <c r="G892" s="17">
        <v>0</v>
      </c>
      <c r="H892" s="38">
        <v>0</v>
      </c>
      <c r="I892" s="17" t="str">
        <v/>
      </c>
      <c r="J892" s="17">
        <v>0</v>
      </c>
      <c r="K892" s="38">
        <v>0</v>
      </c>
      <c r="L892" s="17" t="str">
        <v/>
      </c>
      <c r="M892" s="17">
        <v>0</v>
      </c>
      <c r="N892" s="17">
        <v>0</v>
      </c>
      <c r="O892" s="17" t="str">
        <v/>
      </c>
      <c r="P892" s="17" t="str">
        <v/>
      </c>
      <c r="Q892" s="17">
        <v>0</v>
      </c>
      <c r="R892" s="17">
        <v>0</v>
      </c>
      <c r="S892" s="17">
        <v>0</v>
      </c>
      <c r="T892" s="22">
        <v>0</v>
      </c>
    </row>
    <row r="893" spans="2:20" x14ac:dyDescent="0.25">
      <c r="B893" s="21">
        <v>0</v>
      </c>
      <c r="C893" s="17">
        <v>0</v>
      </c>
      <c r="D893" s="17">
        <v>0</v>
      </c>
      <c r="E893" s="17">
        <v>0</v>
      </c>
      <c r="F893" s="17">
        <v>0</v>
      </c>
      <c r="G893" s="17">
        <v>0</v>
      </c>
      <c r="H893" s="38">
        <v>0</v>
      </c>
      <c r="I893" s="17" t="str">
        <v/>
      </c>
      <c r="J893" s="17">
        <v>0</v>
      </c>
      <c r="K893" s="38">
        <v>0</v>
      </c>
      <c r="L893" s="17" t="str">
        <v/>
      </c>
      <c r="M893" s="17">
        <v>0</v>
      </c>
      <c r="N893" s="17">
        <v>0</v>
      </c>
      <c r="O893" s="17" t="str">
        <v/>
      </c>
      <c r="P893" s="17" t="str">
        <v/>
      </c>
      <c r="Q893" s="17">
        <v>0</v>
      </c>
      <c r="R893" s="17">
        <v>0</v>
      </c>
      <c r="S893" s="17">
        <v>0</v>
      </c>
      <c r="T893" s="22">
        <v>0</v>
      </c>
    </row>
    <row r="894" spans="2:20" x14ac:dyDescent="0.25">
      <c r="B894" s="21">
        <v>0</v>
      </c>
      <c r="C894" s="17">
        <v>0</v>
      </c>
      <c r="D894" s="17">
        <v>0</v>
      </c>
      <c r="E894" s="17">
        <v>0</v>
      </c>
      <c r="F894" s="17">
        <v>0</v>
      </c>
      <c r="G894" s="17">
        <v>0</v>
      </c>
      <c r="H894" s="38">
        <v>0</v>
      </c>
      <c r="I894" s="17" t="str">
        <v/>
      </c>
      <c r="J894" s="17">
        <v>0</v>
      </c>
      <c r="K894" s="38">
        <v>0</v>
      </c>
      <c r="L894" s="17" t="str">
        <v/>
      </c>
      <c r="M894" s="17">
        <v>0</v>
      </c>
      <c r="N894" s="17">
        <v>0</v>
      </c>
      <c r="O894" s="17" t="str">
        <v/>
      </c>
      <c r="P894" s="17" t="str">
        <v/>
      </c>
      <c r="Q894" s="17">
        <v>0</v>
      </c>
      <c r="R894" s="17">
        <v>0</v>
      </c>
      <c r="S894" s="17">
        <v>0</v>
      </c>
      <c r="T894" s="22">
        <v>0</v>
      </c>
    </row>
    <row r="895" spans="2:20" x14ac:dyDescent="0.25">
      <c r="B895" s="21">
        <v>0</v>
      </c>
      <c r="C895" s="17">
        <v>0</v>
      </c>
      <c r="D895" s="17">
        <v>0</v>
      </c>
      <c r="E895" s="17">
        <v>0</v>
      </c>
      <c r="F895" s="17">
        <v>0</v>
      </c>
      <c r="G895" s="17">
        <v>0</v>
      </c>
      <c r="H895" s="38">
        <v>0</v>
      </c>
      <c r="I895" s="17" t="str">
        <v/>
      </c>
      <c r="J895" s="17">
        <v>0</v>
      </c>
      <c r="K895" s="38">
        <v>0</v>
      </c>
      <c r="L895" s="17" t="str">
        <v/>
      </c>
      <c r="M895" s="17">
        <v>0</v>
      </c>
      <c r="N895" s="17">
        <v>0</v>
      </c>
      <c r="O895" s="17" t="str">
        <v/>
      </c>
      <c r="P895" s="17" t="str">
        <v/>
      </c>
      <c r="Q895" s="17">
        <v>0</v>
      </c>
      <c r="R895" s="17">
        <v>0</v>
      </c>
      <c r="S895" s="17">
        <v>0</v>
      </c>
      <c r="T895" s="22">
        <v>0</v>
      </c>
    </row>
    <row r="896" spans="2:20" x14ac:dyDescent="0.25">
      <c r="B896" s="21">
        <v>0</v>
      </c>
      <c r="C896" s="17">
        <v>0</v>
      </c>
      <c r="D896" s="17">
        <v>0</v>
      </c>
      <c r="E896" s="17">
        <v>0</v>
      </c>
      <c r="F896" s="17">
        <v>0</v>
      </c>
      <c r="G896" s="17">
        <v>0</v>
      </c>
      <c r="H896" s="38">
        <v>0</v>
      </c>
      <c r="I896" s="17" t="str">
        <v/>
      </c>
      <c r="J896" s="17">
        <v>0</v>
      </c>
      <c r="K896" s="38">
        <v>0</v>
      </c>
      <c r="L896" s="17" t="str">
        <v/>
      </c>
      <c r="M896" s="17">
        <v>0</v>
      </c>
      <c r="N896" s="17">
        <v>0</v>
      </c>
      <c r="O896" s="17" t="str">
        <v/>
      </c>
      <c r="P896" s="17" t="str">
        <v/>
      </c>
      <c r="Q896" s="17">
        <v>0</v>
      </c>
      <c r="R896" s="17">
        <v>0</v>
      </c>
      <c r="S896" s="17">
        <v>0</v>
      </c>
      <c r="T896" s="22">
        <v>0</v>
      </c>
    </row>
    <row r="897" spans="2:20" x14ac:dyDescent="0.25">
      <c r="B897" s="21">
        <v>0</v>
      </c>
      <c r="C897" s="17">
        <v>0</v>
      </c>
      <c r="D897" s="17">
        <v>0</v>
      </c>
      <c r="E897" s="17">
        <v>0</v>
      </c>
      <c r="F897" s="17">
        <v>0</v>
      </c>
      <c r="G897" s="17">
        <v>0</v>
      </c>
      <c r="H897" s="38">
        <v>0</v>
      </c>
      <c r="I897" s="17" t="str">
        <v/>
      </c>
      <c r="J897" s="17">
        <v>0</v>
      </c>
      <c r="K897" s="38">
        <v>0</v>
      </c>
      <c r="L897" s="17" t="str">
        <v/>
      </c>
      <c r="M897" s="17">
        <v>0</v>
      </c>
      <c r="N897" s="17">
        <v>0</v>
      </c>
      <c r="O897" s="17" t="str">
        <v/>
      </c>
      <c r="P897" s="17" t="str">
        <v/>
      </c>
      <c r="Q897" s="17">
        <v>0</v>
      </c>
      <c r="R897" s="17">
        <v>0</v>
      </c>
      <c r="S897" s="17">
        <v>0</v>
      </c>
      <c r="T897" s="22">
        <v>0</v>
      </c>
    </row>
    <row r="898" spans="2:20" x14ac:dyDescent="0.25">
      <c r="B898" s="21">
        <v>0</v>
      </c>
      <c r="C898" s="17">
        <v>0</v>
      </c>
      <c r="D898" s="17">
        <v>0</v>
      </c>
      <c r="E898" s="17">
        <v>0</v>
      </c>
      <c r="F898" s="17">
        <v>0</v>
      </c>
      <c r="G898" s="17">
        <v>0</v>
      </c>
      <c r="H898" s="38">
        <v>0</v>
      </c>
      <c r="I898" s="17" t="str">
        <v/>
      </c>
      <c r="J898" s="17">
        <v>0</v>
      </c>
      <c r="K898" s="38">
        <v>0</v>
      </c>
      <c r="L898" s="17" t="str">
        <v/>
      </c>
      <c r="M898" s="17">
        <v>0</v>
      </c>
      <c r="N898" s="17">
        <v>0</v>
      </c>
      <c r="O898" s="17" t="str">
        <v/>
      </c>
      <c r="P898" s="17" t="str">
        <v/>
      </c>
      <c r="Q898" s="17">
        <v>0</v>
      </c>
      <c r="R898" s="17">
        <v>0</v>
      </c>
      <c r="S898" s="17">
        <v>0</v>
      </c>
      <c r="T898" s="22">
        <v>0</v>
      </c>
    </row>
    <row r="899" spans="2:20" x14ac:dyDescent="0.25">
      <c r="B899" s="21">
        <v>0</v>
      </c>
      <c r="C899" s="17">
        <v>0</v>
      </c>
      <c r="D899" s="17">
        <v>0</v>
      </c>
      <c r="E899" s="17">
        <v>0</v>
      </c>
      <c r="F899" s="17">
        <v>0</v>
      </c>
      <c r="G899" s="17">
        <v>0</v>
      </c>
      <c r="H899" s="38">
        <v>0</v>
      </c>
      <c r="I899" s="17" t="str">
        <v/>
      </c>
      <c r="J899" s="17">
        <v>0</v>
      </c>
      <c r="K899" s="38">
        <v>0</v>
      </c>
      <c r="L899" s="17" t="str">
        <v/>
      </c>
      <c r="M899" s="17">
        <v>0</v>
      </c>
      <c r="N899" s="17">
        <v>0</v>
      </c>
      <c r="O899" s="17" t="str">
        <v/>
      </c>
      <c r="P899" s="17" t="str">
        <v/>
      </c>
      <c r="Q899" s="17">
        <v>0</v>
      </c>
      <c r="R899" s="17">
        <v>0</v>
      </c>
      <c r="S899" s="17">
        <v>0</v>
      </c>
      <c r="T899" s="22">
        <v>0</v>
      </c>
    </row>
    <row r="900" spans="2:20" x14ac:dyDescent="0.25">
      <c r="B900" s="21">
        <v>0</v>
      </c>
      <c r="C900" s="17">
        <v>0</v>
      </c>
      <c r="D900" s="17">
        <v>0</v>
      </c>
      <c r="E900" s="17">
        <v>0</v>
      </c>
      <c r="F900" s="17">
        <v>0</v>
      </c>
      <c r="G900" s="17">
        <v>0</v>
      </c>
      <c r="H900" s="38">
        <v>0</v>
      </c>
      <c r="I900" s="17" t="str">
        <v/>
      </c>
      <c r="J900" s="17">
        <v>0</v>
      </c>
      <c r="K900" s="38">
        <v>0</v>
      </c>
      <c r="L900" s="17" t="str">
        <v/>
      </c>
      <c r="M900" s="17">
        <v>0</v>
      </c>
      <c r="N900" s="17">
        <v>0</v>
      </c>
      <c r="O900" s="17" t="str">
        <v/>
      </c>
      <c r="P900" s="17" t="str">
        <v/>
      </c>
      <c r="Q900" s="17">
        <v>0</v>
      </c>
      <c r="R900" s="17">
        <v>0</v>
      </c>
      <c r="S900" s="17">
        <v>0</v>
      </c>
      <c r="T900" s="22">
        <v>0</v>
      </c>
    </row>
    <row r="901" spans="2:20" x14ac:dyDescent="0.25">
      <c r="B901" s="21">
        <v>0</v>
      </c>
      <c r="C901" s="17">
        <v>0</v>
      </c>
      <c r="D901" s="17">
        <v>0</v>
      </c>
      <c r="E901" s="17">
        <v>0</v>
      </c>
      <c r="F901" s="17">
        <v>0</v>
      </c>
      <c r="G901" s="17">
        <v>0</v>
      </c>
      <c r="H901" s="38">
        <v>0</v>
      </c>
      <c r="I901" s="17" t="str">
        <v/>
      </c>
      <c r="J901" s="17">
        <v>0</v>
      </c>
      <c r="K901" s="38">
        <v>0</v>
      </c>
      <c r="L901" s="17" t="str">
        <v/>
      </c>
      <c r="M901" s="17">
        <v>0</v>
      </c>
      <c r="N901" s="17">
        <v>0</v>
      </c>
      <c r="O901" s="17" t="str">
        <v/>
      </c>
      <c r="P901" s="17" t="str">
        <v/>
      </c>
      <c r="Q901" s="17">
        <v>0</v>
      </c>
      <c r="R901" s="17">
        <v>0</v>
      </c>
      <c r="S901" s="17">
        <v>0</v>
      </c>
      <c r="T901" s="22">
        <v>0</v>
      </c>
    </row>
    <row r="902" spans="2:20" x14ac:dyDescent="0.25">
      <c r="B902" s="21">
        <v>0</v>
      </c>
      <c r="C902" s="17">
        <v>0</v>
      </c>
      <c r="D902" s="17">
        <v>0</v>
      </c>
      <c r="E902" s="17">
        <v>0</v>
      </c>
      <c r="F902" s="17">
        <v>0</v>
      </c>
      <c r="G902" s="17">
        <v>0</v>
      </c>
      <c r="H902" s="38">
        <v>0</v>
      </c>
      <c r="I902" s="17" t="str">
        <v/>
      </c>
      <c r="J902" s="17">
        <v>0</v>
      </c>
      <c r="K902" s="38">
        <v>0</v>
      </c>
      <c r="L902" s="17" t="str">
        <v/>
      </c>
      <c r="M902" s="17">
        <v>0</v>
      </c>
      <c r="N902" s="17">
        <v>0</v>
      </c>
      <c r="O902" s="17" t="str">
        <v/>
      </c>
      <c r="P902" s="17" t="str">
        <v/>
      </c>
      <c r="Q902" s="17">
        <v>0</v>
      </c>
      <c r="R902" s="17">
        <v>0</v>
      </c>
      <c r="S902" s="17">
        <v>0</v>
      </c>
      <c r="T902" s="22">
        <v>0</v>
      </c>
    </row>
    <row r="903" spans="2:20" x14ac:dyDescent="0.25">
      <c r="B903" s="21">
        <v>0</v>
      </c>
      <c r="C903" s="17">
        <v>0</v>
      </c>
      <c r="D903" s="17">
        <v>0</v>
      </c>
      <c r="E903" s="17">
        <v>0</v>
      </c>
      <c r="F903" s="17">
        <v>0</v>
      </c>
      <c r="G903" s="17">
        <v>0</v>
      </c>
      <c r="H903" s="38">
        <v>0</v>
      </c>
      <c r="I903" s="17" t="str">
        <v/>
      </c>
      <c r="J903" s="17">
        <v>0</v>
      </c>
      <c r="K903" s="38">
        <v>0</v>
      </c>
      <c r="L903" s="17" t="str">
        <v/>
      </c>
      <c r="M903" s="17">
        <v>0</v>
      </c>
      <c r="N903" s="17">
        <v>0</v>
      </c>
      <c r="O903" s="17" t="str">
        <v/>
      </c>
      <c r="P903" s="17" t="str">
        <v/>
      </c>
      <c r="Q903" s="17">
        <v>0</v>
      </c>
      <c r="R903" s="17">
        <v>0</v>
      </c>
      <c r="S903" s="17">
        <v>0</v>
      </c>
      <c r="T903" s="22">
        <v>0</v>
      </c>
    </row>
    <row r="904" spans="2:20" x14ac:dyDescent="0.25">
      <c r="B904" s="21">
        <v>0</v>
      </c>
      <c r="C904" s="17">
        <v>0</v>
      </c>
      <c r="D904" s="17">
        <v>0</v>
      </c>
      <c r="E904" s="17">
        <v>0</v>
      </c>
      <c r="F904" s="17">
        <v>0</v>
      </c>
      <c r="G904" s="17">
        <v>0</v>
      </c>
      <c r="H904" s="38">
        <v>0</v>
      </c>
      <c r="I904" s="17" t="str">
        <v/>
      </c>
      <c r="J904" s="17">
        <v>0</v>
      </c>
      <c r="K904" s="38">
        <v>0</v>
      </c>
      <c r="L904" s="17" t="str">
        <v/>
      </c>
      <c r="M904" s="17">
        <v>0</v>
      </c>
      <c r="N904" s="17">
        <v>0</v>
      </c>
      <c r="O904" s="17" t="str">
        <v/>
      </c>
      <c r="P904" s="17" t="str">
        <v/>
      </c>
      <c r="Q904" s="17">
        <v>0</v>
      </c>
      <c r="R904" s="17">
        <v>0</v>
      </c>
      <c r="S904" s="17">
        <v>0</v>
      </c>
      <c r="T904" s="22">
        <v>0</v>
      </c>
    </row>
    <row r="905" spans="2:20" x14ac:dyDescent="0.25">
      <c r="B905" s="21">
        <v>0</v>
      </c>
      <c r="C905" s="17">
        <v>0</v>
      </c>
      <c r="D905" s="17">
        <v>0</v>
      </c>
      <c r="E905" s="17">
        <v>0</v>
      </c>
      <c r="F905" s="17">
        <v>0</v>
      </c>
      <c r="G905" s="17">
        <v>0</v>
      </c>
      <c r="H905" s="38">
        <v>0</v>
      </c>
      <c r="I905" s="17" t="str">
        <v/>
      </c>
      <c r="J905" s="17">
        <v>0</v>
      </c>
      <c r="K905" s="38">
        <v>0</v>
      </c>
      <c r="L905" s="17" t="str">
        <v/>
      </c>
      <c r="M905" s="17">
        <v>0</v>
      </c>
      <c r="N905" s="17">
        <v>0</v>
      </c>
      <c r="O905" s="17" t="str">
        <v/>
      </c>
      <c r="P905" s="17" t="str">
        <v/>
      </c>
      <c r="Q905" s="17">
        <v>0</v>
      </c>
      <c r="R905" s="17">
        <v>0</v>
      </c>
      <c r="S905" s="17">
        <v>0</v>
      </c>
      <c r="T905" s="22">
        <v>0</v>
      </c>
    </row>
    <row r="906" spans="2:20" x14ac:dyDescent="0.25">
      <c r="B906" s="21">
        <v>0</v>
      </c>
      <c r="C906" s="17">
        <v>0</v>
      </c>
      <c r="D906" s="17">
        <v>0</v>
      </c>
      <c r="E906" s="17">
        <v>0</v>
      </c>
      <c r="F906" s="17">
        <v>0</v>
      </c>
      <c r="G906" s="17">
        <v>0</v>
      </c>
      <c r="H906" s="38">
        <v>0</v>
      </c>
      <c r="I906" s="17" t="str">
        <v/>
      </c>
      <c r="J906" s="17">
        <v>0</v>
      </c>
      <c r="K906" s="38">
        <v>0</v>
      </c>
      <c r="L906" s="17" t="str">
        <v/>
      </c>
      <c r="M906" s="17">
        <v>0</v>
      </c>
      <c r="N906" s="17">
        <v>0</v>
      </c>
      <c r="O906" s="17" t="str">
        <v/>
      </c>
      <c r="P906" s="17" t="str">
        <v/>
      </c>
      <c r="Q906" s="17">
        <v>0</v>
      </c>
      <c r="R906" s="17">
        <v>0</v>
      </c>
      <c r="S906" s="17">
        <v>0</v>
      </c>
      <c r="T906" s="22">
        <v>0</v>
      </c>
    </row>
    <row r="907" spans="2:20" x14ac:dyDescent="0.25">
      <c r="B907" s="21">
        <v>0</v>
      </c>
      <c r="C907" s="17">
        <v>0</v>
      </c>
      <c r="D907" s="17">
        <v>0</v>
      </c>
      <c r="E907" s="17">
        <v>0</v>
      </c>
      <c r="F907" s="17">
        <v>0</v>
      </c>
      <c r="G907" s="17">
        <v>0</v>
      </c>
      <c r="H907" s="38">
        <v>0</v>
      </c>
      <c r="I907" s="17" t="str">
        <v/>
      </c>
      <c r="J907" s="17">
        <v>0</v>
      </c>
      <c r="K907" s="38">
        <v>0</v>
      </c>
      <c r="L907" s="17" t="str">
        <v/>
      </c>
      <c r="M907" s="17">
        <v>0</v>
      </c>
      <c r="N907" s="17">
        <v>0</v>
      </c>
      <c r="O907" s="17" t="str">
        <v/>
      </c>
      <c r="P907" s="17" t="str">
        <v/>
      </c>
      <c r="Q907" s="17">
        <v>0</v>
      </c>
      <c r="R907" s="17">
        <v>0</v>
      </c>
      <c r="S907" s="17">
        <v>0</v>
      </c>
      <c r="T907" s="22">
        <v>0</v>
      </c>
    </row>
    <row r="908" spans="2:20" x14ac:dyDescent="0.25">
      <c r="B908" s="21">
        <v>0</v>
      </c>
      <c r="C908" s="17">
        <v>0</v>
      </c>
      <c r="D908" s="17">
        <v>0</v>
      </c>
      <c r="E908" s="17">
        <v>0</v>
      </c>
      <c r="F908" s="17">
        <v>0</v>
      </c>
      <c r="G908" s="17">
        <v>0</v>
      </c>
      <c r="H908" s="38">
        <v>0</v>
      </c>
      <c r="I908" s="17" t="str">
        <v/>
      </c>
      <c r="J908" s="17">
        <v>0</v>
      </c>
      <c r="K908" s="38">
        <v>0</v>
      </c>
      <c r="L908" s="17" t="str">
        <v/>
      </c>
      <c r="M908" s="17">
        <v>0</v>
      </c>
      <c r="N908" s="17">
        <v>0</v>
      </c>
      <c r="O908" s="17" t="str">
        <v/>
      </c>
      <c r="P908" s="17" t="str">
        <v/>
      </c>
      <c r="Q908" s="17">
        <v>0</v>
      </c>
      <c r="R908" s="17">
        <v>0</v>
      </c>
      <c r="S908" s="17">
        <v>0</v>
      </c>
      <c r="T908" s="22">
        <v>0</v>
      </c>
    </row>
    <row r="909" spans="2:20" x14ac:dyDescent="0.25">
      <c r="B909" s="21">
        <v>0</v>
      </c>
      <c r="C909" s="17">
        <v>0</v>
      </c>
      <c r="D909" s="17">
        <v>0</v>
      </c>
      <c r="E909" s="17">
        <v>0</v>
      </c>
      <c r="F909" s="17">
        <v>0</v>
      </c>
      <c r="G909" s="17">
        <v>0</v>
      </c>
      <c r="H909" s="38">
        <v>0</v>
      </c>
      <c r="I909" s="17" t="str">
        <v/>
      </c>
      <c r="J909" s="17">
        <v>0</v>
      </c>
      <c r="K909" s="38">
        <v>0</v>
      </c>
      <c r="L909" s="17" t="str">
        <v/>
      </c>
      <c r="M909" s="17">
        <v>0</v>
      </c>
      <c r="N909" s="17">
        <v>0</v>
      </c>
      <c r="O909" s="17" t="str">
        <v/>
      </c>
      <c r="P909" s="17" t="str">
        <v/>
      </c>
      <c r="Q909" s="17">
        <v>0</v>
      </c>
      <c r="R909" s="17">
        <v>0</v>
      </c>
      <c r="S909" s="17">
        <v>0</v>
      </c>
      <c r="T909" s="22">
        <v>0</v>
      </c>
    </row>
    <row r="910" spans="2:20" x14ac:dyDescent="0.25">
      <c r="B910" s="21">
        <v>0</v>
      </c>
      <c r="C910" s="17">
        <v>0</v>
      </c>
      <c r="D910" s="17">
        <v>0</v>
      </c>
      <c r="E910" s="17">
        <v>0</v>
      </c>
      <c r="F910" s="17">
        <v>0</v>
      </c>
      <c r="G910" s="17">
        <v>0</v>
      </c>
      <c r="H910" s="38">
        <v>0</v>
      </c>
      <c r="I910" s="17" t="str">
        <v/>
      </c>
      <c r="J910" s="17">
        <v>0</v>
      </c>
      <c r="K910" s="38">
        <v>0</v>
      </c>
      <c r="L910" s="17" t="str">
        <v/>
      </c>
      <c r="M910" s="17">
        <v>0</v>
      </c>
      <c r="N910" s="17">
        <v>0</v>
      </c>
      <c r="O910" s="17" t="str">
        <v/>
      </c>
      <c r="P910" s="17" t="str">
        <v/>
      </c>
      <c r="Q910" s="17">
        <v>0</v>
      </c>
      <c r="R910" s="17">
        <v>0</v>
      </c>
      <c r="S910" s="17">
        <v>0</v>
      </c>
      <c r="T910" s="22">
        <v>0</v>
      </c>
    </row>
    <row r="911" spans="2:20" x14ac:dyDescent="0.25">
      <c r="B911" s="21">
        <v>0</v>
      </c>
      <c r="C911" s="17">
        <v>0</v>
      </c>
      <c r="D911" s="17">
        <v>0</v>
      </c>
      <c r="E911" s="17">
        <v>0</v>
      </c>
      <c r="F911" s="17">
        <v>0</v>
      </c>
      <c r="G911" s="17">
        <v>0</v>
      </c>
      <c r="H911" s="38">
        <v>0</v>
      </c>
      <c r="I911" s="17" t="str">
        <v/>
      </c>
      <c r="J911" s="17">
        <v>0</v>
      </c>
      <c r="K911" s="38">
        <v>0</v>
      </c>
      <c r="L911" s="17" t="str">
        <v/>
      </c>
      <c r="M911" s="17">
        <v>0</v>
      </c>
      <c r="N911" s="17">
        <v>0</v>
      </c>
      <c r="O911" s="17" t="str">
        <v/>
      </c>
      <c r="P911" s="17" t="str">
        <v/>
      </c>
      <c r="Q911" s="17">
        <v>0</v>
      </c>
      <c r="R911" s="17">
        <v>0</v>
      </c>
      <c r="S911" s="17">
        <v>0</v>
      </c>
      <c r="T911" s="22">
        <v>0</v>
      </c>
    </row>
    <row r="912" spans="2:20" x14ac:dyDescent="0.25">
      <c r="B912" s="21">
        <v>0</v>
      </c>
      <c r="C912" s="17">
        <v>0</v>
      </c>
      <c r="D912" s="17">
        <v>0</v>
      </c>
      <c r="E912" s="17">
        <v>0</v>
      </c>
      <c r="F912" s="17">
        <v>0</v>
      </c>
      <c r="G912" s="17">
        <v>0</v>
      </c>
      <c r="H912" s="38">
        <v>0</v>
      </c>
      <c r="I912" s="17" t="str">
        <v/>
      </c>
      <c r="J912" s="17">
        <v>0</v>
      </c>
      <c r="K912" s="38">
        <v>0</v>
      </c>
      <c r="L912" s="17" t="str">
        <v/>
      </c>
      <c r="M912" s="17">
        <v>0</v>
      </c>
      <c r="N912" s="17">
        <v>0</v>
      </c>
      <c r="O912" s="17" t="str">
        <v/>
      </c>
      <c r="P912" s="17" t="str">
        <v/>
      </c>
      <c r="Q912" s="17">
        <v>0</v>
      </c>
      <c r="R912" s="17">
        <v>0</v>
      </c>
      <c r="S912" s="17">
        <v>0</v>
      </c>
      <c r="T912" s="22">
        <v>0</v>
      </c>
    </row>
    <row r="913" spans="2:20" x14ac:dyDescent="0.25">
      <c r="B913" s="21">
        <v>0</v>
      </c>
      <c r="C913" s="17">
        <v>0</v>
      </c>
      <c r="D913" s="17">
        <v>0</v>
      </c>
      <c r="E913" s="17">
        <v>0</v>
      </c>
      <c r="F913" s="17">
        <v>0</v>
      </c>
      <c r="G913" s="17">
        <v>0</v>
      </c>
      <c r="H913" s="38">
        <v>0</v>
      </c>
      <c r="I913" s="17" t="str">
        <v/>
      </c>
      <c r="J913" s="17">
        <v>0</v>
      </c>
      <c r="K913" s="38">
        <v>0</v>
      </c>
      <c r="L913" s="17" t="str">
        <v/>
      </c>
      <c r="M913" s="17">
        <v>0</v>
      </c>
      <c r="N913" s="17">
        <v>0</v>
      </c>
      <c r="O913" s="17" t="str">
        <v/>
      </c>
      <c r="P913" s="17" t="str">
        <v/>
      </c>
      <c r="Q913" s="17">
        <v>0</v>
      </c>
      <c r="R913" s="17">
        <v>0</v>
      </c>
      <c r="S913" s="17">
        <v>0</v>
      </c>
      <c r="T913" s="22">
        <v>0</v>
      </c>
    </row>
    <row r="914" spans="2:20" x14ac:dyDescent="0.25">
      <c r="B914" s="21">
        <v>0</v>
      </c>
      <c r="C914" s="17">
        <v>0</v>
      </c>
      <c r="D914" s="17">
        <v>0</v>
      </c>
      <c r="E914" s="17">
        <v>0</v>
      </c>
      <c r="F914" s="17">
        <v>0</v>
      </c>
      <c r="G914" s="17">
        <v>0</v>
      </c>
      <c r="H914" s="38">
        <v>0</v>
      </c>
      <c r="I914" s="17" t="str">
        <v/>
      </c>
      <c r="J914" s="17">
        <v>0</v>
      </c>
      <c r="K914" s="38">
        <v>0</v>
      </c>
      <c r="L914" s="17" t="str">
        <v/>
      </c>
      <c r="M914" s="17">
        <v>0</v>
      </c>
      <c r="N914" s="17">
        <v>0</v>
      </c>
      <c r="O914" s="17" t="str">
        <v/>
      </c>
      <c r="P914" s="17" t="str">
        <v/>
      </c>
      <c r="Q914" s="17">
        <v>0</v>
      </c>
      <c r="R914" s="17">
        <v>0</v>
      </c>
      <c r="S914" s="17">
        <v>0</v>
      </c>
      <c r="T914" s="22">
        <v>0</v>
      </c>
    </row>
    <row r="915" spans="2:20" x14ac:dyDescent="0.25">
      <c r="B915" s="21">
        <v>0</v>
      </c>
      <c r="C915" s="17">
        <v>0</v>
      </c>
      <c r="D915" s="17">
        <v>0</v>
      </c>
      <c r="E915" s="17">
        <v>0</v>
      </c>
      <c r="F915" s="17">
        <v>0</v>
      </c>
      <c r="G915" s="17">
        <v>0</v>
      </c>
      <c r="H915" s="38">
        <v>0</v>
      </c>
      <c r="I915" s="17" t="str">
        <v/>
      </c>
      <c r="J915" s="17">
        <v>0</v>
      </c>
      <c r="K915" s="38">
        <v>0</v>
      </c>
      <c r="L915" s="17" t="str">
        <v/>
      </c>
      <c r="M915" s="17">
        <v>0</v>
      </c>
      <c r="N915" s="17">
        <v>0</v>
      </c>
      <c r="O915" s="17" t="str">
        <v/>
      </c>
      <c r="P915" s="17" t="str">
        <v/>
      </c>
      <c r="Q915" s="17">
        <v>0</v>
      </c>
      <c r="R915" s="17">
        <v>0</v>
      </c>
      <c r="S915" s="17">
        <v>0</v>
      </c>
      <c r="T915" s="22">
        <v>0</v>
      </c>
    </row>
    <row r="916" spans="2:20" x14ac:dyDescent="0.25">
      <c r="B916" s="21">
        <v>0</v>
      </c>
      <c r="C916" s="17">
        <v>0</v>
      </c>
      <c r="D916" s="17">
        <v>0</v>
      </c>
      <c r="E916" s="17">
        <v>0</v>
      </c>
      <c r="F916" s="17">
        <v>0</v>
      </c>
      <c r="G916" s="17">
        <v>0</v>
      </c>
      <c r="H916" s="38">
        <v>0</v>
      </c>
      <c r="I916" s="17" t="str">
        <v/>
      </c>
      <c r="J916" s="17">
        <v>0</v>
      </c>
      <c r="K916" s="38">
        <v>0</v>
      </c>
      <c r="L916" s="17" t="str">
        <v/>
      </c>
      <c r="M916" s="17">
        <v>0</v>
      </c>
      <c r="N916" s="17">
        <v>0</v>
      </c>
      <c r="O916" s="17" t="str">
        <v/>
      </c>
      <c r="P916" s="17" t="str">
        <v/>
      </c>
      <c r="Q916" s="17">
        <v>0</v>
      </c>
      <c r="R916" s="17">
        <v>0</v>
      </c>
      <c r="S916" s="17">
        <v>0</v>
      </c>
      <c r="T916" s="22">
        <v>0</v>
      </c>
    </row>
    <row r="917" spans="2:20" x14ac:dyDescent="0.25">
      <c r="B917" s="21">
        <v>0</v>
      </c>
      <c r="C917" s="17">
        <v>0</v>
      </c>
      <c r="D917" s="17">
        <v>0</v>
      </c>
      <c r="E917" s="17">
        <v>0</v>
      </c>
      <c r="F917" s="17">
        <v>0</v>
      </c>
      <c r="G917" s="17">
        <v>0</v>
      </c>
      <c r="H917" s="38">
        <v>0</v>
      </c>
      <c r="I917" s="17" t="str">
        <v/>
      </c>
      <c r="J917" s="17">
        <v>0</v>
      </c>
      <c r="K917" s="38">
        <v>0</v>
      </c>
      <c r="L917" s="17" t="str">
        <v/>
      </c>
      <c r="M917" s="17">
        <v>0</v>
      </c>
      <c r="N917" s="17">
        <v>0</v>
      </c>
      <c r="O917" s="17" t="str">
        <v/>
      </c>
      <c r="P917" s="17" t="str">
        <v/>
      </c>
      <c r="Q917" s="17">
        <v>0</v>
      </c>
      <c r="R917" s="17">
        <v>0</v>
      </c>
      <c r="S917" s="17">
        <v>0</v>
      </c>
      <c r="T917" s="22">
        <v>0</v>
      </c>
    </row>
    <row r="918" spans="2:20" x14ac:dyDescent="0.25">
      <c r="B918" s="21">
        <v>0</v>
      </c>
      <c r="C918" s="17">
        <v>0</v>
      </c>
      <c r="D918" s="17">
        <v>0</v>
      </c>
      <c r="E918" s="17">
        <v>0</v>
      </c>
      <c r="F918" s="17">
        <v>0</v>
      </c>
      <c r="G918" s="17">
        <v>0</v>
      </c>
      <c r="H918" s="38">
        <v>0</v>
      </c>
      <c r="I918" s="17" t="str">
        <v/>
      </c>
      <c r="J918" s="17">
        <v>0</v>
      </c>
      <c r="K918" s="38">
        <v>0</v>
      </c>
      <c r="L918" s="17" t="str">
        <v/>
      </c>
      <c r="M918" s="17">
        <v>0</v>
      </c>
      <c r="N918" s="17">
        <v>0</v>
      </c>
      <c r="O918" s="17" t="str">
        <v/>
      </c>
      <c r="P918" s="17" t="str">
        <v/>
      </c>
      <c r="Q918" s="17">
        <v>0</v>
      </c>
      <c r="R918" s="17">
        <v>0</v>
      </c>
      <c r="S918" s="17">
        <v>0</v>
      </c>
      <c r="T918" s="22">
        <v>0</v>
      </c>
    </row>
    <row r="919" spans="2:20" x14ac:dyDescent="0.25">
      <c r="B919" s="21">
        <v>0</v>
      </c>
      <c r="C919" s="17">
        <v>0</v>
      </c>
      <c r="D919" s="17">
        <v>0</v>
      </c>
      <c r="E919" s="17">
        <v>0</v>
      </c>
      <c r="F919" s="17">
        <v>0</v>
      </c>
      <c r="G919" s="17">
        <v>0</v>
      </c>
      <c r="H919" s="38">
        <v>0</v>
      </c>
      <c r="I919" s="17" t="str">
        <v/>
      </c>
      <c r="J919" s="17">
        <v>0</v>
      </c>
      <c r="K919" s="38">
        <v>0</v>
      </c>
      <c r="L919" s="17" t="str">
        <v/>
      </c>
      <c r="M919" s="17">
        <v>0</v>
      </c>
      <c r="N919" s="17">
        <v>0</v>
      </c>
      <c r="O919" s="17" t="str">
        <v/>
      </c>
      <c r="P919" s="17" t="str">
        <v/>
      </c>
      <c r="Q919" s="17">
        <v>0</v>
      </c>
      <c r="R919" s="17">
        <v>0</v>
      </c>
      <c r="S919" s="17">
        <v>0</v>
      </c>
      <c r="T919" s="22">
        <v>0</v>
      </c>
    </row>
    <row r="920" spans="2:20" x14ac:dyDescent="0.25">
      <c r="B920" s="21">
        <v>0</v>
      </c>
      <c r="C920" s="17">
        <v>0</v>
      </c>
      <c r="D920" s="17">
        <v>0</v>
      </c>
      <c r="E920" s="17">
        <v>0</v>
      </c>
      <c r="F920" s="17">
        <v>0</v>
      </c>
      <c r="G920" s="17">
        <v>0</v>
      </c>
      <c r="H920" s="38">
        <v>0</v>
      </c>
      <c r="I920" s="17" t="str">
        <v/>
      </c>
      <c r="J920" s="17">
        <v>0</v>
      </c>
      <c r="K920" s="38">
        <v>0</v>
      </c>
      <c r="L920" s="17" t="str">
        <v/>
      </c>
      <c r="M920" s="17">
        <v>0</v>
      </c>
      <c r="N920" s="17">
        <v>0</v>
      </c>
      <c r="O920" s="17" t="str">
        <v/>
      </c>
      <c r="P920" s="17" t="str">
        <v/>
      </c>
      <c r="Q920" s="17">
        <v>0</v>
      </c>
      <c r="R920" s="17">
        <v>0</v>
      </c>
      <c r="S920" s="17">
        <v>0</v>
      </c>
      <c r="T920" s="22">
        <v>0</v>
      </c>
    </row>
    <row r="921" spans="2:20" x14ac:dyDescent="0.25">
      <c r="B921" s="21">
        <v>0</v>
      </c>
      <c r="C921" s="17">
        <v>0</v>
      </c>
      <c r="D921" s="17">
        <v>0</v>
      </c>
      <c r="E921" s="17">
        <v>0</v>
      </c>
      <c r="F921" s="17">
        <v>0</v>
      </c>
      <c r="G921" s="17">
        <v>0</v>
      </c>
      <c r="H921" s="38">
        <v>0</v>
      </c>
      <c r="I921" s="17" t="str">
        <v/>
      </c>
      <c r="J921" s="17">
        <v>0</v>
      </c>
      <c r="K921" s="38">
        <v>0</v>
      </c>
      <c r="L921" s="17" t="str">
        <v/>
      </c>
      <c r="M921" s="17">
        <v>0</v>
      </c>
      <c r="N921" s="17">
        <v>0</v>
      </c>
      <c r="O921" s="17" t="str">
        <v/>
      </c>
      <c r="P921" s="17" t="str">
        <v/>
      </c>
      <c r="Q921" s="17">
        <v>0</v>
      </c>
      <c r="R921" s="17">
        <v>0</v>
      </c>
      <c r="S921" s="17">
        <v>0</v>
      </c>
      <c r="T921" s="22">
        <v>0</v>
      </c>
    </row>
    <row r="922" spans="2:20" x14ac:dyDescent="0.25">
      <c r="B922" s="21">
        <v>0</v>
      </c>
      <c r="C922" s="17">
        <v>0</v>
      </c>
      <c r="D922" s="17">
        <v>0</v>
      </c>
      <c r="E922" s="17">
        <v>0</v>
      </c>
      <c r="F922" s="17">
        <v>0</v>
      </c>
      <c r="G922" s="17">
        <v>0</v>
      </c>
      <c r="H922" s="38">
        <v>0</v>
      </c>
      <c r="I922" s="17" t="str">
        <v/>
      </c>
      <c r="J922" s="17">
        <v>0</v>
      </c>
      <c r="K922" s="38">
        <v>0</v>
      </c>
      <c r="L922" s="17" t="str">
        <v/>
      </c>
      <c r="M922" s="17">
        <v>0</v>
      </c>
      <c r="N922" s="17">
        <v>0</v>
      </c>
      <c r="O922" s="17" t="str">
        <v/>
      </c>
      <c r="P922" s="17" t="str">
        <v/>
      </c>
      <c r="Q922" s="17">
        <v>0</v>
      </c>
      <c r="R922" s="17">
        <v>0</v>
      </c>
      <c r="S922" s="17">
        <v>0</v>
      </c>
      <c r="T922" s="22">
        <v>0</v>
      </c>
    </row>
    <row r="923" spans="2:20" x14ac:dyDescent="0.25">
      <c r="B923" s="21">
        <v>0</v>
      </c>
      <c r="C923" s="17">
        <v>0</v>
      </c>
      <c r="D923" s="17">
        <v>0</v>
      </c>
      <c r="E923" s="17">
        <v>0</v>
      </c>
      <c r="F923" s="17">
        <v>0</v>
      </c>
      <c r="G923" s="17">
        <v>0</v>
      </c>
      <c r="H923" s="38">
        <v>0</v>
      </c>
      <c r="I923" s="17" t="str">
        <v/>
      </c>
      <c r="J923" s="17">
        <v>0</v>
      </c>
      <c r="K923" s="38">
        <v>0</v>
      </c>
      <c r="L923" s="17" t="str">
        <v/>
      </c>
      <c r="M923" s="17">
        <v>0</v>
      </c>
      <c r="N923" s="17">
        <v>0</v>
      </c>
      <c r="O923" s="17" t="str">
        <v/>
      </c>
      <c r="P923" s="17" t="str">
        <v/>
      </c>
      <c r="Q923" s="17">
        <v>0</v>
      </c>
      <c r="R923" s="17">
        <v>0</v>
      </c>
      <c r="S923" s="17">
        <v>0</v>
      </c>
      <c r="T923" s="22">
        <v>0</v>
      </c>
    </row>
    <row r="924" spans="2:20" x14ac:dyDescent="0.25">
      <c r="B924" s="21">
        <v>0</v>
      </c>
      <c r="C924" s="17">
        <v>0</v>
      </c>
      <c r="D924" s="17">
        <v>0</v>
      </c>
      <c r="E924" s="17">
        <v>0</v>
      </c>
      <c r="F924" s="17">
        <v>0</v>
      </c>
      <c r="G924" s="17">
        <v>0</v>
      </c>
      <c r="H924" s="38">
        <v>0</v>
      </c>
      <c r="I924" s="17" t="str">
        <v/>
      </c>
      <c r="J924" s="17">
        <v>0</v>
      </c>
      <c r="K924" s="38">
        <v>0</v>
      </c>
      <c r="L924" s="17" t="str">
        <v/>
      </c>
      <c r="M924" s="17">
        <v>0</v>
      </c>
      <c r="N924" s="17">
        <v>0</v>
      </c>
      <c r="O924" s="17" t="str">
        <v/>
      </c>
      <c r="P924" s="17" t="str">
        <v/>
      </c>
      <c r="Q924" s="17">
        <v>0</v>
      </c>
      <c r="R924" s="17">
        <v>0</v>
      </c>
      <c r="S924" s="17">
        <v>0</v>
      </c>
      <c r="T924" s="22">
        <v>0</v>
      </c>
    </row>
    <row r="925" spans="2:20" x14ac:dyDescent="0.25">
      <c r="B925" s="21">
        <v>0</v>
      </c>
      <c r="C925" s="17">
        <v>0</v>
      </c>
      <c r="D925" s="17">
        <v>0</v>
      </c>
      <c r="E925" s="17">
        <v>0</v>
      </c>
      <c r="F925" s="17">
        <v>0</v>
      </c>
      <c r="G925" s="17">
        <v>0</v>
      </c>
      <c r="H925" s="38">
        <v>0</v>
      </c>
      <c r="I925" s="17" t="str">
        <v/>
      </c>
      <c r="J925" s="17">
        <v>0</v>
      </c>
      <c r="K925" s="38">
        <v>0</v>
      </c>
      <c r="L925" s="17" t="str">
        <v/>
      </c>
      <c r="M925" s="17">
        <v>0</v>
      </c>
      <c r="N925" s="17">
        <v>0</v>
      </c>
      <c r="O925" s="17" t="str">
        <v/>
      </c>
      <c r="P925" s="17" t="str">
        <v/>
      </c>
      <c r="Q925" s="17">
        <v>0</v>
      </c>
      <c r="R925" s="17">
        <v>0</v>
      </c>
      <c r="S925" s="17">
        <v>0</v>
      </c>
      <c r="T925" s="22">
        <v>0</v>
      </c>
    </row>
    <row r="926" spans="2:20" x14ac:dyDescent="0.25">
      <c r="B926" s="21">
        <v>0</v>
      </c>
      <c r="C926" s="17">
        <v>0</v>
      </c>
      <c r="D926" s="17">
        <v>0</v>
      </c>
      <c r="E926" s="17">
        <v>0</v>
      </c>
      <c r="F926" s="17">
        <v>0</v>
      </c>
      <c r="G926" s="17">
        <v>0</v>
      </c>
      <c r="H926" s="38">
        <v>0</v>
      </c>
      <c r="I926" s="17" t="str">
        <v/>
      </c>
      <c r="J926" s="17">
        <v>0</v>
      </c>
      <c r="K926" s="38">
        <v>0</v>
      </c>
      <c r="L926" s="17" t="str">
        <v/>
      </c>
      <c r="M926" s="17">
        <v>0</v>
      </c>
      <c r="N926" s="17">
        <v>0</v>
      </c>
      <c r="O926" s="17" t="str">
        <v/>
      </c>
      <c r="P926" s="17" t="str">
        <v/>
      </c>
      <c r="Q926" s="17">
        <v>0</v>
      </c>
      <c r="R926" s="17">
        <v>0</v>
      </c>
      <c r="S926" s="17">
        <v>0</v>
      </c>
      <c r="T926" s="22">
        <v>0</v>
      </c>
    </row>
    <row r="927" spans="2:20" x14ac:dyDescent="0.25">
      <c r="B927" s="21">
        <v>0</v>
      </c>
      <c r="C927" s="17">
        <v>0</v>
      </c>
      <c r="D927" s="17">
        <v>0</v>
      </c>
      <c r="E927" s="17">
        <v>0</v>
      </c>
      <c r="F927" s="17">
        <v>0</v>
      </c>
      <c r="G927" s="17">
        <v>0</v>
      </c>
      <c r="H927" s="38">
        <v>0</v>
      </c>
      <c r="I927" s="17" t="str">
        <v/>
      </c>
      <c r="J927" s="17">
        <v>0</v>
      </c>
      <c r="K927" s="38">
        <v>0</v>
      </c>
      <c r="L927" s="17" t="str">
        <v/>
      </c>
      <c r="M927" s="17">
        <v>0</v>
      </c>
      <c r="N927" s="17">
        <v>0</v>
      </c>
      <c r="O927" s="17" t="str">
        <v/>
      </c>
      <c r="P927" s="17" t="str">
        <v/>
      </c>
      <c r="Q927" s="17">
        <v>0</v>
      </c>
      <c r="R927" s="17">
        <v>0</v>
      </c>
      <c r="S927" s="17">
        <v>0</v>
      </c>
      <c r="T927" s="22">
        <v>0</v>
      </c>
    </row>
    <row r="928" spans="2:20" x14ac:dyDescent="0.25">
      <c r="B928" s="21">
        <v>0</v>
      </c>
      <c r="C928" s="17">
        <v>0</v>
      </c>
      <c r="D928" s="17">
        <v>0</v>
      </c>
      <c r="E928" s="17">
        <v>0</v>
      </c>
      <c r="F928" s="17">
        <v>0</v>
      </c>
      <c r="G928" s="17">
        <v>0</v>
      </c>
      <c r="H928" s="38">
        <v>0</v>
      </c>
      <c r="I928" s="17" t="str">
        <v/>
      </c>
      <c r="J928" s="17">
        <v>0</v>
      </c>
      <c r="K928" s="38">
        <v>0</v>
      </c>
      <c r="L928" s="17" t="str">
        <v/>
      </c>
      <c r="M928" s="17">
        <v>0</v>
      </c>
      <c r="N928" s="17">
        <v>0</v>
      </c>
      <c r="O928" s="17" t="str">
        <v/>
      </c>
      <c r="P928" s="17" t="str">
        <v/>
      </c>
      <c r="Q928" s="17">
        <v>0</v>
      </c>
      <c r="R928" s="17">
        <v>0</v>
      </c>
      <c r="S928" s="17">
        <v>0</v>
      </c>
      <c r="T928" s="22">
        <v>0</v>
      </c>
    </row>
    <row r="929" spans="2:20" x14ac:dyDescent="0.25">
      <c r="B929" s="21">
        <v>0</v>
      </c>
      <c r="C929" s="17">
        <v>0</v>
      </c>
      <c r="D929" s="17">
        <v>0</v>
      </c>
      <c r="E929" s="17">
        <v>0</v>
      </c>
      <c r="F929" s="17">
        <v>0</v>
      </c>
      <c r="G929" s="17">
        <v>0</v>
      </c>
      <c r="H929" s="38">
        <v>0</v>
      </c>
      <c r="I929" s="17" t="str">
        <v/>
      </c>
      <c r="J929" s="17">
        <v>0</v>
      </c>
      <c r="K929" s="38">
        <v>0</v>
      </c>
      <c r="L929" s="17" t="str">
        <v/>
      </c>
      <c r="M929" s="17">
        <v>0</v>
      </c>
      <c r="N929" s="17">
        <v>0</v>
      </c>
      <c r="O929" s="17" t="str">
        <v/>
      </c>
      <c r="P929" s="17" t="str">
        <v/>
      </c>
      <c r="Q929" s="17">
        <v>0</v>
      </c>
      <c r="R929" s="17">
        <v>0</v>
      </c>
      <c r="S929" s="17">
        <v>0</v>
      </c>
      <c r="T929" s="22">
        <v>0</v>
      </c>
    </row>
    <row r="930" spans="2:20" x14ac:dyDescent="0.25">
      <c r="B930" s="21">
        <v>0</v>
      </c>
      <c r="C930" s="17">
        <v>0</v>
      </c>
      <c r="D930" s="17">
        <v>0</v>
      </c>
      <c r="E930" s="17">
        <v>0</v>
      </c>
      <c r="F930" s="17">
        <v>0</v>
      </c>
      <c r="G930" s="17">
        <v>0</v>
      </c>
      <c r="H930" s="38">
        <v>0</v>
      </c>
      <c r="I930" s="17" t="str">
        <v/>
      </c>
      <c r="J930" s="17">
        <v>0</v>
      </c>
      <c r="K930" s="38">
        <v>0</v>
      </c>
      <c r="L930" s="17" t="str">
        <v/>
      </c>
      <c r="M930" s="17">
        <v>0</v>
      </c>
      <c r="N930" s="17">
        <v>0</v>
      </c>
      <c r="O930" s="17" t="str">
        <v/>
      </c>
      <c r="P930" s="17" t="str">
        <v/>
      </c>
      <c r="Q930" s="17">
        <v>0</v>
      </c>
      <c r="R930" s="17">
        <v>0</v>
      </c>
      <c r="S930" s="17">
        <v>0</v>
      </c>
      <c r="T930" s="22">
        <v>0</v>
      </c>
    </row>
    <row r="931" spans="2:20" x14ac:dyDescent="0.25">
      <c r="B931" s="21">
        <v>0</v>
      </c>
      <c r="C931" s="17">
        <v>0</v>
      </c>
      <c r="D931" s="17">
        <v>0</v>
      </c>
      <c r="E931" s="17">
        <v>0</v>
      </c>
      <c r="F931" s="17">
        <v>0</v>
      </c>
      <c r="G931" s="17">
        <v>0</v>
      </c>
      <c r="H931" s="38">
        <v>0</v>
      </c>
      <c r="I931" s="17" t="str">
        <v/>
      </c>
      <c r="J931" s="17">
        <v>0</v>
      </c>
      <c r="K931" s="38">
        <v>0</v>
      </c>
      <c r="L931" s="17" t="str">
        <v/>
      </c>
      <c r="M931" s="17">
        <v>0</v>
      </c>
      <c r="N931" s="17">
        <v>0</v>
      </c>
      <c r="O931" s="17" t="str">
        <v/>
      </c>
      <c r="P931" s="17" t="str">
        <v/>
      </c>
      <c r="Q931" s="17">
        <v>0</v>
      </c>
      <c r="R931" s="17">
        <v>0</v>
      </c>
      <c r="S931" s="17">
        <v>0</v>
      </c>
      <c r="T931" s="22">
        <v>0</v>
      </c>
    </row>
    <row r="932" spans="2:20" x14ac:dyDescent="0.25">
      <c r="B932" s="21">
        <v>0</v>
      </c>
      <c r="C932" s="17">
        <v>0</v>
      </c>
      <c r="D932" s="17">
        <v>0</v>
      </c>
      <c r="E932" s="17">
        <v>0</v>
      </c>
      <c r="F932" s="17">
        <v>0</v>
      </c>
      <c r="G932" s="17">
        <v>0</v>
      </c>
      <c r="H932" s="38">
        <v>0</v>
      </c>
      <c r="I932" s="17" t="str">
        <v/>
      </c>
      <c r="J932" s="17">
        <v>0</v>
      </c>
      <c r="K932" s="38">
        <v>0</v>
      </c>
      <c r="L932" s="17" t="str">
        <v/>
      </c>
      <c r="M932" s="17">
        <v>0</v>
      </c>
      <c r="N932" s="17">
        <v>0</v>
      </c>
      <c r="O932" s="17" t="str">
        <v/>
      </c>
      <c r="P932" s="17" t="str">
        <v/>
      </c>
      <c r="Q932" s="17">
        <v>0</v>
      </c>
      <c r="R932" s="17">
        <v>0</v>
      </c>
      <c r="S932" s="17">
        <v>0</v>
      </c>
      <c r="T932" s="22">
        <v>0</v>
      </c>
    </row>
    <row r="933" spans="2:20" x14ac:dyDescent="0.25">
      <c r="B933" s="21">
        <v>0</v>
      </c>
      <c r="C933" s="17">
        <v>0</v>
      </c>
      <c r="D933" s="17">
        <v>0</v>
      </c>
      <c r="E933" s="17">
        <v>0</v>
      </c>
      <c r="F933" s="17">
        <v>0</v>
      </c>
      <c r="G933" s="17">
        <v>0</v>
      </c>
      <c r="H933" s="38">
        <v>0</v>
      </c>
      <c r="I933" s="17" t="str">
        <v/>
      </c>
      <c r="J933" s="17">
        <v>0</v>
      </c>
      <c r="K933" s="38">
        <v>0</v>
      </c>
      <c r="L933" s="17" t="str">
        <v/>
      </c>
      <c r="M933" s="17">
        <v>0</v>
      </c>
      <c r="N933" s="17">
        <v>0</v>
      </c>
      <c r="O933" s="17" t="str">
        <v/>
      </c>
      <c r="P933" s="17" t="str">
        <v/>
      </c>
      <c r="Q933" s="17">
        <v>0</v>
      </c>
      <c r="R933" s="17">
        <v>0</v>
      </c>
      <c r="S933" s="17">
        <v>0</v>
      </c>
      <c r="T933" s="22">
        <v>0</v>
      </c>
    </row>
    <row r="934" spans="2:20" x14ac:dyDescent="0.25">
      <c r="B934" s="21">
        <v>0</v>
      </c>
      <c r="C934" s="17">
        <v>0</v>
      </c>
      <c r="D934" s="17">
        <v>0</v>
      </c>
      <c r="E934" s="17">
        <v>0</v>
      </c>
      <c r="F934" s="17">
        <v>0</v>
      </c>
      <c r="G934" s="17">
        <v>0</v>
      </c>
      <c r="H934" s="38">
        <v>0</v>
      </c>
      <c r="I934" s="17" t="str">
        <v/>
      </c>
      <c r="J934" s="17">
        <v>0</v>
      </c>
      <c r="K934" s="38">
        <v>0</v>
      </c>
      <c r="L934" s="17" t="str">
        <v/>
      </c>
      <c r="M934" s="17">
        <v>0</v>
      </c>
      <c r="N934" s="17">
        <v>0</v>
      </c>
      <c r="O934" s="17" t="str">
        <v/>
      </c>
      <c r="P934" s="17" t="str">
        <v/>
      </c>
      <c r="Q934" s="17">
        <v>0</v>
      </c>
      <c r="R934" s="17">
        <v>0</v>
      </c>
      <c r="S934" s="17">
        <v>0</v>
      </c>
      <c r="T934" s="22">
        <v>0</v>
      </c>
    </row>
    <row r="935" spans="2:20" x14ac:dyDescent="0.25">
      <c r="B935" s="21">
        <v>0</v>
      </c>
      <c r="C935" s="17">
        <v>0</v>
      </c>
      <c r="D935" s="17">
        <v>0</v>
      </c>
      <c r="E935" s="17">
        <v>0</v>
      </c>
      <c r="F935" s="17">
        <v>0</v>
      </c>
      <c r="G935" s="17">
        <v>0</v>
      </c>
      <c r="H935" s="38">
        <v>0</v>
      </c>
      <c r="I935" s="17" t="str">
        <v/>
      </c>
      <c r="J935" s="17">
        <v>0</v>
      </c>
      <c r="K935" s="38">
        <v>0</v>
      </c>
      <c r="L935" s="17" t="str">
        <v/>
      </c>
      <c r="M935" s="17">
        <v>0</v>
      </c>
      <c r="N935" s="17">
        <v>0</v>
      </c>
      <c r="O935" s="17" t="str">
        <v/>
      </c>
      <c r="P935" s="17" t="str">
        <v/>
      </c>
      <c r="Q935" s="17">
        <v>0</v>
      </c>
      <c r="R935" s="17">
        <v>0</v>
      </c>
      <c r="S935" s="17">
        <v>0</v>
      </c>
      <c r="T935" s="22">
        <v>0</v>
      </c>
    </row>
    <row r="936" spans="2:20" x14ac:dyDescent="0.25">
      <c r="B936" s="21">
        <v>0</v>
      </c>
      <c r="C936" s="17">
        <v>0</v>
      </c>
      <c r="D936" s="17">
        <v>0</v>
      </c>
      <c r="E936" s="17">
        <v>0</v>
      </c>
      <c r="F936" s="17">
        <v>0</v>
      </c>
      <c r="G936" s="17">
        <v>0</v>
      </c>
      <c r="H936" s="38">
        <v>0</v>
      </c>
      <c r="I936" s="17" t="str">
        <v/>
      </c>
      <c r="J936" s="17">
        <v>0</v>
      </c>
      <c r="K936" s="38">
        <v>0</v>
      </c>
      <c r="L936" s="17" t="str">
        <v/>
      </c>
      <c r="M936" s="17">
        <v>0</v>
      </c>
      <c r="N936" s="17">
        <v>0</v>
      </c>
      <c r="O936" s="17" t="str">
        <v/>
      </c>
      <c r="P936" s="17" t="str">
        <v/>
      </c>
      <c r="Q936" s="17">
        <v>0</v>
      </c>
      <c r="R936" s="17">
        <v>0</v>
      </c>
      <c r="S936" s="17">
        <v>0</v>
      </c>
      <c r="T936" s="22">
        <v>0</v>
      </c>
    </row>
    <row r="937" spans="2:20" x14ac:dyDescent="0.25">
      <c r="B937" s="21">
        <v>0</v>
      </c>
      <c r="C937" s="17">
        <v>0</v>
      </c>
      <c r="D937" s="17">
        <v>0</v>
      </c>
      <c r="E937" s="17">
        <v>0</v>
      </c>
      <c r="F937" s="17">
        <v>0</v>
      </c>
      <c r="G937" s="17">
        <v>0</v>
      </c>
      <c r="H937" s="38">
        <v>0</v>
      </c>
      <c r="I937" s="17" t="str">
        <v/>
      </c>
      <c r="J937" s="17">
        <v>0</v>
      </c>
      <c r="K937" s="38">
        <v>0</v>
      </c>
      <c r="L937" s="17" t="str">
        <v/>
      </c>
      <c r="M937" s="17">
        <v>0</v>
      </c>
      <c r="N937" s="17">
        <v>0</v>
      </c>
      <c r="O937" s="17" t="str">
        <v/>
      </c>
      <c r="P937" s="17" t="str">
        <v/>
      </c>
      <c r="Q937" s="17">
        <v>0</v>
      </c>
      <c r="R937" s="17">
        <v>0</v>
      </c>
      <c r="S937" s="17">
        <v>0</v>
      </c>
      <c r="T937" s="22">
        <v>0</v>
      </c>
    </row>
    <row r="938" spans="2:20" x14ac:dyDescent="0.25">
      <c r="B938" s="21">
        <v>0</v>
      </c>
      <c r="C938" s="17">
        <v>0</v>
      </c>
      <c r="D938" s="17">
        <v>0</v>
      </c>
      <c r="E938" s="17">
        <v>0</v>
      </c>
      <c r="F938" s="17">
        <v>0</v>
      </c>
      <c r="G938" s="17">
        <v>0</v>
      </c>
      <c r="H938" s="38">
        <v>0</v>
      </c>
      <c r="I938" s="17" t="str">
        <v/>
      </c>
      <c r="J938" s="17">
        <v>0</v>
      </c>
      <c r="K938" s="38">
        <v>0</v>
      </c>
      <c r="L938" s="17" t="str">
        <v/>
      </c>
      <c r="M938" s="17">
        <v>0</v>
      </c>
      <c r="N938" s="17">
        <v>0</v>
      </c>
      <c r="O938" s="17" t="str">
        <v/>
      </c>
      <c r="P938" s="17" t="str">
        <v/>
      </c>
      <c r="Q938" s="17">
        <v>0</v>
      </c>
      <c r="R938" s="17">
        <v>0</v>
      </c>
      <c r="S938" s="17">
        <v>0</v>
      </c>
      <c r="T938" s="22">
        <v>0</v>
      </c>
    </row>
    <row r="939" spans="2:20" x14ac:dyDescent="0.25">
      <c r="B939" s="21">
        <v>0</v>
      </c>
      <c r="C939" s="17">
        <v>0</v>
      </c>
      <c r="D939" s="17">
        <v>0</v>
      </c>
      <c r="E939" s="17">
        <v>0</v>
      </c>
      <c r="F939" s="17">
        <v>0</v>
      </c>
      <c r="G939" s="17">
        <v>0</v>
      </c>
      <c r="H939" s="38">
        <v>0</v>
      </c>
      <c r="I939" s="17" t="str">
        <v/>
      </c>
      <c r="J939" s="17">
        <v>0</v>
      </c>
      <c r="K939" s="38">
        <v>0</v>
      </c>
      <c r="L939" s="17" t="str">
        <v/>
      </c>
      <c r="M939" s="17">
        <v>0</v>
      </c>
      <c r="N939" s="17">
        <v>0</v>
      </c>
      <c r="O939" s="17" t="str">
        <v/>
      </c>
      <c r="P939" s="17" t="str">
        <v/>
      </c>
      <c r="Q939" s="17">
        <v>0</v>
      </c>
      <c r="R939" s="17">
        <v>0</v>
      </c>
      <c r="S939" s="17">
        <v>0</v>
      </c>
      <c r="T939" s="22">
        <v>0</v>
      </c>
    </row>
    <row r="940" spans="2:20" x14ac:dyDescent="0.25">
      <c r="B940" s="21">
        <v>0</v>
      </c>
      <c r="C940" s="17">
        <v>0</v>
      </c>
      <c r="D940" s="17">
        <v>0</v>
      </c>
      <c r="E940" s="17">
        <v>0</v>
      </c>
      <c r="F940" s="17">
        <v>0</v>
      </c>
      <c r="G940" s="17">
        <v>0</v>
      </c>
      <c r="H940" s="38">
        <v>0</v>
      </c>
      <c r="I940" s="17" t="str">
        <v/>
      </c>
      <c r="J940" s="17">
        <v>0</v>
      </c>
      <c r="K940" s="38">
        <v>0</v>
      </c>
      <c r="L940" s="17" t="str">
        <v/>
      </c>
      <c r="M940" s="17">
        <v>0</v>
      </c>
      <c r="N940" s="17">
        <v>0</v>
      </c>
      <c r="O940" s="17" t="str">
        <v/>
      </c>
      <c r="P940" s="17" t="str">
        <v/>
      </c>
      <c r="Q940" s="17">
        <v>0</v>
      </c>
      <c r="R940" s="17">
        <v>0</v>
      </c>
      <c r="S940" s="17">
        <v>0</v>
      </c>
      <c r="T940" s="22">
        <v>0</v>
      </c>
    </row>
    <row r="941" spans="2:20" x14ac:dyDescent="0.25">
      <c r="B941" s="21">
        <v>0</v>
      </c>
      <c r="C941" s="17">
        <v>0</v>
      </c>
      <c r="D941" s="17">
        <v>0</v>
      </c>
      <c r="E941" s="17">
        <v>0</v>
      </c>
      <c r="F941" s="17">
        <v>0</v>
      </c>
      <c r="G941" s="17">
        <v>0</v>
      </c>
      <c r="H941" s="38">
        <v>0</v>
      </c>
      <c r="I941" s="17" t="str">
        <v/>
      </c>
      <c r="J941" s="17">
        <v>0</v>
      </c>
      <c r="K941" s="38">
        <v>0</v>
      </c>
      <c r="L941" s="17" t="str">
        <v/>
      </c>
      <c r="M941" s="17">
        <v>0</v>
      </c>
      <c r="N941" s="17">
        <v>0</v>
      </c>
      <c r="O941" s="17" t="str">
        <v/>
      </c>
      <c r="P941" s="17" t="str">
        <v/>
      </c>
      <c r="Q941" s="17">
        <v>0</v>
      </c>
      <c r="R941" s="17">
        <v>0</v>
      </c>
      <c r="S941" s="17">
        <v>0</v>
      </c>
      <c r="T941" s="22">
        <v>0</v>
      </c>
    </row>
    <row r="942" spans="2:20" x14ac:dyDescent="0.25">
      <c r="B942" s="21">
        <v>0</v>
      </c>
      <c r="C942" s="17">
        <v>0</v>
      </c>
      <c r="D942" s="17">
        <v>0</v>
      </c>
      <c r="E942" s="17">
        <v>0</v>
      </c>
      <c r="F942" s="17">
        <v>0</v>
      </c>
      <c r="G942" s="17">
        <v>0</v>
      </c>
      <c r="H942" s="38">
        <v>0</v>
      </c>
      <c r="I942" s="17" t="str">
        <v/>
      </c>
      <c r="J942" s="17">
        <v>0</v>
      </c>
      <c r="K942" s="38">
        <v>0</v>
      </c>
      <c r="L942" s="17" t="str">
        <v/>
      </c>
      <c r="M942" s="17">
        <v>0</v>
      </c>
      <c r="N942" s="17">
        <v>0</v>
      </c>
      <c r="O942" s="17" t="str">
        <v/>
      </c>
      <c r="P942" s="17" t="str">
        <v/>
      </c>
      <c r="Q942" s="17">
        <v>0</v>
      </c>
      <c r="R942" s="17">
        <v>0</v>
      </c>
      <c r="S942" s="17">
        <v>0</v>
      </c>
      <c r="T942" s="22">
        <v>0</v>
      </c>
    </row>
    <row r="943" spans="2:20" x14ac:dyDescent="0.25">
      <c r="B943" s="21">
        <v>0</v>
      </c>
      <c r="C943" s="17">
        <v>0</v>
      </c>
      <c r="D943" s="17">
        <v>0</v>
      </c>
      <c r="E943" s="17">
        <v>0</v>
      </c>
      <c r="F943" s="17">
        <v>0</v>
      </c>
      <c r="G943" s="17">
        <v>0</v>
      </c>
      <c r="H943" s="38">
        <v>0</v>
      </c>
      <c r="I943" s="17" t="str">
        <v/>
      </c>
      <c r="J943" s="17">
        <v>0</v>
      </c>
      <c r="K943" s="38">
        <v>0</v>
      </c>
      <c r="L943" s="17" t="str">
        <v/>
      </c>
      <c r="M943" s="17">
        <v>0</v>
      </c>
      <c r="N943" s="17">
        <v>0</v>
      </c>
      <c r="O943" s="17" t="str">
        <v/>
      </c>
      <c r="P943" s="17" t="str">
        <v/>
      </c>
      <c r="Q943" s="17">
        <v>0</v>
      </c>
      <c r="R943" s="17">
        <v>0</v>
      </c>
      <c r="S943" s="17">
        <v>0</v>
      </c>
      <c r="T943" s="22">
        <v>0</v>
      </c>
    </row>
    <row r="944" spans="2:20" x14ac:dyDescent="0.25">
      <c r="B944" s="21">
        <v>0</v>
      </c>
      <c r="C944" s="17">
        <v>0</v>
      </c>
      <c r="D944" s="17">
        <v>0</v>
      </c>
      <c r="E944" s="17">
        <v>0</v>
      </c>
      <c r="F944" s="17">
        <v>0</v>
      </c>
      <c r="G944" s="17">
        <v>0</v>
      </c>
      <c r="H944" s="38">
        <v>0</v>
      </c>
      <c r="I944" s="17" t="str">
        <v/>
      </c>
      <c r="J944" s="17">
        <v>0</v>
      </c>
      <c r="K944" s="38">
        <v>0</v>
      </c>
      <c r="L944" s="17" t="str">
        <v/>
      </c>
      <c r="M944" s="17">
        <v>0</v>
      </c>
      <c r="N944" s="17">
        <v>0</v>
      </c>
      <c r="O944" s="17" t="str">
        <v/>
      </c>
      <c r="P944" s="17" t="str">
        <v/>
      </c>
      <c r="Q944" s="17">
        <v>0</v>
      </c>
      <c r="R944" s="17">
        <v>0</v>
      </c>
      <c r="S944" s="17">
        <v>0</v>
      </c>
      <c r="T944" s="22">
        <v>0</v>
      </c>
    </row>
    <row r="945" spans="2:20" x14ac:dyDescent="0.25">
      <c r="B945" s="21">
        <v>0</v>
      </c>
      <c r="C945" s="17">
        <v>0</v>
      </c>
      <c r="D945" s="17">
        <v>0</v>
      </c>
      <c r="E945" s="17">
        <v>0</v>
      </c>
      <c r="F945" s="17">
        <v>0</v>
      </c>
      <c r="G945" s="17">
        <v>0</v>
      </c>
      <c r="H945" s="38">
        <v>0</v>
      </c>
      <c r="I945" s="17" t="str">
        <v/>
      </c>
      <c r="J945" s="17">
        <v>0</v>
      </c>
      <c r="K945" s="38">
        <v>0</v>
      </c>
      <c r="L945" s="17" t="str">
        <v/>
      </c>
      <c r="M945" s="17">
        <v>0</v>
      </c>
      <c r="N945" s="17">
        <v>0</v>
      </c>
      <c r="O945" s="17" t="str">
        <v/>
      </c>
      <c r="P945" s="17" t="str">
        <v/>
      </c>
      <c r="Q945" s="17">
        <v>0</v>
      </c>
      <c r="R945" s="17">
        <v>0</v>
      </c>
      <c r="S945" s="17">
        <v>0</v>
      </c>
      <c r="T945" s="22">
        <v>0</v>
      </c>
    </row>
    <row r="946" spans="2:20" x14ac:dyDescent="0.25">
      <c r="B946" s="21">
        <v>0</v>
      </c>
      <c r="C946" s="17">
        <v>0</v>
      </c>
      <c r="D946" s="17">
        <v>0</v>
      </c>
      <c r="E946" s="17">
        <v>0</v>
      </c>
      <c r="F946" s="17">
        <v>0</v>
      </c>
      <c r="G946" s="17">
        <v>0</v>
      </c>
      <c r="H946" s="38">
        <v>0</v>
      </c>
      <c r="I946" s="17" t="str">
        <v/>
      </c>
      <c r="J946" s="17">
        <v>0</v>
      </c>
      <c r="K946" s="38">
        <v>0</v>
      </c>
      <c r="L946" s="17" t="str">
        <v/>
      </c>
      <c r="M946" s="17">
        <v>0</v>
      </c>
      <c r="N946" s="17">
        <v>0</v>
      </c>
      <c r="O946" s="17" t="str">
        <v/>
      </c>
      <c r="P946" s="17" t="str">
        <v/>
      </c>
      <c r="Q946" s="17">
        <v>0</v>
      </c>
      <c r="R946" s="17">
        <v>0</v>
      </c>
      <c r="S946" s="17">
        <v>0</v>
      </c>
      <c r="T946" s="22">
        <v>0</v>
      </c>
    </row>
    <row r="947" spans="2:20" x14ac:dyDescent="0.25">
      <c r="B947" s="21">
        <v>0</v>
      </c>
      <c r="C947" s="17">
        <v>0</v>
      </c>
      <c r="D947" s="17">
        <v>0</v>
      </c>
      <c r="E947" s="17">
        <v>0</v>
      </c>
      <c r="F947" s="17">
        <v>0</v>
      </c>
      <c r="G947" s="17">
        <v>0</v>
      </c>
      <c r="H947" s="38">
        <v>0</v>
      </c>
      <c r="I947" s="17" t="str">
        <v/>
      </c>
      <c r="J947" s="17">
        <v>0</v>
      </c>
      <c r="K947" s="38">
        <v>0</v>
      </c>
      <c r="L947" s="17" t="str">
        <v/>
      </c>
      <c r="M947" s="17">
        <v>0</v>
      </c>
      <c r="N947" s="17">
        <v>0</v>
      </c>
      <c r="O947" s="17" t="str">
        <v/>
      </c>
      <c r="P947" s="17" t="str">
        <v/>
      </c>
      <c r="Q947" s="17">
        <v>0</v>
      </c>
      <c r="R947" s="17">
        <v>0</v>
      </c>
      <c r="S947" s="17">
        <v>0</v>
      </c>
      <c r="T947" s="22">
        <v>0</v>
      </c>
    </row>
    <row r="948" spans="2:20" x14ac:dyDescent="0.25">
      <c r="B948" s="21">
        <v>0</v>
      </c>
      <c r="C948" s="17">
        <v>0</v>
      </c>
      <c r="D948" s="17">
        <v>0</v>
      </c>
      <c r="E948" s="17">
        <v>0</v>
      </c>
      <c r="F948" s="17">
        <v>0</v>
      </c>
      <c r="G948" s="17">
        <v>0</v>
      </c>
      <c r="H948" s="38">
        <v>0</v>
      </c>
      <c r="I948" s="17" t="str">
        <v/>
      </c>
      <c r="J948" s="17">
        <v>0</v>
      </c>
      <c r="K948" s="38">
        <v>0</v>
      </c>
      <c r="L948" s="17" t="str">
        <v/>
      </c>
      <c r="M948" s="17">
        <v>0</v>
      </c>
      <c r="N948" s="17">
        <v>0</v>
      </c>
      <c r="O948" s="17" t="str">
        <v/>
      </c>
      <c r="P948" s="17" t="str">
        <v/>
      </c>
      <c r="Q948" s="17">
        <v>0</v>
      </c>
      <c r="R948" s="17">
        <v>0</v>
      </c>
      <c r="S948" s="17">
        <v>0</v>
      </c>
      <c r="T948" s="22">
        <v>0</v>
      </c>
    </row>
    <row r="949" spans="2:20" x14ac:dyDescent="0.25">
      <c r="B949" s="21">
        <v>0</v>
      </c>
      <c r="C949" s="17">
        <v>0</v>
      </c>
      <c r="D949" s="17">
        <v>0</v>
      </c>
      <c r="E949" s="17">
        <v>0</v>
      </c>
      <c r="F949" s="17">
        <v>0</v>
      </c>
      <c r="G949" s="17">
        <v>0</v>
      </c>
      <c r="H949" s="38">
        <v>0</v>
      </c>
      <c r="I949" s="17" t="str">
        <v/>
      </c>
      <c r="J949" s="17">
        <v>0</v>
      </c>
      <c r="K949" s="38">
        <v>0</v>
      </c>
      <c r="L949" s="17" t="str">
        <v/>
      </c>
      <c r="M949" s="17">
        <v>0</v>
      </c>
      <c r="N949" s="17">
        <v>0</v>
      </c>
      <c r="O949" s="17" t="str">
        <v/>
      </c>
      <c r="P949" s="17" t="str">
        <v/>
      </c>
      <c r="Q949" s="17">
        <v>0</v>
      </c>
      <c r="R949" s="17">
        <v>0</v>
      </c>
      <c r="S949" s="17">
        <v>0</v>
      </c>
      <c r="T949" s="22">
        <v>0</v>
      </c>
    </row>
    <row r="950" spans="2:20" x14ac:dyDescent="0.25">
      <c r="B950" s="21">
        <v>0</v>
      </c>
      <c r="C950" s="17">
        <v>0</v>
      </c>
      <c r="D950" s="17">
        <v>0</v>
      </c>
      <c r="E950" s="17">
        <v>0</v>
      </c>
      <c r="F950" s="17">
        <v>0</v>
      </c>
      <c r="G950" s="17">
        <v>0</v>
      </c>
      <c r="H950" s="38">
        <v>0</v>
      </c>
      <c r="I950" s="17" t="str">
        <v/>
      </c>
      <c r="J950" s="17">
        <v>0</v>
      </c>
      <c r="K950" s="38">
        <v>0</v>
      </c>
      <c r="L950" s="17" t="str">
        <v/>
      </c>
      <c r="M950" s="17">
        <v>0</v>
      </c>
      <c r="N950" s="17">
        <v>0</v>
      </c>
      <c r="O950" s="17" t="str">
        <v/>
      </c>
      <c r="P950" s="17" t="str">
        <v/>
      </c>
      <c r="Q950" s="17">
        <v>0</v>
      </c>
      <c r="R950" s="17">
        <v>0</v>
      </c>
      <c r="S950" s="17">
        <v>0</v>
      </c>
      <c r="T950" s="22">
        <v>0</v>
      </c>
    </row>
    <row r="951" spans="2:20" x14ac:dyDescent="0.25">
      <c r="B951" s="21">
        <v>0</v>
      </c>
      <c r="C951" s="17">
        <v>0</v>
      </c>
      <c r="D951" s="17">
        <v>0</v>
      </c>
      <c r="E951" s="17">
        <v>0</v>
      </c>
      <c r="F951" s="17">
        <v>0</v>
      </c>
      <c r="G951" s="17">
        <v>0</v>
      </c>
      <c r="H951" s="38">
        <v>0</v>
      </c>
      <c r="I951" s="17" t="str">
        <v/>
      </c>
      <c r="J951" s="17">
        <v>0</v>
      </c>
      <c r="K951" s="38">
        <v>0</v>
      </c>
      <c r="L951" s="17" t="str">
        <v/>
      </c>
      <c r="M951" s="17">
        <v>0</v>
      </c>
      <c r="N951" s="17">
        <v>0</v>
      </c>
      <c r="O951" s="17" t="str">
        <v/>
      </c>
      <c r="P951" s="17" t="str">
        <v/>
      </c>
      <c r="Q951" s="17">
        <v>0</v>
      </c>
      <c r="R951" s="17">
        <v>0</v>
      </c>
      <c r="S951" s="17">
        <v>0</v>
      </c>
      <c r="T951" s="22">
        <v>0</v>
      </c>
    </row>
    <row r="952" spans="2:20" x14ac:dyDescent="0.25">
      <c r="B952" s="21">
        <v>0</v>
      </c>
      <c r="C952" s="17">
        <v>0</v>
      </c>
      <c r="D952" s="17">
        <v>0</v>
      </c>
      <c r="E952" s="17">
        <v>0</v>
      </c>
      <c r="F952" s="17">
        <v>0</v>
      </c>
      <c r="G952" s="17">
        <v>0</v>
      </c>
      <c r="H952" s="38">
        <v>0</v>
      </c>
      <c r="I952" s="17" t="str">
        <v/>
      </c>
      <c r="J952" s="17">
        <v>0</v>
      </c>
      <c r="K952" s="38">
        <v>0</v>
      </c>
      <c r="L952" s="17" t="str">
        <v/>
      </c>
      <c r="M952" s="17">
        <v>0</v>
      </c>
      <c r="N952" s="17">
        <v>0</v>
      </c>
      <c r="O952" s="17" t="str">
        <v/>
      </c>
      <c r="P952" s="17" t="str">
        <v/>
      </c>
      <c r="Q952" s="17">
        <v>0</v>
      </c>
      <c r="R952" s="17">
        <v>0</v>
      </c>
      <c r="S952" s="17">
        <v>0</v>
      </c>
      <c r="T952" s="22">
        <v>0</v>
      </c>
    </row>
    <row r="953" spans="2:20" x14ac:dyDescent="0.25">
      <c r="B953" s="21">
        <v>0</v>
      </c>
      <c r="C953" s="17">
        <v>0</v>
      </c>
      <c r="D953" s="17">
        <v>0</v>
      </c>
      <c r="E953" s="17">
        <v>0</v>
      </c>
      <c r="F953" s="17">
        <v>0</v>
      </c>
      <c r="G953" s="17">
        <v>0</v>
      </c>
      <c r="H953" s="38">
        <v>0</v>
      </c>
      <c r="I953" s="17" t="str">
        <v/>
      </c>
      <c r="J953" s="17">
        <v>0</v>
      </c>
      <c r="K953" s="38">
        <v>0</v>
      </c>
      <c r="L953" s="17" t="str">
        <v/>
      </c>
      <c r="M953" s="17">
        <v>0</v>
      </c>
      <c r="N953" s="17">
        <v>0</v>
      </c>
      <c r="O953" s="17" t="str">
        <v/>
      </c>
      <c r="P953" s="17" t="str">
        <v/>
      </c>
      <c r="Q953" s="17">
        <v>0</v>
      </c>
      <c r="R953" s="17">
        <v>0</v>
      </c>
      <c r="S953" s="17">
        <v>0</v>
      </c>
      <c r="T953" s="22">
        <v>0</v>
      </c>
    </row>
    <row r="954" spans="2:20" x14ac:dyDescent="0.25">
      <c r="B954" s="21">
        <v>0</v>
      </c>
      <c r="C954" s="17">
        <v>0</v>
      </c>
      <c r="D954" s="17">
        <v>0</v>
      </c>
      <c r="E954" s="17">
        <v>0</v>
      </c>
      <c r="F954" s="17">
        <v>0</v>
      </c>
      <c r="G954" s="17">
        <v>0</v>
      </c>
      <c r="H954" s="38">
        <v>0</v>
      </c>
      <c r="I954" s="17" t="str">
        <v/>
      </c>
      <c r="J954" s="17">
        <v>0</v>
      </c>
      <c r="K954" s="38">
        <v>0</v>
      </c>
      <c r="L954" s="17" t="str">
        <v/>
      </c>
      <c r="M954" s="17">
        <v>0</v>
      </c>
      <c r="N954" s="17">
        <v>0</v>
      </c>
      <c r="O954" s="17" t="str">
        <v/>
      </c>
      <c r="P954" s="17" t="str">
        <v/>
      </c>
      <c r="Q954" s="17">
        <v>0</v>
      </c>
      <c r="R954" s="17">
        <v>0</v>
      </c>
      <c r="S954" s="17">
        <v>0</v>
      </c>
      <c r="T954" s="22">
        <v>0</v>
      </c>
    </row>
    <row r="955" spans="2:20" x14ac:dyDescent="0.25">
      <c r="B955" s="21">
        <v>0</v>
      </c>
      <c r="C955" s="17">
        <v>0</v>
      </c>
      <c r="D955" s="17">
        <v>0</v>
      </c>
      <c r="E955" s="17">
        <v>0</v>
      </c>
      <c r="F955" s="17">
        <v>0</v>
      </c>
      <c r="G955" s="17">
        <v>0</v>
      </c>
      <c r="H955" s="38">
        <v>0</v>
      </c>
      <c r="I955" s="17" t="str">
        <v/>
      </c>
      <c r="J955" s="17">
        <v>0</v>
      </c>
      <c r="K955" s="38">
        <v>0</v>
      </c>
      <c r="L955" s="17" t="str">
        <v/>
      </c>
      <c r="M955" s="17">
        <v>0</v>
      </c>
      <c r="N955" s="17">
        <v>0</v>
      </c>
      <c r="O955" s="17" t="str">
        <v/>
      </c>
      <c r="P955" s="17" t="str">
        <v/>
      </c>
      <c r="Q955" s="17">
        <v>0</v>
      </c>
      <c r="R955" s="17">
        <v>0</v>
      </c>
      <c r="S955" s="17">
        <v>0</v>
      </c>
      <c r="T955" s="22">
        <v>0</v>
      </c>
    </row>
    <row r="956" spans="2:20" x14ac:dyDescent="0.25">
      <c r="B956" s="21">
        <v>0</v>
      </c>
      <c r="C956" s="17">
        <v>0</v>
      </c>
      <c r="D956" s="17">
        <v>0</v>
      </c>
      <c r="E956" s="17">
        <v>0</v>
      </c>
      <c r="F956" s="17">
        <v>0</v>
      </c>
      <c r="G956" s="17">
        <v>0</v>
      </c>
      <c r="H956" s="38">
        <v>0</v>
      </c>
      <c r="I956" s="17" t="str">
        <v/>
      </c>
      <c r="J956" s="17">
        <v>0</v>
      </c>
      <c r="K956" s="38">
        <v>0</v>
      </c>
      <c r="L956" s="17" t="str">
        <v/>
      </c>
      <c r="M956" s="17">
        <v>0</v>
      </c>
      <c r="N956" s="17">
        <v>0</v>
      </c>
      <c r="O956" s="17" t="str">
        <v/>
      </c>
      <c r="P956" s="17" t="str">
        <v/>
      </c>
      <c r="Q956" s="17">
        <v>0</v>
      </c>
      <c r="R956" s="17">
        <v>0</v>
      </c>
      <c r="S956" s="17">
        <v>0</v>
      </c>
      <c r="T956" s="22">
        <v>0</v>
      </c>
    </row>
    <row r="957" spans="2:20" x14ac:dyDescent="0.25">
      <c r="B957" s="21">
        <v>0</v>
      </c>
      <c r="C957" s="17">
        <v>0</v>
      </c>
      <c r="D957" s="17">
        <v>0</v>
      </c>
      <c r="E957" s="17">
        <v>0</v>
      </c>
      <c r="F957" s="17">
        <v>0</v>
      </c>
      <c r="G957" s="17">
        <v>0</v>
      </c>
      <c r="H957" s="38">
        <v>0</v>
      </c>
      <c r="I957" s="17" t="str">
        <v/>
      </c>
      <c r="J957" s="17">
        <v>0</v>
      </c>
      <c r="K957" s="38">
        <v>0</v>
      </c>
      <c r="L957" s="17" t="str">
        <v/>
      </c>
      <c r="M957" s="17">
        <v>0</v>
      </c>
      <c r="N957" s="17">
        <v>0</v>
      </c>
      <c r="O957" s="17" t="str">
        <v/>
      </c>
      <c r="P957" s="17" t="str">
        <v/>
      </c>
      <c r="Q957" s="17">
        <v>0</v>
      </c>
      <c r="R957" s="17">
        <v>0</v>
      </c>
      <c r="S957" s="17">
        <v>0</v>
      </c>
      <c r="T957" s="22">
        <v>0</v>
      </c>
    </row>
    <row r="958" spans="2:20" x14ac:dyDescent="0.25">
      <c r="B958" s="21">
        <v>0</v>
      </c>
      <c r="C958" s="17">
        <v>0</v>
      </c>
      <c r="D958" s="17">
        <v>0</v>
      </c>
      <c r="E958" s="17">
        <v>0</v>
      </c>
      <c r="F958" s="17">
        <v>0</v>
      </c>
      <c r="G958" s="17">
        <v>0</v>
      </c>
      <c r="H958" s="38">
        <v>0</v>
      </c>
      <c r="I958" s="17" t="str">
        <v/>
      </c>
      <c r="J958" s="17">
        <v>0</v>
      </c>
      <c r="K958" s="38">
        <v>0</v>
      </c>
      <c r="L958" s="17" t="str">
        <v/>
      </c>
      <c r="M958" s="17">
        <v>0</v>
      </c>
      <c r="N958" s="17">
        <v>0</v>
      </c>
      <c r="O958" s="17" t="str">
        <v/>
      </c>
      <c r="P958" s="17" t="str">
        <v/>
      </c>
      <c r="Q958" s="17">
        <v>0</v>
      </c>
      <c r="R958" s="17">
        <v>0</v>
      </c>
      <c r="S958" s="17">
        <v>0</v>
      </c>
      <c r="T958" s="22">
        <v>0</v>
      </c>
    </row>
    <row r="959" spans="2:20" x14ac:dyDescent="0.25">
      <c r="B959" s="21">
        <v>0</v>
      </c>
      <c r="C959" s="17">
        <v>0</v>
      </c>
      <c r="D959" s="17">
        <v>0</v>
      </c>
      <c r="E959" s="17">
        <v>0</v>
      </c>
      <c r="F959" s="17">
        <v>0</v>
      </c>
      <c r="G959" s="17">
        <v>0</v>
      </c>
      <c r="H959" s="38">
        <v>0</v>
      </c>
      <c r="I959" s="17" t="str">
        <v/>
      </c>
      <c r="J959" s="17">
        <v>0</v>
      </c>
      <c r="K959" s="38">
        <v>0</v>
      </c>
      <c r="L959" s="17" t="str">
        <v/>
      </c>
      <c r="M959" s="17">
        <v>0</v>
      </c>
      <c r="N959" s="17">
        <v>0</v>
      </c>
      <c r="O959" s="17" t="str">
        <v/>
      </c>
      <c r="P959" s="17" t="str">
        <v/>
      </c>
      <c r="Q959" s="17">
        <v>0</v>
      </c>
      <c r="R959" s="17">
        <v>0</v>
      </c>
      <c r="S959" s="17">
        <v>0</v>
      </c>
      <c r="T959" s="22">
        <v>0</v>
      </c>
    </row>
    <row r="960" spans="2:20" x14ac:dyDescent="0.25">
      <c r="B960" s="21">
        <v>0</v>
      </c>
      <c r="C960" s="17">
        <v>0</v>
      </c>
      <c r="D960" s="17">
        <v>0</v>
      </c>
      <c r="E960" s="17">
        <v>0</v>
      </c>
      <c r="F960" s="17">
        <v>0</v>
      </c>
      <c r="G960" s="17">
        <v>0</v>
      </c>
      <c r="H960" s="38">
        <v>0</v>
      </c>
      <c r="I960" s="17" t="str">
        <v/>
      </c>
      <c r="J960" s="17">
        <v>0</v>
      </c>
      <c r="K960" s="38">
        <v>0</v>
      </c>
      <c r="L960" s="17" t="str">
        <v/>
      </c>
      <c r="M960" s="17">
        <v>0</v>
      </c>
      <c r="N960" s="17">
        <v>0</v>
      </c>
      <c r="O960" s="17" t="str">
        <v/>
      </c>
      <c r="P960" s="17" t="str">
        <v/>
      </c>
      <c r="Q960" s="17">
        <v>0</v>
      </c>
      <c r="R960" s="17">
        <v>0</v>
      </c>
      <c r="S960" s="17">
        <v>0</v>
      </c>
      <c r="T960" s="22">
        <v>0</v>
      </c>
    </row>
    <row r="961" spans="2:20" x14ac:dyDescent="0.25">
      <c r="B961" s="21">
        <v>0</v>
      </c>
      <c r="C961" s="17">
        <v>0</v>
      </c>
      <c r="D961" s="17">
        <v>0</v>
      </c>
      <c r="E961" s="17">
        <v>0</v>
      </c>
      <c r="F961" s="17">
        <v>0</v>
      </c>
      <c r="G961" s="17">
        <v>0</v>
      </c>
      <c r="H961" s="38">
        <v>0</v>
      </c>
      <c r="I961" s="17" t="str">
        <v/>
      </c>
      <c r="J961" s="17">
        <v>0</v>
      </c>
      <c r="K961" s="38">
        <v>0</v>
      </c>
      <c r="L961" s="17" t="str">
        <v/>
      </c>
      <c r="M961" s="17">
        <v>0</v>
      </c>
      <c r="N961" s="17">
        <v>0</v>
      </c>
      <c r="O961" s="17" t="str">
        <v/>
      </c>
      <c r="P961" s="17" t="str">
        <v/>
      </c>
      <c r="Q961" s="17">
        <v>0</v>
      </c>
      <c r="R961" s="17">
        <v>0</v>
      </c>
      <c r="S961" s="17">
        <v>0</v>
      </c>
      <c r="T961" s="22">
        <v>0</v>
      </c>
    </row>
    <row r="962" spans="2:20" x14ac:dyDescent="0.25">
      <c r="B962" s="21">
        <v>0</v>
      </c>
      <c r="C962" s="17">
        <v>0</v>
      </c>
      <c r="D962" s="17">
        <v>0</v>
      </c>
      <c r="E962" s="17">
        <v>0</v>
      </c>
      <c r="F962" s="17">
        <v>0</v>
      </c>
      <c r="G962" s="17">
        <v>0</v>
      </c>
      <c r="H962" s="38">
        <v>0</v>
      </c>
      <c r="I962" s="17" t="str">
        <v/>
      </c>
      <c r="J962" s="17">
        <v>0</v>
      </c>
      <c r="K962" s="38">
        <v>0</v>
      </c>
      <c r="L962" s="17" t="str">
        <v/>
      </c>
      <c r="M962" s="17">
        <v>0</v>
      </c>
      <c r="N962" s="17">
        <v>0</v>
      </c>
      <c r="O962" s="17" t="str">
        <v/>
      </c>
      <c r="P962" s="17" t="str">
        <v/>
      </c>
      <c r="Q962" s="17">
        <v>0</v>
      </c>
      <c r="R962" s="17">
        <v>0</v>
      </c>
      <c r="S962" s="17">
        <v>0</v>
      </c>
      <c r="T962" s="22">
        <v>0</v>
      </c>
    </row>
    <row r="963" spans="2:20" x14ac:dyDescent="0.25">
      <c r="B963" s="21">
        <v>0</v>
      </c>
      <c r="C963" s="17">
        <v>0</v>
      </c>
      <c r="D963" s="17">
        <v>0</v>
      </c>
      <c r="E963" s="17">
        <v>0</v>
      </c>
      <c r="F963" s="17">
        <v>0</v>
      </c>
      <c r="G963" s="17">
        <v>0</v>
      </c>
      <c r="H963" s="38">
        <v>0</v>
      </c>
      <c r="I963" s="17" t="str">
        <v/>
      </c>
      <c r="J963" s="17">
        <v>0</v>
      </c>
      <c r="K963" s="38">
        <v>0</v>
      </c>
      <c r="L963" s="17" t="str">
        <v/>
      </c>
      <c r="M963" s="17">
        <v>0</v>
      </c>
      <c r="N963" s="17">
        <v>0</v>
      </c>
      <c r="O963" s="17" t="str">
        <v/>
      </c>
      <c r="P963" s="17" t="str">
        <v/>
      </c>
      <c r="Q963" s="17">
        <v>0</v>
      </c>
      <c r="R963" s="17">
        <v>0</v>
      </c>
      <c r="S963" s="17">
        <v>0</v>
      </c>
      <c r="T963" s="22">
        <v>0</v>
      </c>
    </row>
    <row r="964" spans="2:20" x14ac:dyDescent="0.25">
      <c r="B964" s="21">
        <v>0</v>
      </c>
      <c r="C964" s="17">
        <v>0</v>
      </c>
      <c r="D964" s="17">
        <v>0</v>
      </c>
      <c r="E964" s="17">
        <v>0</v>
      </c>
      <c r="F964" s="17">
        <v>0</v>
      </c>
      <c r="G964" s="17">
        <v>0</v>
      </c>
      <c r="H964" s="38">
        <v>0</v>
      </c>
      <c r="I964" s="17" t="str">
        <v/>
      </c>
      <c r="J964" s="17">
        <v>0</v>
      </c>
      <c r="K964" s="38">
        <v>0</v>
      </c>
      <c r="L964" s="17" t="str">
        <v/>
      </c>
      <c r="M964" s="17">
        <v>0</v>
      </c>
      <c r="N964" s="17">
        <v>0</v>
      </c>
      <c r="O964" s="17" t="str">
        <v/>
      </c>
      <c r="P964" s="17" t="str">
        <v/>
      </c>
      <c r="Q964" s="17">
        <v>0</v>
      </c>
      <c r="R964" s="17">
        <v>0</v>
      </c>
      <c r="S964" s="17">
        <v>0</v>
      </c>
      <c r="T964" s="22">
        <v>0</v>
      </c>
    </row>
    <row r="965" spans="2:20" x14ac:dyDescent="0.25">
      <c r="B965" s="21">
        <v>0</v>
      </c>
      <c r="C965" s="17">
        <v>0</v>
      </c>
      <c r="D965" s="17">
        <v>0</v>
      </c>
      <c r="E965" s="17">
        <v>0</v>
      </c>
      <c r="F965" s="17">
        <v>0</v>
      </c>
      <c r="G965" s="17">
        <v>0</v>
      </c>
      <c r="H965" s="38">
        <v>0</v>
      </c>
      <c r="I965" s="17" t="str">
        <v/>
      </c>
      <c r="J965" s="17">
        <v>0</v>
      </c>
      <c r="K965" s="38">
        <v>0</v>
      </c>
      <c r="L965" s="17" t="str">
        <v/>
      </c>
      <c r="M965" s="17">
        <v>0</v>
      </c>
      <c r="N965" s="17">
        <v>0</v>
      </c>
      <c r="O965" s="17" t="str">
        <v/>
      </c>
      <c r="P965" s="17" t="str">
        <v/>
      </c>
      <c r="Q965" s="17">
        <v>0</v>
      </c>
      <c r="R965" s="17">
        <v>0</v>
      </c>
      <c r="S965" s="17">
        <v>0</v>
      </c>
      <c r="T965" s="22">
        <v>0</v>
      </c>
    </row>
    <row r="966" spans="2:20" x14ac:dyDescent="0.25">
      <c r="B966" s="21">
        <v>0</v>
      </c>
      <c r="C966" s="17">
        <v>0</v>
      </c>
      <c r="D966" s="17">
        <v>0</v>
      </c>
      <c r="E966" s="17">
        <v>0</v>
      </c>
      <c r="F966" s="17">
        <v>0</v>
      </c>
      <c r="G966" s="17">
        <v>0</v>
      </c>
      <c r="H966" s="38">
        <v>0</v>
      </c>
      <c r="I966" s="17" t="str">
        <v/>
      </c>
      <c r="J966" s="17">
        <v>0</v>
      </c>
      <c r="K966" s="38">
        <v>0</v>
      </c>
      <c r="L966" s="17" t="str">
        <v/>
      </c>
      <c r="M966" s="17">
        <v>0</v>
      </c>
      <c r="N966" s="17">
        <v>0</v>
      </c>
      <c r="O966" s="17" t="str">
        <v/>
      </c>
      <c r="P966" s="17" t="str">
        <v/>
      </c>
      <c r="Q966" s="17">
        <v>0</v>
      </c>
      <c r="R966" s="17">
        <v>0</v>
      </c>
      <c r="S966" s="17">
        <v>0</v>
      </c>
      <c r="T966" s="22">
        <v>0</v>
      </c>
    </row>
    <row r="967" spans="2:20" x14ac:dyDescent="0.25">
      <c r="B967" s="21">
        <v>0</v>
      </c>
      <c r="C967" s="17">
        <v>0</v>
      </c>
      <c r="D967" s="17">
        <v>0</v>
      </c>
      <c r="E967" s="17">
        <v>0</v>
      </c>
      <c r="F967" s="17">
        <v>0</v>
      </c>
      <c r="G967" s="17">
        <v>0</v>
      </c>
      <c r="H967" s="38">
        <v>0</v>
      </c>
      <c r="I967" s="17" t="str">
        <v/>
      </c>
      <c r="J967" s="17">
        <v>0</v>
      </c>
      <c r="K967" s="38">
        <v>0</v>
      </c>
      <c r="L967" s="17" t="str">
        <v/>
      </c>
      <c r="M967" s="17">
        <v>0</v>
      </c>
      <c r="N967" s="17">
        <v>0</v>
      </c>
      <c r="O967" s="17" t="str">
        <v/>
      </c>
      <c r="P967" s="17" t="str">
        <v/>
      </c>
      <c r="Q967" s="17">
        <v>0</v>
      </c>
      <c r="R967" s="17">
        <v>0</v>
      </c>
      <c r="S967" s="17">
        <v>0</v>
      </c>
      <c r="T967" s="22">
        <v>0</v>
      </c>
    </row>
    <row r="968" spans="2:20" x14ac:dyDescent="0.25">
      <c r="B968" s="21">
        <v>0</v>
      </c>
      <c r="C968" s="17">
        <v>0</v>
      </c>
      <c r="D968" s="17">
        <v>0</v>
      </c>
      <c r="E968" s="17">
        <v>0</v>
      </c>
      <c r="F968" s="17">
        <v>0</v>
      </c>
      <c r="G968" s="17">
        <v>0</v>
      </c>
      <c r="H968" s="38">
        <v>0</v>
      </c>
      <c r="I968" s="17" t="str">
        <v/>
      </c>
      <c r="J968" s="17">
        <v>0</v>
      </c>
      <c r="K968" s="38">
        <v>0</v>
      </c>
      <c r="L968" s="17" t="str">
        <v/>
      </c>
      <c r="M968" s="17">
        <v>0</v>
      </c>
      <c r="N968" s="17">
        <v>0</v>
      </c>
      <c r="O968" s="17" t="str">
        <v/>
      </c>
      <c r="P968" s="17" t="str">
        <v/>
      </c>
      <c r="Q968" s="17">
        <v>0</v>
      </c>
      <c r="R968" s="17">
        <v>0</v>
      </c>
      <c r="S968" s="17">
        <v>0</v>
      </c>
      <c r="T968" s="22">
        <v>0</v>
      </c>
    </row>
    <row r="969" spans="2:20" x14ac:dyDescent="0.25">
      <c r="B969" s="21">
        <v>0</v>
      </c>
      <c r="C969" s="17">
        <v>0</v>
      </c>
      <c r="D969" s="17">
        <v>0</v>
      </c>
      <c r="E969" s="17">
        <v>0</v>
      </c>
      <c r="F969" s="17">
        <v>0</v>
      </c>
      <c r="G969" s="17">
        <v>0</v>
      </c>
      <c r="H969" s="38">
        <v>0</v>
      </c>
      <c r="I969" s="17" t="str">
        <v/>
      </c>
      <c r="J969" s="17">
        <v>0</v>
      </c>
      <c r="K969" s="38">
        <v>0</v>
      </c>
      <c r="L969" s="17" t="str">
        <v/>
      </c>
      <c r="M969" s="17">
        <v>0</v>
      </c>
      <c r="N969" s="17">
        <v>0</v>
      </c>
      <c r="O969" s="17" t="str">
        <v/>
      </c>
      <c r="P969" s="17" t="str">
        <v/>
      </c>
      <c r="Q969" s="17">
        <v>0</v>
      </c>
      <c r="R969" s="17">
        <v>0</v>
      </c>
      <c r="S969" s="17">
        <v>0</v>
      </c>
      <c r="T969" s="22">
        <v>0</v>
      </c>
    </row>
    <row r="970" spans="2:20" x14ac:dyDescent="0.25">
      <c r="B970" s="21">
        <v>0</v>
      </c>
      <c r="C970" s="17">
        <v>0</v>
      </c>
      <c r="D970" s="17">
        <v>0</v>
      </c>
      <c r="E970" s="17">
        <v>0</v>
      </c>
      <c r="F970" s="17">
        <v>0</v>
      </c>
      <c r="G970" s="17">
        <v>0</v>
      </c>
      <c r="H970" s="38">
        <v>0</v>
      </c>
      <c r="I970" s="17" t="str">
        <v/>
      </c>
      <c r="J970" s="17">
        <v>0</v>
      </c>
      <c r="K970" s="38">
        <v>0</v>
      </c>
      <c r="L970" s="17" t="str">
        <v/>
      </c>
      <c r="M970" s="17">
        <v>0</v>
      </c>
      <c r="N970" s="17">
        <v>0</v>
      </c>
      <c r="O970" s="17" t="str">
        <v/>
      </c>
      <c r="P970" s="17" t="str">
        <v/>
      </c>
      <c r="Q970" s="17">
        <v>0</v>
      </c>
      <c r="R970" s="17">
        <v>0</v>
      </c>
      <c r="S970" s="17">
        <v>0</v>
      </c>
      <c r="T970" s="22">
        <v>0</v>
      </c>
    </row>
    <row r="971" spans="2:20" x14ac:dyDescent="0.25">
      <c r="B971" s="21">
        <v>0</v>
      </c>
      <c r="C971" s="17">
        <v>0</v>
      </c>
      <c r="D971" s="17">
        <v>0</v>
      </c>
      <c r="E971" s="17">
        <v>0</v>
      </c>
      <c r="F971" s="17">
        <v>0</v>
      </c>
      <c r="G971" s="17">
        <v>0</v>
      </c>
      <c r="H971" s="38">
        <v>0</v>
      </c>
      <c r="I971" s="17" t="str">
        <v/>
      </c>
      <c r="J971" s="17">
        <v>0</v>
      </c>
      <c r="K971" s="38">
        <v>0</v>
      </c>
      <c r="L971" s="17" t="str">
        <v/>
      </c>
      <c r="M971" s="17">
        <v>0</v>
      </c>
      <c r="N971" s="17">
        <v>0</v>
      </c>
      <c r="O971" s="17" t="str">
        <v/>
      </c>
      <c r="P971" s="17" t="str">
        <v/>
      </c>
      <c r="Q971" s="17">
        <v>0</v>
      </c>
      <c r="R971" s="17">
        <v>0</v>
      </c>
      <c r="S971" s="17">
        <v>0</v>
      </c>
      <c r="T971" s="22">
        <v>0</v>
      </c>
    </row>
    <row r="972" spans="2:20" x14ac:dyDescent="0.25">
      <c r="B972" s="21">
        <v>0</v>
      </c>
      <c r="C972" s="17">
        <v>0</v>
      </c>
      <c r="D972" s="17">
        <v>0</v>
      </c>
      <c r="E972" s="17">
        <v>0</v>
      </c>
      <c r="F972" s="17">
        <v>0</v>
      </c>
      <c r="G972" s="17">
        <v>0</v>
      </c>
      <c r="H972" s="38">
        <v>0</v>
      </c>
      <c r="I972" s="17" t="str">
        <v/>
      </c>
      <c r="J972" s="17">
        <v>0</v>
      </c>
      <c r="K972" s="38">
        <v>0</v>
      </c>
      <c r="L972" s="17" t="str">
        <v/>
      </c>
      <c r="M972" s="17">
        <v>0</v>
      </c>
      <c r="N972" s="17">
        <v>0</v>
      </c>
      <c r="O972" s="17" t="str">
        <v/>
      </c>
      <c r="P972" s="17" t="str">
        <v/>
      </c>
      <c r="Q972" s="17">
        <v>0</v>
      </c>
      <c r="R972" s="17">
        <v>0</v>
      </c>
      <c r="S972" s="17">
        <v>0</v>
      </c>
      <c r="T972" s="22">
        <v>0</v>
      </c>
    </row>
    <row r="973" spans="2:20" x14ac:dyDescent="0.25">
      <c r="B973" s="21">
        <v>0</v>
      </c>
      <c r="C973" s="17">
        <v>0</v>
      </c>
      <c r="D973" s="17">
        <v>0</v>
      </c>
      <c r="E973" s="17">
        <v>0</v>
      </c>
      <c r="F973" s="17">
        <v>0</v>
      </c>
      <c r="G973" s="17">
        <v>0</v>
      </c>
      <c r="H973" s="38">
        <v>0</v>
      </c>
      <c r="I973" s="17" t="str">
        <v/>
      </c>
      <c r="J973" s="17">
        <v>0</v>
      </c>
      <c r="K973" s="38">
        <v>0</v>
      </c>
      <c r="L973" s="17" t="str">
        <v/>
      </c>
      <c r="M973" s="17">
        <v>0</v>
      </c>
      <c r="N973" s="17">
        <v>0</v>
      </c>
      <c r="O973" s="17" t="str">
        <v/>
      </c>
      <c r="P973" s="17" t="str">
        <v/>
      </c>
      <c r="Q973" s="17">
        <v>0</v>
      </c>
      <c r="R973" s="17">
        <v>0</v>
      </c>
      <c r="S973" s="17">
        <v>0</v>
      </c>
      <c r="T973" s="22">
        <v>0</v>
      </c>
    </row>
    <row r="974" spans="2:20" x14ac:dyDescent="0.25">
      <c r="B974" s="21">
        <v>0</v>
      </c>
      <c r="C974" s="17">
        <v>0</v>
      </c>
      <c r="D974" s="17">
        <v>0</v>
      </c>
      <c r="E974" s="17">
        <v>0</v>
      </c>
      <c r="F974" s="17">
        <v>0</v>
      </c>
      <c r="G974" s="17">
        <v>0</v>
      </c>
      <c r="H974" s="38">
        <v>0</v>
      </c>
      <c r="I974" s="17" t="str">
        <v/>
      </c>
      <c r="J974" s="17">
        <v>0</v>
      </c>
      <c r="K974" s="38">
        <v>0</v>
      </c>
      <c r="L974" s="17" t="str">
        <v/>
      </c>
      <c r="M974" s="17">
        <v>0</v>
      </c>
      <c r="N974" s="17">
        <v>0</v>
      </c>
      <c r="O974" s="17" t="str">
        <v/>
      </c>
      <c r="P974" s="17" t="str">
        <v/>
      </c>
      <c r="Q974" s="17">
        <v>0</v>
      </c>
      <c r="R974" s="17">
        <v>0</v>
      </c>
      <c r="S974" s="17">
        <v>0</v>
      </c>
      <c r="T974" s="22">
        <v>0</v>
      </c>
    </row>
    <row r="975" spans="2:20" x14ac:dyDescent="0.25">
      <c r="B975" s="21">
        <v>0</v>
      </c>
      <c r="C975" s="17">
        <v>0</v>
      </c>
      <c r="D975" s="17">
        <v>0</v>
      </c>
      <c r="E975" s="17">
        <v>0</v>
      </c>
      <c r="F975" s="17">
        <v>0</v>
      </c>
      <c r="G975" s="17">
        <v>0</v>
      </c>
      <c r="H975" s="38">
        <v>0</v>
      </c>
      <c r="I975" s="17" t="str">
        <v/>
      </c>
      <c r="J975" s="17">
        <v>0</v>
      </c>
      <c r="K975" s="38">
        <v>0</v>
      </c>
      <c r="L975" s="17" t="str">
        <v/>
      </c>
      <c r="M975" s="17">
        <v>0</v>
      </c>
      <c r="N975" s="17">
        <v>0</v>
      </c>
      <c r="O975" s="17" t="str">
        <v/>
      </c>
      <c r="P975" s="17" t="str">
        <v/>
      </c>
      <c r="Q975" s="17">
        <v>0</v>
      </c>
      <c r="R975" s="17">
        <v>0</v>
      </c>
      <c r="S975" s="17">
        <v>0</v>
      </c>
      <c r="T975" s="22">
        <v>0</v>
      </c>
    </row>
    <row r="976" spans="2:20" x14ac:dyDescent="0.25">
      <c r="B976" s="21">
        <v>0</v>
      </c>
      <c r="C976" s="17">
        <v>0</v>
      </c>
      <c r="D976" s="17">
        <v>0</v>
      </c>
      <c r="E976" s="17">
        <v>0</v>
      </c>
      <c r="F976" s="17">
        <v>0</v>
      </c>
      <c r="G976" s="17">
        <v>0</v>
      </c>
      <c r="H976" s="38">
        <v>0</v>
      </c>
      <c r="I976" s="17" t="str">
        <v/>
      </c>
      <c r="J976" s="17">
        <v>0</v>
      </c>
      <c r="K976" s="38">
        <v>0</v>
      </c>
      <c r="L976" s="17" t="str">
        <v/>
      </c>
      <c r="M976" s="17">
        <v>0</v>
      </c>
      <c r="N976" s="17">
        <v>0</v>
      </c>
      <c r="O976" s="17" t="str">
        <v/>
      </c>
      <c r="P976" s="17" t="str">
        <v/>
      </c>
      <c r="Q976" s="17">
        <v>0</v>
      </c>
      <c r="R976" s="17">
        <v>0</v>
      </c>
      <c r="S976" s="17">
        <v>0</v>
      </c>
      <c r="T976" s="22">
        <v>0</v>
      </c>
    </row>
    <row r="977" spans="2:20" x14ac:dyDescent="0.25">
      <c r="B977" s="21">
        <v>0</v>
      </c>
      <c r="C977" s="17">
        <v>0</v>
      </c>
      <c r="D977" s="17">
        <v>0</v>
      </c>
      <c r="E977" s="17">
        <v>0</v>
      </c>
      <c r="F977" s="17">
        <v>0</v>
      </c>
      <c r="G977" s="17">
        <v>0</v>
      </c>
      <c r="H977" s="38">
        <v>0</v>
      </c>
      <c r="I977" s="17" t="str">
        <v/>
      </c>
      <c r="J977" s="17">
        <v>0</v>
      </c>
      <c r="K977" s="38">
        <v>0</v>
      </c>
      <c r="L977" s="17" t="str">
        <v/>
      </c>
      <c r="M977" s="17">
        <v>0</v>
      </c>
      <c r="N977" s="17">
        <v>0</v>
      </c>
      <c r="O977" s="17" t="str">
        <v/>
      </c>
      <c r="P977" s="17" t="str">
        <v/>
      </c>
      <c r="Q977" s="17">
        <v>0</v>
      </c>
      <c r="R977" s="17">
        <v>0</v>
      </c>
      <c r="S977" s="17">
        <v>0</v>
      </c>
      <c r="T977" s="22">
        <v>0</v>
      </c>
    </row>
    <row r="978" spans="2:20" x14ac:dyDescent="0.25">
      <c r="B978" s="21">
        <v>0</v>
      </c>
      <c r="C978" s="17">
        <v>0</v>
      </c>
      <c r="D978" s="17">
        <v>0</v>
      </c>
      <c r="E978" s="17">
        <v>0</v>
      </c>
      <c r="F978" s="17">
        <v>0</v>
      </c>
      <c r="G978" s="17">
        <v>0</v>
      </c>
      <c r="H978" s="38">
        <v>0</v>
      </c>
      <c r="I978" s="17" t="str">
        <v/>
      </c>
      <c r="J978" s="17">
        <v>0</v>
      </c>
      <c r="K978" s="38">
        <v>0</v>
      </c>
      <c r="L978" s="17" t="str">
        <v/>
      </c>
      <c r="M978" s="17">
        <v>0</v>
      </c>
      <c r="N978" s="17">
        <v>0</v>
      </c>
      <c r="O978" s="17" t="str">
        <v/>
      </c>
      <c r="P978" s="17" t="str">
        <v/>
      </c>
      <c r="Q978" s="17">
        <v>0</v>
      </c>
      <c r="R978" s="17">
        <v>0</v>
      </c>
      <c r="S978" s="17">
        <v>0</v>
      </c>
      <c r="T978" s="22">
        <v>0</v>
      </c>
    </row>
    <row r="979" spans="2:20" x14ac:dyDescent="0.25">
      <c r="B979" s="21">
        <v>0</v>
      </c>
      <c r="C979" s="17">
        <v>0</v>
      </c>
      <c r="D979" s="17">
        <v>0</v>
      </c>
      <c r="E979" s="17">
        <v>0</v>
      </c>
      <c r="F979" s="17">
        <v>0</v>
      </c>
      <c r="G979" s="17">
        <v>0</v>
      </c>
      <c r="H979" s="38">
        <v>0</v>
      </c>
      <c r="I979" s="17" t="str">
        <v/>
      </c>
      <c r="J979" s="17">
        <v>0</v>
      </c>
      <c r="K979" s="38">
        <v>0</v>
      </c>
      <c r="L979" s="17" t="str">
        <v/>
      </c>
      <c r="M979" s="17">
        <v>0</v>
      </c>
      <c r="N979" s="17">
        <v>0</v>
      </c>
      <c r="O979" s="17" t="str">
        <v/>
      </c>
      <c r="P979" s="17" t="str">
        <v/>
      </c>
      <c r="Q979" s="17">
        <v>0</v>
      </c>
      <c r="R979" s="17">
        <v>0</v>
      </c>
      <c r="S979" s="17">
        <v>0</v>
      </c>
      <c r="T979" s="22">
        <v>0</v>
      </c>
    </row>
    <row r="980" spans="2:20" x14ac:dyDescent="0.25">
      <c r="B980" s="21">
        <v>0</v>
      </c>
      <c r="C980" s="17">
        <v>0</v>
      </c>
      <c r="D980" s="17">
        <v>0</v>
      </c>
      <c r="E980" s="17">
        <v>0</v>
      </c>
      <c r="F980" s="17">
        <v>0</v>
      </c>
      <c r="G980" s="17">
        <v>0</v>
      </c>
      <c r="H980" s="38">
        <v>0</v>
      </c>
      <c r="I980" s="17" t="str">
        <v/>
      </c>
      <c r="J980" s="17">
        <v>0</v>
      </c>
      <c r="K980" s="38">
        <v>0</v>
      </c>
      <c r="L980" s="17" t="str">
        <v/>
      </c>
      <c r="M980" s="17">
        <v>0</v>
      </c>
      <c r="N980" s="17">
        <v>0</v>
      </c>
      <c r="O980" s="17" t="str">
        <v/>
      </c>
      <c r="P980" s="17" t="str">
        <v/>
      </c>
      <c r="Q980" s="17">
        <v>0</v>
      </c>
      <c r="R980" s="17">
        <v>0</v>
      </c>
      <c r="S980" s="17">
        <v>0</v>
      </c>
      <c r="T980" s="22">
        <v>0</v>
      </c>
    </row>
    <row r="981" spans="2:20" x14ac:dyDescent="0.25">
      <c r="B981" s="21">
        <v>0</v>
      </c>
      <c r="C981" s="17">
        <v>0</v>
      </c>
      <c r="D981" s="17">
        <v>0</v>
      </c>
      <c r="E981" s="17">
        <v>0</v>
      </c>
      <c r="F981" s="17">
        <v>0</v>
      </c>
      <c r="G981" s="17">
        <v>0</v>
      </c>
      <c r="H981" s="38">
        <v>0</v>
      </c>
      <c r="I981" s="17" t="str">
        <v/>
      </c>
      <c r="J981" s="17">
        <v>0</v>
      </c>
      <c r="K981" s="38">
        <v>0</v>
      </c>
      <c r="L981" s="17" t="str">
        <v/>
      </c>
      <c r="M981" s="17">
        <v>0</v>
      </c>
      <c r="N981" s="17">
        <v>0</v>
      </c>
      <c r="O981" s="17" t="str">
        <v/>
      </c>
      <c r="P981" s="17" t="str">
        <v/>
      </c>
      <c r="Q981" s="17">
        <v>0</v>
      </c>
      <c r="R981" s="17">
        <v>0</v>
      </c>
      <c r="S981" s="17">
        <v>0</v>
      </c>
      <c r="T981" s="22">
        <v>0</v>
      </c>
    </row>
    <row r="982" spans="2:20" x14ac:dyDescent="0.25">
      <c r="B982" s="21">
        <v>0</v>
      </c>
      <c r="C982" s="17">
        <v>0</v>
      </c>
      <c r="D982" s="17">
        <v>0</v>
      </c>
      <c r="E982" s="17">
        <v>0</v>
      </c>
      <c r="F982" s="17">
        <v>0</v>
      </c>
      <c r="G982" s="17">
        <v>0</v>
      </c>
      <c r="H982" s="38">
        <v>0</v>
      </c>
      <c r="I982" s="17" t="str">
        <v/>
      </c>
      <c r="J982" s="17">
        <v>0</v>
      </c>
      <c r="K982" s="38">
        <v>0</v>
      </c>
      <c r="L982" s="17" t="str">
        <v/>
      </c>
      <c r="M982" s="17">
        <v>0</v>
      </c>
      <c r="N982" s="17">
        <v>0</v>
      </c>
      <c r="O982" s="17" t="str">
        <v/>
      </c>
      <c r="P982" s="17" t="str">
        <v/>
      </c>
      <c r="Q982" s="17">
        <v>0</v>
      </c>
      <c r="R982" s="17">
        <v>0</v>
      </c>
      <c r="S982" s="17">
        <v>0</v>
      </c>
      <c r="T982" s="22">
        <v>0</v>
      </c>
    </row>
    <row r="983" spans="2:20" x14ac:dyDescent="0.25">
      <c r="B983" s="21">
        <v>0</v>
      </c>
      <c r="C983" s="17">
        <v>0</v>
      </c>
      <c r="D983" s="17">
        <v>0</v>
      </c>
      <c r="E983" s="17">
        <v>0</v>
      </c>
      <c r="F983" s="17">
        <v>0</v>
      </c>
      <c r="G983" s="17">
        <v>0</v>
      </c>
      <c r="H983" s="38">
        <v>0</v>
      </c>
      <c r="I983" s="17" t="str">
        <v/>
      </c>
      <c r="J983" s="17">
        <v>0</v>
      </c>
      <c r="K983" s="38">
        <v>0</v>
      </c>
      <c r="L983" s="17" t="str">
        <v/>
      </c>
      <c r="M983" s="17">
        <v>0</v>
      </c>
      <c r="N983" s="17">
        <v>0</v>
      </c>
      <c r="O983" s="17" t="str">
        <v/>
      </c>
      <c r="P983" s="17" t="str">
        <v/>
      </c>
      <c r="Q983" s="17">
        <v>0</v>
      </c>
      <c r="R983" s="17">
        <v>0</v>
      </c>
      <c r="S983" s="17">
        <v>0</v>
      </c>
      <c r="T983" s="22">
        <v>0</v>
      </c>
    </row>
    <row r="984" spans="2:20" x14ac:dyDescent="0.25">
      <c r="B984" s="21">
        <v>0</v>
      </c>
      <c r="C984" s="17">
        <v>0</v>
      </c>
      <c r="D984" s="17">
        <v>0</v>
      </c>
      <c r="E984" s="17">
        <v>0</v>
      </c>
      <c r="F984" s="17">
        <v>0</v>
      </c>
      <c r="G984" s="17">
        <v>0</v>
      </c>
      <c r="H984" s="38">
        <v>0</v>
      </c>
      <c r="I984" s="17" t="str">
        <v/>
      </c>
      <c r="J984" s="17">
        <v>0</v>
      </c>
      <c r="K984" s="38">
        <v>0</v>
      </c>
      <c r="L984" s="17" t="str">
        <v/>
      </c>
      <c r="M984" s="17">
        <v>0</v>
      </c>
      <c r="N984" s="17">
        <v>0</v>
      </c>
      <c r="O984" s="17" t="str">
        <v/>
      </c>
      <c r="P984" s="17" t="str">
        <v/>
      </c>
      <c r="Q984" s="17">
        <v>0</v>
      </c>
      <c r="R984" s="17">
        <v>0</v>
      </c>
      <c r="S984" s="17">
        <v>0</v>
      </c>
      <c r="T984" s="22">
        <v>0</v>
      </c>
    </row>
    <row r="985" spans="2:20" x14ac:dyDescent="0.25">
      <c r="B985" s="21">
        <v>0</v>
      </c>
      <c r="C985" s="17">
        <v>0</v>
      </c>
      <c r="D985" s="17">
        <v>0</v>
      </c>
      <c r="E985" s="17">
        <v>0</v>
      </c>
      <c r="F985" s="17">
        <v>0</v>
      </c>
      <c r="G985" s="17">
        <v>0</v>
      </c>
      <c r="H985" s="38">
        <v>0</v>
      </c>
      <c r="I985" s="17" t="str">
        <v/>
      </c>
      <c r="J985" s="17">
        <v>0</v>
      </c>
      <c r="K985" s="38">
        <v>0</v>
      </c>
      <c r="L985" s="17" t="str">
        <v/>
      </c>
      <c r="M985" s="17">
        <v>0</v>
      </c>
      <c r="N985" s="17">
        <v>0</v>
      </c>
      <c r="O985" s="17" t="str">
        <v/>
      </c>
      <c r="P985" s="17" t="str">
        <v/>
      </c>
      <c r="Q985" s="17">
        <v>0</v>
      </c>
      <c r="R985" s="17">
        <v>0</v>
      </c>
      <c r="S985" s="17">
        <v>0</v>
      </c>
      <c r="T985" s="22">
        <v>0</v>
      </c>
    </row>
    <row r="986" spans="2:20" x14ac:dyDescent="0.25">
      <c r="B986" s="21">
        <v>0</v>
      </c>
      <c r="C986" s="17">
        <v>0</v>
      </c>
      <c r="D986" s="17">
        <v>0</v>
      </c>
      <c r="E986" s="17">
        <v>0</v>
      </c>
      <c r="F986" s="17">
        <v>0</v>
      </c>
      <c r="G986" s="17">
        <v>0</v>
      </c>
      <c r="H986" s="38">
        <v>0</v>
      </c>
      <c r="I986" s="17" t="str">
        <v/>
      </c>
      <c r="J986" s="17">
        <v>0</v>
      </c>
      <c r="K986" s="38">
        <v>0</v>
      </c>
      <c r="L986" s="17" t="str">
        <v/>
      </c>
      <c r="M986" s="17">
        <v>0</v>
      </c>
      <c r="N986" s="17">
        <v>0</v>
      </c>
      <c r="O986" s="17" t="str">
        <v/>
      </c>
      <c r="P986" s="17" t="str">
        <v/>
      </c>
      <c r="Q986" s="17">
        <v>0</v>
      </c>
      <c r="R986" s="17">
        <v>0</v>
      </c>
      <c r="S986" s="17">
        <v>0</v>
      </c>
      <c r="T986" s="22">
        <v>0</v>
      </c>
    </row>
    <row r="987" spans="2:20" x14ac:dyDescent="0.25">
      <c r="B987" s="21">
        <v>0</v>
      </c>
      <c r="C987" s="17">
        <v>0</v>
      </c>
      <c r="D987" s="17">
        <v>0</v>
      </c>
      <c r="E987" s="17">
        <v>0</v>
      </c>
      <c r="F987" s="17">
        <v>0</v>
      </c>
      <c r="G987" s="17">
        <v>0</v>
      </c>
      <c r="H987" s="38">
        <v>0</v>
      </c>
      <c r="I987" s="17" t="str">
        <v/>
      </c>
      <c r="J987" s="17">
        <v>0</v>
      </c>
      <c r="K987" s="38">
        <v>0</v>
      </c>
      <c r="L987" s="17" t="str">
        <v/>
      </c>
      <c r="M987" s="17">
        <v>0</v>
      </c>
      <c r="N987" s="17">
        <v>0</v>
      </c>
      <c r="O987" s="17" t="str">
        <v/>
      </c>
      <c r="P987" s="17" t="str">
        <v/>
      </c>
      <c r="Q987" s="17">
        <v>0</v>
      </c>
      <c r="R987" s="17">
        <v>0</v>
      </c>
      <c r="S987" s="17">
        <v>0</v>
      </c>
      <c r="T987" s="22">
        <v>0</v>
      </c>
    </row>
    <row r="988" spans="2:20" x14ac:dyDescent="0.25">
      <c r="B988" s="21">
        <v>0</v>
      </c>
      <c r="C988" s="17">
        <v>0</v>
      </c>
      <c r="D988" s="17">
        <v>0</v>
      </c>
      <c r="E988" s="17">
        <v>0</v>
      </c>
      <c r="F988" s="17">
        <v>0</v>
      </c>
      <c r="G988" s="17">
        <v>0</v>
      </c>
      <c r="H988" s="38">
        <v>0</v>
      </c>
      <c r="I988" s="17" t="str">
        <v/>
      </c>
      <c r="J988" s="17">
        <v>0</v>
      </c>
      <c r="K988" s="38">
        <v>0</v>
      </c>
      <c r="L988" s="17" t="str">
        <v/>
      </c>
      <c r="M988" s="17">
        <v>0</v>
      </c>
      <c r="N988" s="17">
        <v>0</v>
      </c>
      <c r="O988" s="17" t="str">
        <v/>
      </c>
      <c r="P988" s="17" t="str">
        <v/>
      </c>
      <c r="Q988" s="17">
        <v>0</v>
      </c>
      <c r="R988" s="17">
        <v>0</v>
      </c>
      <c r="S988" s="17">
        <v>0</v>
      </c>
      <c r="T988" s="22">
        <v>0</v>
      </c>
    </row>
    <row r="989" spans="2:20" x14ac:dyDescent="0.25">
      <c r="B989" s="21">
        <v>0</v>
      </c>
      <c r="C989" s="17">
        <v>0</v>
      </c>
      <c r="D989" s="17">
        <v>0</v>
      </c>
      <c r="E989" s="17">
        <v>0</v>
      </c>
      <c r="F989" s="17">
        <v>0</v>
      </c>
      <c r="G989" s="17">
        <v>0</v>
      </c>
      <c r="H989" s="38">
        <v>0</v>
      </c>
      <c r="I989" s="17" t="str">
        <v/>
      </c>
      <c r="J989" s="17">
        <v>0</v>
      </c>
      <c r="K989" s="38">
        <v>0</v>
      </c>
      <c r="L989" s="17" t="str">
        <v/>
      </c>
      <c r="M989" s="17">
        <v>0</v>
      </c>
      <c r="N989" s="17">
        <v>0</v>
      </c>
      <c r="O989" s="17" t="str">
        <v/>
      </c>
      <c r="P989" s="17" t="str">
        <v/>
      </c>
      <c r="Q989" s="17">
        <v>0</v>
      </c>
      <c r="R989" s="17">
        <v>0</v>
      </c>
      <c r="S989" s="17">
        <v>0</v>
      </c>
      <c r="T989" s="22">
        <v>0</v>
      </c>
    </row>
    <row r="990" spans="2:20" x14ac:dyDescent="0.25">
      <c r="B990" s="21">
        <v>0</v>
      </c>
      <c r="C990" s="17">
        <v>0</v>
      </c>
      <c r="D990" s="17">
        <v>0</v>
      </c>
      <c r="E990" s="17">
        <v>0</v>
      </c>
      <c r="F990" s="17">
        <v>0</v>
      </c>
      <c r="G990" s="17">
        <v>0</v>
      </c>
      <c r="H990" s="38">
        <v>0</v>
      </c>
      <c r="I990" s="17" t="str">
        <v/>
      </c>
      <c r="J990" s="17">
        <v>0</v>
      </c>
      <c r="K990" s="38">
        <v>0</v>
      </c>
      <c r="L990" s="17" t="str">
        <v/>
      </c>
      <c r="M990" s="17">
        <v>0</v>
      </c>
      <c r="N990" s="17">
        <v>0</v>
      </c>
      <c r="O990" s="17" t="str">
        <v/>
      </c>
      <c r="P990" s="17" t="str">
        <v/>
      </c>
      <c r="Q990" s="17">
        <v>0</v>
      </c>
      <c r="R990" s="17">
        <v>0</v>
      </c>
      <c r="S990" s="17">
        <v>0</v>
      </c>
      <c r="T990" s="22">
        <v>0</v>
      </c>
    </row>
    <row r="991" spans="2:20" x14ac:dyDescent="0.25">
      <c r="B991" s="21">
        <v>0</v>
      </c>
      <c r="C991" s="17">
        <v>0</v>
      </c>
      <c r="D991" s="17">
        <v>0</v>
      </c>
      <c r="E991" s="17">
        <v>0</v>
      </c>
      <c r="F991" s="17">
        <v>0</v>
      </c>
      <c r="G991" s="17">
        <v>0</v>
      </c>
      <c r="H991" s="38">
        <v>0</v>
      </c>
      <c r="I991" s="17" t="str">
        <v/>
      </c>
      <c r="J991" s="17">
        <v>0</v>
      </c>
      <c r="K991" s="38">
        <v>0</v>
      </c>
      <c r="L991" s="17" t="str">
        <v/>
      </c>
      <c r="M991" s="17">
        <v>0</v>
      </c>
      <c r="N991" s="17">
        <v>0</v>
      </c>
      <c r="O991" s="17" t="str">
        <v/>
      </c>
      <c r="P991" s="17" t="str">
        <v/>
      </c>
      <c r="Q991" s="17">
        <v>0</v>
      </c>
      <c r="R991" s="17">
        <v>0</v>
      </c>
      <c r="S991" s="17">
        <v>0</v>
      </c>
      <c r="T991" s="22">
        <v>0</v>
      </c>
    </row>
    <row r="992" spans="2:20" x14ac:dyDescent="0.25">
      <c r="B992" s="21">
        <v>0</v>
      </c>
      <c r="C992" s="17">
        <v>0</v>
      </c>
      <c r="D992" s="17">
        <v>0</v>
      </c>
      <c r="E992" s="17">
        <v>0</v>
      </c>
      <c r="F992" s="17">
        <v>0</v>
      </c>
      <c r="G992" s="17">
        <v>0</v>
      </c>
      <c r="H992" s="38">
        <v>0</v>
      </c>
      <c r="I992" s="17" t="str">
        <v/>
      </c>
      <c r="J992" s="17">
        <v>0</v>
      </c>
      <c r="K992" s="38">
        <v>0</v>
      </c>
      <c r="L992" s="17" t="str">
        <v/>
      </c>
      <c r="M992" s="17">
        <v>0</v>
      </c>
      <c r="N992" s="17">
        <v>0</v>
      </c>
      <c r="O992" s="17" t="str">
        <v/>
      </c>
      <c r="P992" s="17" t="str">
        <v/>
      </c>
      <c r="Q992" s="17">
        <v>0</v>
      </c>
      <c r="R992" s="17">
        <v>0</v>
      </c>
      <c r="S992" s="17">
        <v>0</v>
      </c>
      <c r="T992" s="22">
        <v>0</v>
      </c>
    </row>
    <row r="993" spans="2:20" x14ac:dyDescent="0.25">
      <c r="B993" s="21">
        <v>0</v>
      </c>
      <c r="C993" s="17">
        <v>0</v>
      </c>
      <c r="D993" s="17">
        <v>0</v>
      </c>
      <c r="E993" s="17">
        <v>0</v>
      </c>
      <c r="F993" s="17">
        <v>0</v>
      </c>
      <c r="G993" s="17">
        <v>0</v>
      </c>
      <c r="H993" s="38">
        <v>0</v>
      </c>
      <c r="I993" s="17" t="str">
        <v/>
      </c>
      <c r="J993" s="17">
        <v>0</v>
      </c>
      <c r="K993" s="38">
        <v>0</v>
      </c>
      <c r="L993" s="17" t="str">
        <v/>
      </c>
      <c r="M993" s="17">
        <v>0</v>
      </c>
      <c r="N993" s="17">
        <v>0</v>
      </c>
      <c r="O993" s="17" t="str">
        <v/>
      </c>
      <c r="P993" s="17" t="str">
        <v/>
      </c>
      <c r="Q993" s="17">
        <v>0</v>
      </c>
      <c r="R993" s="17">
        <v>0</v>
      </c>
      <c r="S993" s="17">
        <v>0</v>
      </c>
      <c r="T993" s="22">
        <v>0</v>
      </c>
    </row>
    <row r="994" spans="2:20" x14ac:dyDescent="0.25">
      <c r="B994" s="21">
        <v>0</v>
      </c>
      <c r="C994" s="17">
        <v>0</v>
      </c>
      <c r="D994" s="17">
        <v>0</v>
      </c>
      <c r="E994" s="17">
        <v>0</v>
      </c>
      <c r="F994" s="17">
        <v>0</v>
      </c>
      <c r="G994" s="17">
        <v>0</v>
      </c>
      <c r="H994" s="38">
        <v>0</v>
      </c>
      <c r="I994" s="17" t="str">
        <v/>
      </c>
      <c r="J994" s="17">
        <v>0</v>
      </c>
      <c r="K994" s="38">
        <v>0</v>
      </c>
      <c r="L994" s="17" t="str">
        <v/>
      </c>
      <c r="M994" s="17">
        <v>0</v>
      </c>
      <c r="N994" s="17">
        <v>0</v>
      </c>
      <c r="O994" s="17" t="str">
        <v/>
      </c>
      <c r="P994" s="17" t="str">
        <v/>
      </c>
      <c r="Q994" s="17">
        <v>0</v>
      </c>
      <c r="R994" s="17">
        <v>0</v>
      </c>
      <c r="S994" s="17">
        <v>0</v>
      </c>
      <c r="T994" s="22">
        <v>0</v>
      </c>
    </row>
    <row r="995" spans="2:20" x14ac:dyDescent="0.25">
      <c r="B995" s="21">
        <v>0</v>
      </c>
      <c r="C995" s="17">
        <v>0</v>
      </c>
      <c r="D995" s="17">
        <v>0</v>
      </c>
      <c r="E995" s="17">
        <v>0</v>
      </c>
      <c r="F995" s="17">
        <v>0</v>
      </c>
      <c r="G995" s="17">
        <v>0</v>
      </c>
      <c r="H995" s="38">
        <v>0</v>
      </c>
      <c r="I995" s="17" t="str">
        <v/>
      </c>
      <c r="J995" s="17">
        <v>0</v>
      </c>
      <c r="K995" s="38">
        <v>0</v>
      </c>
      <c r="L995" s="17" t="str">
        <v/>
      </c>
      <c r="M995" s="17">
        <v>0</v>
      </c>
      <c r="N995" s="17">
        <v>0</v>
      </c>
      <c r="O995" s="17" t="str">
        <v/>
      </c>
      <c r="P995" s="17" t="str">
        <v/>
      </c>
      <c r="Q995" s="17">
        <v>0</v>
      </c>
      <c r="R995" s="17">
        <v>0</v>
      </c>
      <c r="S995" s="17">
        <v>0</v>
      </c>
      <c r="T995" s="22">
        <v>0</v>
      </c>
    </row>
    <row r="996" spans="2:20" x14ac:dyDescent="0.25">
      <c r="B996" s="21">
        <v>0</v>
      </c>
      <c r="C996" s="17">
        <v>0</v>
      </c>
      <c r="D996" s="17">
        <v>0</v>
      </c>
      <c r="E996" s="17">
        <v>0</v>
      </c>
      <c r="F996" s="17">
        <v>0</v>
      </c>
      <c r="G996" s="17">
        <v>0</v>
      </c>
      <c r="H996" s="38">
        <v>0</v>
      </c>
      <c r="I996" s="17" t="str">
        <v/>
      </c>
      <c r="J996" s="17">
        <v>0</v>
      </c>
      <c r="K996" s="38">
        <v>0</v>
      </c>
      <c r="L996" s="17" t="str">
        <v/>
      </c>
      <c r="M996" s="17">
        <v>0</v>
      </c>
      <c r="N996" s="17">
        <v>0</v>
      </c>
      <c r="O996" s="17" t="str">
        <v/>
      </c>
      <c r="P996" s="17" t="str">
        <v/>
      </c>
      <c r="Q996" s="17">
        <v>0</v>
      </c>
      <c r="R996" s="17">
        <v>0</v>
      </c>
      <c r="S996" s="17">
        <v>0</v>
      </c>
      <c r="T996" s="22">
        <v>0</v>
      </c>
    </row>
    <row r="997" spans="2:20" x14ac:dyDescent="0.25">
      <c r="B997" s="21">
        <v>0</v>
      </c>
      <c r="C997" s="17">
        <v>0</v>
      </c>
      <c r="D997" s="17">
        <v>0</v>
      </c>
      <c r="E997" s="17">
        <v>0</v>
      </c>
      <c r="F997" s="17">
        <v>0</v>
      </c>
      <c r="G997" s="17">
        <v>0</v>
      </c>
      <c r="H997" s="38">
        <v>0</v>
      </c>
      <c r="I997" s="17" t="str">
        <v/>
      </c>
      <c r="J997" s="17">
        <v>0</v>
      </c>
      <c r="K997" s="38">
        <v>0</v>
      </c>
      <c r="L997" s="17" t="str">
        <v/>
      </c>
      <c r="M997" s="17">
        <v>0</v>
      </c>
      <c r="N997" s="17">
        <v>0</v>
      </c>
      <c r="O997" s="17" t="str">
        <v/>
      </c>
      <c r="P997" s="17" t="str">
        <v/>
      </c>
      <c r="Q997" s="17">
        <v>0</v>
      </c>
      <c r="R997" s="17">
        <v>0</v>
      </c>
      <c r="S997" s="17">
        <v>0</v>
      </c>
      <c r="T997" s="22">
        <v>0</v>
      </c>
    </row>
    <row r="998" spans="2:20" x14ac:dyDescent="0.25">
      <c r="B998" s="21">
        <v>0</v>
      </c>
      <c r="C998" s="17">
        <v>0</v>
      </c>
      <c r="D998" s="17">
        <v>0</v>
      </c>
      <c r="E998" s="17">
        <v>0</v>
      </c>
      <c r="F998" s="17">
        <v>0</v>
      </c>
      <c r="G998" s="17">
        <v>0</v>
      </c>
      <c r="H998" s="38">
        <v>0</v>
      </c>
      <c r="I998" s="17" t="str">
        <v/>
      </c>
      <c r="J998" s="17">
        <v>0</v>
      </c>
      <c r="K998" s="38">
        <v>0</v>
      </c>
      <c r="L998" s="17" t="str">
        <v/>
      </c>
      <c r="M998" s="17">
        <v>0</v>
      </c>
      <c r="N998" s="17">
        <v>0</v>
      </c>
      <c r="O998" s="17" t="str">
        <v/>
      </c>
      <c r="P998" s="17" t="str">
        <v/>
      </c>
      <c r="Q998" s="17">
        <v>0</v>
      </c>
      <c r="R998" s="17">
        <v>0</v>
      </c>
      <c r="S998" s="17">
        <v>0</v>
      </c>
      <c r="T998" s="22">
        <v>0</v>
      </c>
    </row>
    <row r="999" spans="2:20" x14ac:dyDescent="0.25">
      <c r="B999" s="21">
        <v>0</v>
      </c>
      <c r="C999" s="17">
        <v>0</v>
      </c>
      <c r="D999" s="17">
        <v>0</v>
      </c>
      <c r="E999" s="17">
        <v>0</v>
      </c>
      <c r="F999" s="17">
        <v>0</v>
      </c>
      <c r="G999" s="17">
        <v>0</v>
      </c>
      <c r="H999" s="38">
        <v>0</v>
      </c>
      <c r="I999" s="17" t="str">
        <v/>
      </c>
      <c r="J999" s="17">
        <v>0</v>
      </c>
      <c r="K999" s="38">
        <v>0</v>
      </c>
      <c r="L999" s="17" t="str">
        <v/>
      </c>
      <c r="M999" s="17">
        <v>0</v>
      </c>
      <c r="N999" s="17">
        <v>0</v>
      </c>
      <c r="O999" s="17" t="str">
        <v/>
      </c>
      <c r="P999" s="17" t="str">
        <v/>
      </c>
      <c r="Q999" s="17">
        <v>0</v>
      </c>
      <c r="R999" s="17">
        <v>0</v>
      </c>
      <c r="S999" s="17">
        <v>0</v>
      </c>
      <c r="T999" s="22">
        <v>0</v>
      </c>
    </row>
    <row r="1000" spans="2:20" x14ac:dyDescent="0.25">
      <c r="B1000" s="21">
        <v>0</v>
      </c>
      <c r="C1000" s="17">
        <v>0</v>
      </c>
      <c r="D1000" s="17">
        <v>0</v>
      </c>
      <c r="E1000" s="17">
        <v>0</v>
      </c>
      <c r="F1000" s="17">
        <v>0</v>
      </c>
      <c r="G1000" s="17">
        <v>0</v>
      </c>
      <c r="H1000" s="38">
        <v>0</v>
      </c>
      <c r="I1000" s="17" t="str">
        <v/>
      </c>
      <c r="J1000" s="17">
        <v>0</v>
      </c>
      <c r="K1000" s="38">
        <v>0</v>
      </c>
      <c r="L1000" s="17" t="str">
        <v/>
      </c>
      <c r="M1000" s="17">
        <v>0</v>
      </c>
      <c r="N1000" s="17">
        <v>0</v>
      </c>
      <c r="O1000" s="17" t="str">
        <v/>
      </c>
      <c r="P1000" s="17" t="str">
        <v/>
      </c>
      <c r="Q1000" s="17">
        <v>0</v>
      </c>
      <c r="R1000" s="17">
        <v>0</v>
      </c>
      <c r="S1000" s="17">
        <v>0</v>
      </c>
      <c r="T1000" s="22">
        <v>0</v>
      </c>
    </row>
    <row r="1001" spans="2:20" ht="15.75" thickBot="1" x14ac:dyDescent="0.3">
      <c r="B1001" s="2">
        <v>0</v>
      </c>
      <c r="C1001" s="23">
        <v>0</v>
      </c>
      <c r="D1001" s="23">
        <v>0</v>
      </c>
      <c r="E1001" s="23">
        <v>0</v>
      </c>
      <c r="F1001" s="23">
        <v>0</v>
      </c>
      <c r="G1001" s="23">
        <v>0</v>
      </c>
      <c r="H1001" s="39">
        <v>0</v>
      </c>
      <c r="I1001" s="23" t="str">
        <v/>
      </c>
      <c r="J1001" s="23">
        <v>0</v>
      </c>
      <c r="K1001" s="39">
        <v>0</v>
      </c>
      <c r="L1001" s="23" t="str">
        <v/>
      </c>
      <c r="M1001" s="23">
        <v>0</v>
      </c>
      <c r="N1001" s="23">
        <v>0</v>
      </c>
      <c r="O1001" s="23" t="str">
        <v/>
      </c>
      <c r="P1001" s="23" t="str">
        <v/>
      </c>
      <c r="Q1001" s="23">
        <v>0</v>
      </c>
      <c r="R1001" s="23">
        <v>0</v>
      </c>
      <c r="S1001" s="23">
        <v>0</v>
      </c>
      <c r="T1001" s="3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DC04E-564A-42AB-9DC3-CD8F2A398A81}">
  <dimension ref="B2:AJ100"/>
  <sheetViews>
    <sheetView workbookViewId="0">
      <selection activeCell="E8" sqref="E8"/>
    </sheetView>
  </sheetViews>
  <sheetFormatPr defaultRowHeight="15" x14ac:dyDescent="0.25"/>
  <cols>
    <col min="1" max="1" width="4.28515625" customWidth="1"/>
    <col min="2" max="2" width="14.42578125" bestFit="1" customWidth="1"/>
    <col min="3" max="3" width="27.28515625" bestFit="1" customWidth="1"/>
    <col min="4" max="4" width="15.28515625" bestFit="1" customWidth="1"/>
    <col min="5" max="5" width="6.85546875" bestFit="1" customWidth="1"/>
    <col min="6" max="6" width="11.7109375" bestFit="1" customWidth="1"/>
    <col min="7" max="7" width="14.85546875" bestFit="1" customWidth="1"/>
    <col min="9" max="9" width="7.42578125" bestFit="1" customWidth="1"/>
    <col min="10" max="10" width="14.85546875" bestFit="1" customWidth="1"/>
    <col min="12" max="12" width="7.42578125" bestFit="1" customWidth="1"/>
    <col min="13" max="13" width="14.7109375" bestFit="1" customWidth="1"/>
    <col min="14" max="14" width="9.140625" bestFit="1" customWidth="1"/>
    <col min="15" max="15" width="7.42578125" bestFit="1" customWidth="1"/>
    <col min="16" max="16" width="10.7109375" bestFit="1" customWidth="1"/>
    <col min="17" max="17" width="24.140625" bestFit="1" customWidth="1"/>
    <col min="18" max="18" width="14.28515625" bestFit="1" customWidth="1"/>
    <col min="19" max="19" width="30.28515625" bestFit="1" customWidth="1"/>
    <col min="20" max="20" width="16.140625" customWidth="1"/>
    <col min="21" max="21" width="4.28515625" customWidth="1"/>
    <col min="22" max="22" width="6.85546875" style="1" bestFit="1" customWidth="1"/>
    <col min="23" max="23" width="7" bestFit="1" customWidth="1"/>
    <col min="24" max="24" width="30.42578125" bestFit="1" customWidth="1"/>
    <col min="25" max="25" width="15.28515625" bestFit="1" customWidth="1"/>
    <col min="26" max="26" width="6" bestFit="1" customWidth="1"/>
    <col min="27" max="27" width="7" bestFit="1" customWidth="1"/>
    <col min="28" max="28" width="4.28515625" customWidth="1"/>
    <col min="29" max="29" width="32" bestFit="1" customWidth="1"/>
    <col min="31" max="31" width="4.28515625" customWidth="1"/>
    <col min="32" max="32" width="7" bestFit="1" customWidth="1"/>
    <col min="33" max="33" width="23" bestFit="1" customWidth="1"/>
    <col min="34" max="34" width="15.28515625" bestFit="1" customWidth="1"/>
    <col min="35" max="35" width="6" bestFit="1" customWidth="1"/>
    <col min="36" max="36" width="7" bestFit="1" customWidth="1"/>
  </cols>
  <sheetData>
    <row r="2" spans="2:36" ht="15.75" thickBot="1" x14ac:dyDescent="0.3">
      <c r="B2" t="s">
        <v>52</v>
      </c>
      <c r="C2" t="s">
        <v>20</v>
      </c>
      <c r="H2" s="35"/>
      <c r="K2" s="35"/>
      <c r="AC2" t="s">
        <v>58</v>
      </c>
      <c r="AF2" s="6" t="s">
        <v>8</v>
      </c>
      <c r="AG2" s="6">
        <f>Dashboard!E32</f>
        <v>9</v>
      </c>
    </row>
    <row r="3" spans="2:36" ht="15.75" thickBot="1" x14ac:dyDescent="0.3">
      <c r="B3" s="28" t="s">
        <v>5</v>
      </c>
      <c r="C3" s="29" t="s">
        <v>6</v>
      </c>
      <c r="D3" s="29" t="s">
        <v>7</v>
      </c>
      <c r="E3" s="29" t="s">
        <v>8</v>
      </c>
      <c r="F3" s="29" t="s">
        <v>9</v>
      </c>
      <c r="G3" s="29" t="s">
        <v>10</v>
      </c>
      <c r="H3" s="36" t="s">
        <v>11</v>
      </c>
      <c r="I3" s="29" t="s">
        <v>12</v>
      </c>
      <c r="J3" s="29" t="s">
        <v>13</v>
      </c>
      <c r="K3" s="36" t="s">
        <v>14</v>
      </c>
      <c r="L3" s="29" t="s">
        <v>15</v>
      </c>
      <c r="M3" s="29" t="s">
        <v>68</v>
      </c>
      <c r="N3" s="29" t="s">
        <v>69</v>
      </c>
      <c r="O3" s="29" t="s">
        <v>70</v>
      </c>
      <c r="P3" s="29" t="s">
        <v>76</v>
      </c>
      <c r="Q3" s="29" t="s">
        <v>67</v>
      </c>
      <c r="R3" s="29" t="s">
        <v>66</v>
      </c>
      <c r="S3" s="29" t="s">
        <v>16</v>
      </c>
      <c r="T3" s="30" t="s">
        <v>17</v>
      </c>
      <c r="V3" s="95" t="s">
        <v>8</v>
      </c>
      <c r="W3" s="29" t="s">
        <v>59</v>
      </c>
      <c r="X3" s="29" t="s">
        <v>35</v>
      </c>
      <c r="Y3" s="29" t="s">
        <v>7</v>
      </c>
      <c r="Z3" s="29" t="s">
        <v>60</v>
      </c>
      <c r="AA3" s="30" t="s">
        <v>16</v>
      </c>
      <c r="AC3" s="26" t="s">
        <v>16</v>
      </c>
      <c r="AD3" s="27" t="s">
        <v>61</v>
      </c>
      <c r="AF3" s="26" t="s">
        <v>59</v>
      </c>
      <c r="AG3" s="79" t="s">
        <v>35</v>
      </c>
      <c r="AH3" s="79" t="s">
        <v>7</v>
      </c>
      <c r="AI3" s="79" t="s">
        <v>60</v>
      </c>
      <c r="AJ3" s="27" t="s">
        <v>16</v>
      </c>
    </row>
    <row r="4" spans="2:36" x14ac:dyDescent="0.25">
      <c r="B4" s="18" t="e" cm="1" vm="1">
        <f t="array" ref="B4">_xlfn._xlws.FILTER('Ber. Planning Totaal'!B4:T1000,('Ber. Planning Totaal'!G4:G1000=C2)+('Ber. Planning Totaal'!J4:J1000=C2)+('Ber. Planning Totaal'!M4:M1000=C2))</f>
        <v>#VALUE!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20"/>
      <c r="V4" s="76" t="str">
        <f>IF(E4="","",E4)</f>
        <v/>
      </c>
      <c r="W4" s="19" t="e" vm="2">
        <f>IF(B4="","",B4)</f>
        <v>#VALUE!</v>
      </c>
      <c r="X4" s="19" t="e" vm="2">
        <f>IF(B4="","",C4)</f>
        <v>#VALUE!</v>
      </c>
      <c r="Y4" s="19" t="e" vm="2">
        <f>IF(B4="","",D4)</f>
        <v>#VALUE!</v>
      </c>
      <c r="Z4" s="82" t="e" vm="2">
        <f t="shared" ref="Z4:Z35" si="0">IF(B4="","",IF(G4=$C$2,I4,L4))</f>
        <v>#VALUE!</v>
      </c>
      <c r="AA4" s="52" t="e" vm="2">
        <f>IF(B4="","",VLOOKUP(S4,$AC$3:$AD$14,2,FALSE))</f>
        <v>#VALUE!</v>
      </c>
      <c r="AC4" s="24" t="s">
        <v>29</v>
      </c>
      <c r="AD4" s="25">
        <v>1</v>
      </c>
      <c r="AF4" s="18" t="str" cm="1">
        <f t="array" ref="AF4">_xlfn._xlws.FILTER($W$4:$AA$100,$V$4:$V$100=AG2,"")</f>
        <v/>
      </c>
      <c r="AG4" s="19"/>
      <c r="AH4" s="19"/>
      <c r="AI4" s="82"/>
      <c r="AJ4" s="52"/>
    </row>
    <row r="5" spans="2:36" x14ac:dyDescent="0.25">
      <c r="B5" s="21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22"/>
      <c r="V5" s="91" t="str">
        <f t="shared" ref="V5:V68" si="1">IF(E5="","",E5)</f>
        <v/>
      </c>
      <c r="W5" s="17" t="str">
        <f t="shared" ref="W5:W14" si="2">IF(B5="","",B5)</f>
        <v/>
      </c>
      <c r="X5" s="17" t="str">
        <f t="shared" ref="X5:X68" si="3">IF(B5="","",C5)</f>
        <v/>
      </c>
      <c r="Y5" s="17" t="str">
        <f t="shared" ref="Y5:Y68" si="4">IF(B5="","",D5)</f>
        <v/>
      </c>
      <c r="Z5" s="77" t="str">
        <f t="shared" si="0"/>
        <v/>
      </c>
      <c r="AA5" s="53" t="str">
        <f t="shared" ref="AA5:AA68" si="5">IF(B5="","",VLOOKUP(S5,$AC$3:$AD$14,2,FALSE))</f>
        <v/>
      </c>
      <c r="AC5" s="21" t="s">
        <v>39</v>
      </c>
      <c r="AD5" s="22">
        <v>2</v>
      </c>
      <c r="AF5" s="21"/>
      <c r="AG5" s="17"/>
      <c r="AH5" s="17"/>
      <c r="AI5" s="77"/>
      <c r="AJ5" s="53"/>
    </row>
    <row r="6" spans="2:36" x14ac:dyDescent="0.25">
      <c r="B6" s="21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22"/>
      <c r="V6" s="91" t="str">
        <f t="shared" si="1"/>
        <v/>
      </c>
      <c r="W6" s="17" t="str">
        <f t="shared" si="2"/>
        <v/>
      </c>
      <c r="X6" s="17" t="str">
        <f t="shared" si="3"/>
        <v/>
      </c>
      <c r="Y6" s="17" t="str">
        <f t="shared" si="4"/>
        <v/>
      </c>
      <c r="Z6" s="77" t="str">
        <f t="shared" si="0"/>
        <v/>
      </c>
      <c r="AA6" s="53" t="str">
        <f t="shared" si="5"/>
        <v/>
      </c>
      <c r="AC6" s="21" t="s">
        <v>28</v>
      </c>
      <c r="AD6" s="22">
        <v>3</v>
      </c>
      <c r="AF6" s="21"/>
      <c r="AG6" s="17"/>
      <c r="AH6" s="17"/>
      <c r="AI6" s="77"/>
      <c r="AJ6" s="53"/>
    </row>
    <row r="7" spans="2:36" x14ac:dyDescent="0.25">
      <c r="B7" s="21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22"/>
      <c r="V7" s="91" t="str">
        <f t="shared" si="1"/>
        <v/>
      </c>
      <c r="W7" s="17" t="str">
        <f t="shared" si="2"/>
        <v/>
      </c>
      <c r="X7" s="17" t="str">
        <f t="shared" si="3"/>
        <v/>
      </c>
      <c r="Y7" s="17" t="str">
        <f t="shared" si="4"/>
        <v/>
      </c>
      <c r="Z7" s="77" t="str">
        <f t="shared" si="0"/>
        <v/>
      </c>
      <c r="AA7" s="53" t="str">
        <f t="shared" si="5"/>
        <v/>
      </c>
      <c r="AC7" s="21" t="s">
        <v>26</v>
      </c>
      <c r="AD7" s="22">
        <v>4</v>
      </c>
      <c r="AF7" s="21"/>
      <c r="AG7" s="17"/>
      <c r="AH7" s="17"/>
      <c r="AI7" s="77"/>
      <c r="AJ7" s="53"/>
    </row>
    <row r="8" spans="2:36" x14ac:dyDescent="0.25">
      <c r="B8" s="21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22"/>
      <c r="V8" s="91" t="str">
        <f t="shared" si="1"/>
        <v/>
      </c>
      <c r="W8" s="17" t="str">
        <f t="shared" si="2"/>
        <v/>
      </c>
      <c r="X8" s="17" t="str">
        <f t="shared" si="3"/>
        <v/>
      </c>
      <c r="Y8" s="17" t="str">
        <f t="shared" si="4"/>
        <v/>
      </c>
      <c r="Z8" s="77" t="str">
        <f t="shared" si="0"/>
        <v/>
      </c>
      <c r="AA8" s="53" t="str">
        <f t="shared" si="5"/>
        <v/>
      </c>
      <c r="AC8" s="21" t="s">
        <v>40</v>
      </c>
      <c r="AD8" s="22">
        <v>5</v>
      </c>
      <c r="AF8" s="21"/>
      <c r="AG8" s="17"/>
      <c r="AH8" s="17"/>
      <c r="AI8" s="77"/>
      <c r="AJ8" s="53"/>
    </row>
    <row r="9" spans="2:36" x14ac:dyDescent="0.25">
      <c r="B9" s="21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22"/>
      <c r="V9" s="91" t="str">
        <f t="shared" si="1"/>
        <v/>
      </c>
      <c r="W9" s="17" t="str">
        <f t="shared" si="2"/>
        <v/>
      </c>
      <c r="X9" s="17" t="str">
        <f t="shared" si="3"/>
        <v/>
      </c>
      <c r="Y9" s="17" t="str">
        <f t="shared" si="4"/>
        <v/>
      </c>
      <c r="Z9" s="77" t="str">
        <f t="shared" si="0"/>
        <v/>
      </c>
      <c r="AA9" s="53" t="str">
        <f t="shared" si="5"/>
        <v/>
      </c>
      <c r="AC9" s="21" t="s">
        <v>27</v>
      </c>
      <c r="AD9" s="22">
        <v>6</v>
      </c>
      <c r="AF9" s="21"/>
      <c r="AG9" s="17"/>
      <c r="AH9" s="17"/>
      <c r="AI9" s="77"/>
      <c r="AJ9" s="53"/>
    </row>
    <row r="10" spans="2:36" x14ac:dyDescent="0.25">
      <c r="B10" s="21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22"/>
      <c r="V10" s="91" t="str">
        <f t="shared" si="1"/>
        <v/>
      </c>
      <c r="W10" s="17" t="str">
        <f t="shared" si="2"/>
        <v/>
      </c>
      <c r="X10" s="17" t="str">
        <f t="shared" si="3"/>
        <v/>
      </c>
      <c r="Y10" s="17" t="str">
        <f t="shared" si="4"/>
        <v/>
      </c>
      <c r="Z10" s="77" t="str">
        <f t="shared" si="0"/>
        <v/>
      </c>
      <c r="AA10" s="53" t="str">
        <f t="shared" si="5"/>
        <v/>
      </c>
      <c r="AC10" s="21" t="s">
        <v>32</v>
      </c>
      <c r="AD10" s="22">
        <v>7</v>
      </c>
      <c r="AF10" s="21"/>
      <c r="AG10" s="17"/>
      <c r="AH10" s="17"/>
      <c r="AI10" s="77"/>
      <c r="AJ10" s="53"/>
    </row>
    <row r="11" spans="2:36" x14ac:dyDescent="0.25">
      <c r="B11" s="21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22"/>
      <c r="V11" s="91" t="str">
        <f t="shared" si="1"/>
        <v/>
      </c>
      <c r="W11" s="17" t="str">
        <f t="shared" si="2"/>
        <v/>
      </c>
      <c r="X11" s="17" t="str">
        <f t="shared" si="3"/>
        <v/>
      </c>
      <c r="Y11" s="17" t="str">
        <f t="shared" si="4"/>
        <v/>
      </c>
      <c r="Z11" s="77" t="str">
        <f t="shared" si="0"/>
        <v/>
      </c>
      <c r="AA11" s="53" t="str">
        <f t="shared" si="5"/>
        <v/>
      </c>
      <c r="AC11" s="21" t="s">
        <v>41</v>
      </c>
      <c r="AD11" s="22">
        <v>8</v>
      </c>
      <c r="AF11" s="21"/>
      <c r="AG11" s="17"/>
      <c r="AH11" s="17"/>
      <c r="AI11" s="77"/>
      <c r="AJ11" s="53"/>
    </row>
    <row r="12" spans="2:36" x14ac:dyDescent="0.25">
      <c r="B12" s="21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22"/>
      <c r="V12" s="91" t="str">
        <f t="shared" si="1"/>
        <v/>
      </c>
      <c r="W12" s="17" t="str">
        <f t="shared" si="2"/>
        <v/>
      </c>
      <c r="X12" s="17" t="str">
        <f t="shared" si="3"/>
        <v/>
      </c>
      <c r="Y12" s="17" t="str">
        <f t="shared" si="4"/>
        <v/>
      </c>
      <c r="Z12" s="77" t="str">
        <f t="shared" si="0"/>
        <v/>
      </c>
      <c r="AA12" s="53" t="str">
        <f t="shared" si="5"/>
        <v/>
      </c>
      <c r="AC12" s="21" t="s">
        <v>43</v>
      </c>
      <c r="AD12" s="22">
        <v>9</v>
      </c>
      <c r="AF12" s="21"/>
      <c r="AG12" s="17"/>
      <c r="AH12" s="17"/>
      <c r="AI12" s="77"/>
      <c r="AJ12" s="53"/>
    </row>
    <row r="13" spans="2:36" x14ac:dyDescent="0.25">
      <c r="B13" s="21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22"/>
      <c r="V13" s="91" t="str">
        <f t="shared" si="1"/>
        <v/>
      </c>
      <c r="W13" s="17" t="str">
        <f t="shared" si="2"/>
        <v/>
      </c>
      <c r="X13" s="17" t="str">
        <f t="shared" si="3"/>
        <v/>
      </c>
      <c r="Y13" s="17" t="str">
        <f t="shared" si="4"/>
        <v/>
      </c>
      <c r="Z13" s="77" t="str">
        <f t="shared" si="0"/>
        <v/>
      </c>
      <c r="AA13" s="53" t="str">
        <f t="shared" si="5"/>
        <v/>
      </c>
      <c r="AC13" s="21" t="s">
        <v>19</v>
      </c>
      <c r="AD13" s="22">
        <v>10</v>
      </c>
      <c r="AF13" s="21"/>
      <c r="AG13" s="17"/>
      <c r="AH13" s="17"/>
      <c r="AI13" s="77"/>
      <c r="AJ13" s="53"/>
    </row>
    <row r="14" spans="2:36" ht="15.75" thickBot="1" x14ac:dyDescent="0.3">
      <c r="B14" s="21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22"/>
      <c r="V14" s="91" t="str">
        <f t="shared" si="1"/>
        <v/>
      </c>
      <c r="W14" s="17" t="str">
        <f t="shared" si="2"/>
        <v/>
      </c>
      <c r="X14" s="17" t="str">
        <f t="shared" si="3"/>
        <v/>
      </c>
      <c r="Y14" s="17" t="str">
        <f t="shared" si="4"/>
        <v/>
      </c>
      <c r="Z14" s="77" t="str">
        <f t="shared" si="0"/>
        <v/>
      </c>
      <c r="AA14" s="53" t="str">
        <f t="shared" si="5"/>
        <v/>
      </c>
      <c r="AC14" s="2" t="s">
        <v>49</v>
      </c>
      <c r="AD14" s="96" t="s">
        <v>62</v>
      </c>
      <c r="AF14" s="45"/>
      <c r="AG14" s="75"/>
      <c r="AH14" s="75"/>
      <c r="AI14" s="94"/>
      <c r="AJ14" s="54"/>
    </row>
    <row r="15" spans="2:36" ht="15.75" thickBot="1" x14ac:dyDescent="0.3">
      <c r="B15" s="21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22"/>
      <c r="V15" s="91" t="str">
        <f t="shared" si="1"/>
        <v/>
      </c>
      <c r="W15" s="17" t="str">
        <f t="shared" ref="W15:W78" si="6">IF(B15="","",B15)</f>
        <v/>
      </c>
      <c r="X15" s="17" t="str">
        <f t="shared" si="3"/>
        <v/>
      </c>
      <c r="Y15" s="17" t="str">
        <f t="shared" si="4"/>
        <v/>
      </c>
      <c r="Z15" s="77" t="str">
        <f t="shared" si="0"/>
        <v/>
      </c>
      <c r="AA15" s="53" t="str">
        <f t="shared" si="5"/>
        <v/>
      </c>
      <c r="AF15" s="303" t="s">
        <v>63</v>
      </c>
      <c r="AG15" s="304"/>
      <c r="AH15" s="304"/>
      <c r="AI15" s="93">
        <f>SUM(AI4:AI14)</f>
        <v>0</v>
      </c>
      <c r="AJ15" s="46"/>
    </row>
    <row r="16" spans="2:36" x14ac:dyDescent="0.25">
      <c r="B16" s="21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22"/>
      <c r="V16" s="91" t="str">
        <f t="shared" si="1"/>
        <v/>
      </c>
      <c r="W16" s="17" t="str">
        <f t="shared" si="6"/>
        <v/>
      </c>
      <c r="X16" s="17" t="str">
        <f t="shared" si="3"/>
        <v/>
      </c>
      <c r="Y16" s="17" t="str">
        <f t="shared" si="4"/>
        <v/>
      </c>
      <c r="Z16" s="77" t="str">
        <f t="shared" si="0"/>
        <v/>
      </c>
      <c r="AA16" s="53" t="str">
        <f t="shared" si="5"/>
        <v/>
      </c>
    </row>
    <row r="17" spans="2:36" ht="15.75" thickBot="1" x14ac:dyDescent="0.3">
      <c r="B17" s="21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22"/>
      <c r="V17" s="91" t="str">
        <f t="shared" si="1"/>
        <v/>
      </c>
      <c r="W17" s="17" t="str">
        <f t="shared" si="6"/>
        <v/>
      </c>
      <c r="X17" s="17" t="str">
        <f t="shared" si="3"/>
        <v/>
      </c>
      <c r="Y17" s="17" t="str">
        <f t="shared" si="4"/>
        <v/>
      </c>
      <c r="Z17" s="77" t="str">
        <f t="shared" si="0"/>
        <v/>
      </c>
      <c r="AA17" s="53" t="str">
        <f t="shared" si="5"/>
        <v/>
      </c>
      <c r="AF17" t="s">
        <v>8</v>
      </c>
      <c r="AG17" s="6">
        <f>Dashboard!U32</f>
        <v>10</v>
      </c>
    </row>
    <row r="18" spans="2:36" ht="15.75" thickBot="1" x14ac:dyDescent="0.3">
      <c r="B18" s="21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22"/>
      <c r="V18" s="91" t="str">
        <f t="shared" si="1"/>
        <v/>
      </c>
      <c r="W18" s="17" t="str">
        <f t="shared" si="6"/>
        <v/>
      </c>
      <c r="X18" s="17" t="str">
        <f t="shared" si="3"/>
        <v/>
      </c>
      <c r="Y18" s="17" t="str">
        <f t="shared" si="4"/>
        <v/>
      </c>
      <c r="Z18" s="77" t="str">
        <f t="shared" si="0"/>
        <v/>
      </c>
      <c r="AA18" s="53" t="str">
        <f t="shared" si="5"/>
        <v/>
      </c>
      <c r="AF18" s="26" t="s">
        <v>59</v>
      </c>
      <c r="AG18" s="79" t="s">
        <v>35</v>
      </c>
      <c r="AH18" s="79" t="s">
        <v>7</v>
      </c>
      <c r="AI18" s="79" t="s">
        <v>60</v>
      </c>
      <c r="AJ18" s="27" t="s">
        <v>16</v>
      </c>
    </row>
    <row r="19" spans="2:36" x14ac:dyDescent="0.25">
      <c r="B19" s="21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22"/>
      <c r="V19" s="91" t="str">
        <f t="shared" si="1"/>
        <v/>
      </c>
      <c r="W19" s="17" t="str">
        <f t="shared" si="6"/>
        <v/>
      </c>
      <c r="X19" s="17" t="str">
        <f t="shared" si="3"/>
        <v/>
      </c>
      <c r="Y19" s="17" t="str">
        <f t="shared" si="4"/>
        <v/>
      </c>
      <c r="Z19" s="77" t="str">
        <f t="shared" si="0"/>
        <v/>
      </c>
      <c r="AA19" s="53" t="str">
        <f t="shared" si="5"/>
        <v/>
      </c>
      <c r="AF19" s="18" t="str" cm="1">
        <f t="array" ref="AF19">_xlfn._xlws.FILTER($W$4:$AA$100,$V$4:$V$100=AG17,"")</f>
        <v/>
      </c>
      <c r="AG19" s="19"/>
      <c r="AH19" s="19"/>
      <c r="AI19" s="82"/>
      <c r="AJ19" s="52"/>
    </row>
    <row r="20" spans="2:36" x14ac:dyDescent="0.25">
      <c r="B20" s="21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22"/>
      <c r="V20" s="91" t="str">
        <f t="shared" si="1"/>
        <v/>
      </c>
      <c r="W20" s="17" t="str">
        <f t="shared" si="6"/>
        <v/>
      </c>
      <c r="X20" s="17" t="str">
        <f t="shared" si="3"/>
        <v/>
      </c>
      <c r="Y20" s="17" t="str">
        <f t="shared" si="4"/>
        <v/>
      </c>
      <c r="Z20" s="77" t="str">
        <f t="shared" si="0"/>
        <v/>
      </c>
      <c r="AA20" s="53" t="str">
        <f t="shared" si="5"/>
        <v/>
      </c>
      <c r="AF20" s="21"/>
      <c r="AG20" s="17"/>
      <c r="AH20" s="17"/>
      <c r="AI20" s="77"/>
      <c r="AJ20" s="53"/>
    </row>
    <row r="21" spans="2:36" x14ac:dyDescent="0.25">
      <c r="B21" s="21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22"/>
      <c r="V21" s="91" t="str">
        <f t="shared" si="1"/>
        <v/>
      </c>
      <c r="W21" s="17" t="str">
        <f t="shared" si="6"/>
        <v/>
      </c>
      <c r="X21" s="17" t="str">
        <f t="shared" si="3"/>
        <v/>
      </c>
      <c r="Y21" s="17" t="str">
        <f t="shared" si="4"/>
        <v/>
      </c>
      <c r="Z21" s="77" t="str">
        <f t="shared" si="0"/>
        <v/>
      </c>
      <c r="AA21" s="53" t="str">
        <f t="shared" si="5"/>
        <v/>
      </c>
      <c r="AF21" s="21"/>
      <c r="AG21" s="17"/>
      <c r="AH21" s="17"/>
      <c r="AI21" s="77"/>
      <c r="AJ21" s="53"/>
    </row>
    <row r="22" spans="2:36" x14ac:dyDescent="0.25">
      <c r="B22" s="21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22"/>
      <c r="V22" s="91" t="str">
        <f t="shared" si="1"/>
        <v/>
      </c>
      <c r="W22" s="17" t="str">
        <f t="shared" si="6"/>
        <v/>
      </c>
      <c r="X22" s="17" t="str">
        <f t="shared" si="3"/>
        <v/>
      </c>
      <c r="Y22" s="17" t="str">
        <f t="shared" si="4"/>
        <v/>
      </c>
      <c r="Z22" s="77" t="str">
        <f t="shared" si="0"/>
        <v/>
      </c>
      <c r="AA22" s="53" t="str">
        <f t="shared" si="5"/>
        <v/>
      </c>
      <c r="AF22" s="21"/>
      <c r="AG22" s="17"/>
      <c r="AH22" s="17"/>
      <c r="AI22" s="77"/>
      <c r="AJ22" s="53"/>
    </row>
    <row r="23" spans="2:36" x14ac:dyDescent="0.25">
      <c r="B23" s="21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22"/>
      <c r="V23" s="91" t="str">
        <f t="shared" si="1"/>
        <v/>
      </c>
      <c r="W23" s="17" t="str">
        <f t="shared" si="6"/>
        <v/>
      </c>
      <c r="X23" s="17" t="str">
        <f t="shared" si="3"/>
        <v/>
      </c>
      <c r="Y23" s="17" t="str">
        <f t="shared" si="4"/>
        <v/>
      </c>
      <c r="Z23" s="77" t="str">
        <f t="shared" si="0"/>
        <v/>
      </c>
      <c r="AA23" s="53" t="str">
        <f t="shared" si="5"/>
        <v/>
      </c>
      <c r="AF23" s="21"/>
      <c r="AG23" s="17"/>
      <c r="AH23" s="17"/>
      <c r="AI23" s="77"/>
      <c r="AJ23" s="53"/>
    </row>
    <row r="24" spans="2:36" x14ac:dyDescent="0.25">
      <c r="B24" s="21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22"/>
      <c r="V24" s="91" t="str">
        <f t="shared" si="1"/>
        <v/>
      </c>
      <c r="W24" s="17" t="str">
        <f t="shared" si="6"/>
        <v/>
      </c>
      <c r="X24" s="17" t="str">
        <f t="shared" si="3"/>
        <v/>
      </c>
      <c r="Y24" s="17" t="str">
        <f t="shared" si="4"/>
        <v/>
      </c>
      <c r="Z24" s="77" t="str">
        <f t="shared" si="0"/>
        <v/>
      </c>
      <c r="AA24" s="53" t="str">
        <f t="shared" si="5"/>
        <v/>
      </c>
      <c r="AF24" s="21"/>
      <c r="AG24" s="17"/>
      <c r="AH24" s="17"/>
      <c r="AI24" s="77"/>
      <c r="AJ24" s="53"/>
    </row>
    <row r="25" spans="2:36" x14ac:dyDescent="0.25">
      <c r="B25" s="21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22"/>
      <c r="V25" s="91" t="str">
        <f t="shared" si="1"/>
        <v/>
      </c>
      <c r="W25" s="17" t="str">
        <f t="shared" si="6"/>
        <v/>
      </c>
      <c r="X25" s="17" t="str">
        <f t="shared" si="3"/>
        <v/>
      </c>
      <c r="Y25" s="17" t="str">
        <f t="shared" si="4"/>
        <v/>
      </c>
      <c r="Z25" s="77" t="str">
        <f t="shared" si="0"/>
        <v/>
      </c>
      <c r="AA25" s="53" t="str">
        <f t="shared" si="5"/>
        <v/>
      </c>
      <c r="AF25" s="21"/>
      <c r="AG25" s="17"/>
      <c r="AH25" s="17"/>
      <c r="AI25" s="77"/>
      <c r="AJ25" s="53"/>
    </row>
    <row r="26" spans="2:36" x14ac:dyDescent="0.25">
      <c r="B26" s="21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22"/>
      <c r="V26" s="91" t="str">
        <f t="shared" si="1"/>
        <v/>
      </c>
      <c r="W26" s="17" t="str">
        <f t="shared" si="6"/>
        <v/>
      </c>
      <c r="X26" s="17" t="str">
        <f t="shared" si="3"/>
        <v/>
      </c>
      <c r="Y26" s="17" t="str">
        <f t="shared" si="4"/>
        <v/>
      </c>
      <c r="Z26" s="77" t="str">
        <f t="shared" si="0"/>
        <v/>
      </c>
      <c r="AA26" s="53" t="str">
        <f t="shared" si="5"/>
        <v/>
      </c>
      <c r="AF26" s="21"/>
      <c r="AG26" s="17"/>
      <c r="AH26" s="17"/>
      <c r="AI26" s="77"/>
      <c r="AJ26" s="53"/>
    </row>
    <row r="27" spans="2:36" x14ac:dyDescent="0.25">
      <c r="B27" s="21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22"/>
      <c r="V27" s="91" t="str">
        <f t="shared" si="1"/>
        <v/>
      </c>
      <c r="W27" s="17" t="str">
        <f t="shared" si="6"/>
        <v/>
      </c>
      <c r="X27" s="17" t="str">
        <f t="shared" si="3"/>
        <v/>
      </c>
      <c r="Y27" s="17" t="str">
        <f t="shared" si="4"/>
        <v/>
      </c>
      <c r="Z27" s="77" t="str">
        <f t="shared" si="0"/>
        <v/>
      </c>
      <c r="AA27" s="53" t="str">
        <f t="shared" si="5"/>
        <v/>
      </c>
      <c r="AF27" s="21"/>
      <c r="AG27" s="17"/>
      <c r="AH27" s="17"/>
      <c r="AI27" s="77"/>
      <c r="AJ27" s="53"/>
    </row>
    <row r="28" spans="2:36" x14ac:dyDescent="0.25">
      <c r="B28" s="21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22"/>
      <c r="V28" s="91" t="str">
        <f t="shared" si="1"/>
        <v/>
      </c>
      <c r="W28" s="17" t="str">
        <f t="shared" si="6"/>
        <v/>
      </c>
      <c r="X28" s="17" t="str">
        <f t="shared" si="3"/>
        <v/>
      </c>
      <c r="Y28" s="17" t="str">
        <f t="shared" si="4"/>
        <v/>
      </c>
      <c r="Z28" s="77" t="str">
        <f t="shared" si="0"/>
        <v/>
      </c>
      <c r="AA28" s="53" t="str">
        <f t="shared" si="5"/>
        <v/>
      </c>
      <c r="AF28" s="21"/>
      <c r="AG28" s="17"/>
      <c r="AH28" s="17"/>
      <c r="AI28" s="77"/>
      <c r="AJ28" s="53"/>
    </row>
    <row r="29" spans="2:36" ht="15.75" thickBot="1" x14ac:dyDescent="0.3">
      <c r="B29" s="21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22"/>
      <c r="V29" s="91" t="str">
        <f t="shared" si="1"/>
        <v/>
      </c>
      <c r="W29" s="17" t="str">
        <f t="shared" si="6"/>
        <v/>
      </c>
      <c r="X29" s="17" t="str">
        <f t="shared" si="3"/>
        <v/>
      </c>
      <c r="Y29" s="17" t="str">
        <f t="shared" si="4"/>
        <v/>
      </c>
      <c r="Z29" s="77" t="str">
        <f t="shared" si="0"/>
        <v/>
      </c>
      <c r="AA29" s="53" t="str">
        <f t="shared" si="5"/>
        <v/>
      </c>
      <c r="AF29" s="45"/>
      <c r="AG29" s="75"/>
      <c r="AH29" s="75"/>
      <c r="AI29" s="94"/>
      <c r="AJ29" s="54"/>
    </row>
    <row r="30" spans="2:36" ht="15.75" thickBot="1" x14ac:dyDescent="0.3">
      <c r="B30" s="21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22"/>
      <c r="V30" s="91" t="str">
        <f t="shared" si="1"/>
        <v/>
      </c>
      <c r="W30" s="17" t="str">
        <f t="shared" si="6"/>
        <v/>
      </c>
      <c r="X30" s="17" t="str">
        <f t="shared" si="3"/>
        <v/>
      </c>
      <c r="Y30" s="17" t="str">
        <f t="shared" si="4"/>
        <v/>
      </c>
      <c r="Z30" s="77" t="str">
        <f t="shared" si="0"/>
        <v/>
      </c>
      <c r="AA30" s="53" t="str">
        <f t="shared" si="5"/>
        <v/>
      </c>
      <c r="AF30" s="303" t="s">
        <v>63</v>
      </c>
      <c r="AG30" s="304"/>
      <c r="AH30" s="304"/>
      <c r="AI30" s="93">
        <f>SUM(AI19:AI29)</f>
        <v>0</v>
      </c>
      <c r="AJ30" s="46"/>
    </row>
    <row r="31" spans="2:36" x14ac:dyDescent="0.25">
      <c r="B31" s="21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22"/>
      <c r="V31" s="91" t="str">
        <f t="shared" si="1"/>
        <v/>
      </c>
      <c r="W31" s="17" t="str">
        <f t="shared" si="6"/>
        <v/>
      </c>
      <c r="X31" s="17" t="str">
        <f t="shared" si="3"/>
        <v/>
      </c>
      <c r="Y31" s="17" t="str">
        <f t="shared" si="4"/>
        <v/>
      </c>
      <c r="Z31" s="77" t="str">
        <f t="shared" si="0"/>
        <v/>
      </c>
      <c r="AA31" s="53" t="str">
        <f t="shared" si="5"/>
        <v/>
      </c>
    </row>
    <row r="32" spans="2:36" ht="15.75" thickBot="1" x14ac:dyDescent="0.3">
      <c r="B32" s="21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22"/>
      <c r="V32" s="91" t="str">
        <f t="shared" si="1"/>
        <v/>
      </c>
      <c r="W32" s="17" t="str">
        <f t="shared" si="6"/>
        <v/>
      </c>
      <c r="X32" s="17" t="str">
        <f t="shared" si="3"/>
        <v/>
      </c>
      <c r="Y32" s="17" t="str">
        <f t="shared" si="4"/>
        <v/>
      </c>
      <c r="Z32" s="77" t="str">
        <f t="shared" si="0"/>
        <v/>
      </c>
      <c r="AA32" s="53" t="str">
        <f t="shared" si="5"/>
        <v/>
      </c>
      <c r="AF32" t="s">
        <v>8</v>
      </c>
      <c r="AG32" s="6">
        <f>Dashboard!AN32</f>
        <v>11</v>
      </c>
    </row>
    <row r="33" spans="2:36" ht="15.75" thickBot="1" x14ac:dyDescent="0.3">
      <c r="B33" s="21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22"/>
      <c r="V33" s="91" t="str">
        <f t="shared" si="1"/>
        <v/>
      </c>
      <c r="W33" s="17" t="str">
        <f t="shared" si="6"/>
        <v/>
      </c>
      <c r="X33" s="17" t="str">
        <f t="shared" si="3"/>
        <v/>
      </c>
      <c r="Y33" s="17" t="str">
        <f t="shared" si="4"/>
        <v/>
      </c>
      <c r="Z33" s="77" t="str">
        <f t="shared" si="0"/>
        <v/>
      </c>
      <c r="AA33" s="53" t="str">
        <f t="shared" si="5"/>
        <v/>
      </c>
      <c r="AF33" s="26" t="s">
        <v>59</v>
      </c>
      <c r="AG33" s="79" t="s">
        <v>35</v>
      </c>
      <c r="AH33" s="79" t="s">
        <v>7</v>
      </c>
      <c r="AI33" s="79" t="s">
        <v>60</v>
      </c>
      <c r="AJ33" s="27" t="s">
        <v>16</v>
      </c>
    </row>
    <row r="34" spans="2:36" x14ac:dyDescent="0.25">
      <c r="B34" s="21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22"/>
      <c r="V34" s="91" t="str">
        <f t="shared" si="1"/>
        <v/>
      </c>
      <c r="W34" s="17" t="str">
        <f t="shared" si="6"/>
        <v/>
      </c>
      <c r="X34" s="17" t="str">
        <f t="shared" si="3"/>
        <v/>
      </c>
      <c r="Y34" s="17" t="str">
        <f t="shared" si="4"/>
        <v/>
      </c>
      <c r="Z34" s="77" t="str">
        <f t="shared" si="0"/>
        <v/>
      </c>
      <c r="AA34" s="53" t="str">
        <f t="shared" si="5"/>
        <v/>
      </c>
      <c r="AF34" s="18" t="str" cm="1">
        <f t="array" ref="AF34">_xlfn._xlws.FILTER($W$4:$AA$100,$V$4:$V$100=AG32,"")</f>
        <v/>
      </c>
      <c r="AG34" s="19"/>
      <c r="AH34" s="19"/>
      <c r="AI34" s="82"/>
      <c r="AJ34" s="52"/>
    </row>
    <row r="35" spans="2:36" x14ac:dyDescent="0.25">
      <c r="B35" s="21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22"/>
      <c r="V35" s="91" t="str">
        <f t="shared" si="1"/>
        <v/>
      </c>
      <c r="W35" s="17" t="str">
        <f t="shared" si="6"/>
        <v/>
      </c>
      <c r="X35" s="17" t="str">
        <f t="shared" si="3"/>
        <v/>
      </c>
      <c r="Y35" s="17" t="str">
        <f t="shared" si="4"/>
        <v/>
      </c>
      <c r="Z35" s="77" t="str">
        <f t="shared" si="0"/>
        <v/>
      </c>
      <c r="AA35" s="53" t="str">
        <f t="shared" si="5"/>
        <v/>
      </c>
      <c r="AF35" s="21"/>
      <c r="AG35" s="17"/>
      <c r="AH35" s="17"/>
      <c r="AI35" s="77"/>
      <c r="AJ35" s="53"/>
    </row>
    <row r="36" spans="2:36" x14ac:dyDescent="0.25">
      <c r="B36" s="21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22"/>
      <c r="V36" s="91" t="str">
        <f t="shared" si="1"/>
        <v/>
      </c>
      <c r="W36" s="17" t="str">
        <f t="shared" si="6"/>
        <v/>
      </c>
      <c r="X36" s="17" t="str">
        <f t="shared" si="3"/>
        <v/>
      </c>
      <c r="Y36" s="17" t="str">
        <f t="shared" si="4"/>
        <v/>
      </c>
      <c r="Z36" s="77" t="str">
        <f t="shared" ref="Z36:Z67" si="7">IF(B36="","",IF(G36=$C$2,I36,L36))</f>
        <v/>
      </c>
      <c r="AA36" s="53" t="str">
        <f t="shared" si="5"/>
        <v/>
      </c>
      <c r="AF36" s="21"/>
      <c r="AG36" s="17"/>
      <c r="AH36" s="17"/>
      <c r="AI36" s="77"/>
      <c r="AJ36" s="53"/>
    </row>
    <row r="37" spans="2:36" x14ac:dyDescent="0.25">
      <c r="B37" s="21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22"/>
      <c r="V37" s="91" t="str">
        <f t="shared" si="1"/>
        <v/>
      </c>
      <c r="W37" s="17" t="str">
        <f t="shared" si="6"/>
        <v/>
      </c>
      <c r="X37" s="17" t="str">
        <f t="shared" si="3"/>
        <v/>
      </c>
      <c r="Y37" s="17" t="str">
        <f t="shared" si="4"/>
        <v/>
      </c>
      <c r="Z37" s="77" t="str">
        <f t="shared" si="7"/>
        <v/>
      </c>
      <c r="AA37" s="53" t="str">
        <f t="shared" si="5"/>
        <v/>
      </c>
      <c r="AF37" s="21"/>
      <c r="AG37" s="17"/>
      <c r="AH37" s="17"/>
      <c r="AI37" s="77"/>
      <c r="AJ37" s="53"/>
    </row>
    <row r="38" spans="2:36" x14ac:dyDescent="0.25">
      <c r="B38" s="21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22"/>
      <c r="V38" s="91" t="str">
        <f t="shared" si="1"/>
        <v/>
      </c>
      <c r="W38" s="17" t="str">
        <f t="shared" si="6"/>
        <v/>
      </c>
      <c r="X38" s="17" t="str">
        <f t="shared" si="3"/>
        <v/>
      </c>
      <c r="Y38" s="17" t="str">
        <f t="shared" si="4"/>
        <v/>
      </c>
      <c r="Z38" s="77" t="str">
        <f t="shared" si="7"/>
        <v/>
      </c>
      <c r="AA38" s="53" t="str">
        <f t="shared" si="5"/>
        <v/>
      </c>
      <c r="AF38" s="21"/>
      <c r="AG38" s="17"/>
      <c r="AH38" s="17"/>
      <c r="AI38" s="77"/>
      <c r="AJ38" s="53"/>
    </row>
    <row r="39" spans="2:36" x14ac:dyDescent="0.25">
      <c r="B39" s="21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22"/>
      <c r="V39" s="91" t="str">
        <f t="shared" si="1"/>
        <v/>
      </c>
      <c r="W39" s="17" t="str">
        <f t="shared" si="6"/>
        <v/>
      </c>
      <c r="X39" s="17" t="str">
        <f t="shared" si="3"/>
        <v/>
      </c>
      <c r="Y39" s="17" t="str">
        <f t="shared" si="4"/>
        <v/>
      </c>
      <c r="Z39" s="17" t="str">
        <f t="shared" si="7"/>
        <v/>
      </c>
      <c r="AA39" s="53" t="str">
        <f t="shared" si="5"/>
        <v/>
      </c>
      <c r="AF39" s="21"/>
      <c r="AG39" s="17"/>
      <c r="AH39" s="17"/>
      <c r="AI39" s="77"/>
      <c r="AJ39" s="53"/>
    </row>
    <row r="40" spans="2:36" x14ac:dyDescent="0.25">
      <c r="B40" s="21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22"/>
      <c r="V40" s="91" t="str">
        <f t="shared" si="1"/>
        <v/>
      </c>
      <c r="W40" s="17" t="str">
        <f t="shared" si="6"/>
        <v/>
      </c>
      <c r="X40" s="17" t="str">
        <f t="shared" si="3"/>
        <v/>
      </c>
      <c r="Y40" s="17" t="str">
        <f t="shared" si="4"/>
        <v/>
      </c>
      <c r="Z40" s="17" t="str">
        <f t="shared" si="7"/>
        <v/>
      </c>
      <c r="AA40" s="53" t="str">
        <f t="shared" si="5"/>
        <v/>
      </c>
      <c r="AF40" s="21"/>
      <c r="AG40" s="17"/>
      <c r="AH40" s="17"/>
      <c r="AI40" s="77"/>
      <c r="AJ40" s="53"/>
    </row>
    <row r="41" spans="2:36" x14ac:dyDescent="0.25">
      <c r="B41" s="21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22"/>
      <c r="V41" s="91" t="str">
        <f t="shared" si="1"/>
        <v/>
      </c>
      <c r="W41" s="17" t="str">
        <f t="shared" si="6"/>
        <v/>
      </c>
      <c r="X41" s="17" t="str">
        <f t="shared" si="3"/>
        <v/>
      </c>
      <c r="Y41" s="17" t="str">
        <f t="shared" si="4"/>
        <v/>
      </c>
      <c r="Z41" s="17" t="str">
        <f t="shared" si="7"/>
        <v/>
      </c>
      <c r="AA41" s="53" t="str">
        <f t="shared" si="5"/>
        <v/>
      </c>
      <c r="AF41" s="21"/>
      <c r="AG41" s="17"/>
      <c r="AH41" s="17"/>
      <c r="AI41" s="77"/>
      <c r="AJ41" s="53"/>
    </row>
    <row r="42" spans="2:36" x14ac:dyDescent="0.25">
      <c r="B42" s="21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22"/>
      <c r="V42" s="91" t="str">
        <f t="shared" si="1"/>
        <v/>
      </c>
      <c r="W42" s="17" t="str">
        <f t="shared" si="6"/>
        <v/>
      </c>
      <c r="X42" s="17" t="str">
        <f t="shared" si="3"/>
        <v/>
      </c>
      <c r="Y42" s="17" t="str">
        <f t="shared" si="4"/>
        <v/>
      </c>
      <c r="Z42" s="17" t="str">
        <f t="shared" si="7"/>
        <v/>
      </c>
      <c r="AA42" s="53" t="str">
        <f t="shared" si="5"/>
        <v/>
      </c>
      <c r="AF42" s="21"/>
      <c r="AG42" s="17"/>
      <c r="AH42" s="17"/>
      <c r="AI42" s="77"/>
      <c r="AJ42" s="53"/>
    </row>
    <row r="43" spans="2:36" x14ac:dyDescent="0.25">
      <c r="B43" s="21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22"/>
      <c r="V43" s="91" t="str">
        <f t="shared" si="1"/>
        <v/>
      </c>
      <c r="W43" s="17" t="str">
        <f t="shared" si="6"/>
        <v/>
      </c>
      <c r="X43" s="17" t="str">
        <f t="shared" si="3"/>
        <v/>
      </c>
      <c r="Y43" s="17" t="str">
        <f t="shared" si="4"/>
        <v/>
      </c>
      <c r="Z43" s="17" t="str">
        <f t="shared" si="7"/>
        <v/>
      </c>
      <c r="AA43" s="53" t="str">
        <f t="shared" si="5"/>
        <v/>
      </c>
      <c r="AF43" s="21"/>
      <c r="AG43" s="17"/>
      <c r="AH43" s="17"/>
      <c r="AI43" s="77"/>
      <c r="AJ43" s="53"/>
    </row>
    <row r="44" spans="2:36" ht="15.75" thickBot="1" x14ac:dyDescent="0.3">
      <c r="B44" s="21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22"/>
      <c r="V44" s="91" t="str">
        <f t="shared" si="1"/>
        <v/>
      </c>
      <c r="W44" s="17" t="str">
        <f t="shared" si="6"/>
        <v/>
      </c>
      <c r="X44" s="17" t="str">
        <f t="shared" si="3"/>
        <v/>
      </c>
      <c r="Y44" s="17" t="str">
        <f t="shared" si="4"/>
        <v/>
      </c>
      <c r="Z44" s="17" t="str">
        <f t="shared" si="7"/>
        <v/>
      </c>
      <c r="AA44" s="53" t="str">
        <f t="shared" si="5"/>
        <v/>
      </c>
      <c r="AF44" s="45"/>
      <c r="AG44" s="75"/>
      <c r="AH44" s="75"/>
      <c r="AI44" s="94"/>
      <c r="AJ44" s="54"/>
    </row>
    <row r="45" spans="2:36" ht="15.75" thickBot="1" x14ac:dyDescent="0.3">
      <c r="B45" s="21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22"/>
      <c r="V45" s="91" t="str">
        <f t="shared" si="1"/>
        <v/>
      </c>
      <c r="W45" s="17" t="str">
        <f t="shared" si="6"/>
        <v/>
      </c>
      <c r="X45" s="17" t="str">
        <f t="shared" si="3"/>
        <v/>
      </c>
      <c r="Y45" s="17" t="str">
        <f t="shared" si="4"/>
        <v/>
      </c>
      <c r="Z45" s="17" t="str">
        <f t="shared" si="7"/>
        <v/>
      </c>
      <c r="AA45" s="53" t="str">
        <f t="shared" si="5"/>
        <v/>
      </c>
      <c r="AF45" s="303" t="s">
        <v>63</v>
      </c>
      <c r="AG45" s="304"/>
      <c r="AH45" s="304"/>
      <c r="AI45" s="93">
        <f>SUM(AI34:AI44)</f>
        <v>0</v>
      </c>
      <c r="AJ45" s="46"/>
    </row>
    <row r="46" spans="2:36" x14ac:dyDescent="0.25">
      <c r="B46" s="21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22"/>
      <c r="V46" s="91" t="str">
        <f t="shared" si="1"/>
        <v/>
      </c>
      <c r="W46" s="17" t="str">
        <f t="shared" si="6"/>
        <v/>
      </c>
      <c r="X46" s="17" t="str">
        <f t="shared" si="3"/>
        <v/>
      </c>
      <c r="Y46" s="17" t="str">
        <f t="shared" si="4"/>
        <v/>
      </c>
      <c r="Z46" s="17" t="str">
        <f t="shared" si="7"/>
        <v/>
      </c>
      <c r="AA46" s="53" t="str">
        <f t="shared" si="5"/>
        <v/>
      </c>
    </row>
    <row r="47" spans="2:36" x14ac:dyDescent="0.25">
      <c r="B47" s="21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22"/>
      <c r="V47" s="91" t="str">
        <f t="shared" si="1"/>
        <v/>
      </c>
      <c r="W47" s="17" t="str">
        <f t="shared" si="6"/>
        <v/>
      </c>
      <c r="X47" s="17" t="str">
        <f t="shared" si="3"/>
        <v/>
      </c>
      <c r="Y47" s="17" t="str">
        <f t="shared" si="4"/>
        <v/>
      </c>
      <c r="Z47" s="17" t="str">
        <f t="shared" si="7"/>
        <v/>
      </c>
      <c r="AA47" s="53" t="str">
        <f t="shared" si="5"/>
        <v/>
      </c>
    </row>
    <row r="48" spans="2:36" x14ac:dyDescent="0.25">
      <c r="B48" s="21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22"/>
      <c r="V48" s="91" t="str">
        <f t="shared" si="1"/>
        <v/>
      </c>
      <c r="W48" s="17" t="str">
        <f t="shared" si="6"/>
        <v/>
      </c>
      <c r="X48" s="17" t="str">
        <f t="shared" si="3"/>
        <v/>
      </c>
      <c r="Y48" s="17" t="str">
        <f t="shared" si="4"/>
        <v/>
      </c>
      <c r="Z48" s="17" t="str">
        <f t="shared" si="7"/>
        <v/>
      </c>
      <c r="AA48" s="53" t="str">
        <f t="shared" si="5"/>
        <v/>
      </c>
    </row>
    <row r="49" spans="2:27" x14ac:dyDescent="0.25">
      <c r="B49" s="21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22"/>
      <c r="V49" s="91" t="str">
        <f t="shared" si="1"/>
        <v/>
      </c>
      <c r="W49" s="17" t="str">
        <f t="shared" si="6"/>
        <v/>
      </c>
      <c r="X49" s="17" t="str">
        <f t="shared" si="3"/>
        <v/>
      </c>
      <c r="Y49" s="17" t="str">
        <f t="shared" si="4"/>
        <v/>
      </c>
      <c r="Z49" s="17" t="str">
        <f t="shared" si="7"/>
        <v/>
      </c>
      <c r="AA49" s="53" t="str">
        <f t="shared" si="5"/>
        <v/>
      </c>
    </row>
    <row r="50" spans="2:27" x14ac:dyDescent="0.25">
      <c r="B50" s="21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22"/>
      <c r="V50" s="91" t="str">
        <f t="shared" si="1"/>
        <v/>
      </c>
      <c r="W50" s="17" t="str">
        <f t="shared" si="6"/>
        <v/>
      </c>
      <c r="X50" s="17" t="str">
        <f t="shared" si="3"/>
        <v/>
      </c>
      <c r="Y50" s="17" t="str">
        <f t="shared" si="4"/>
        <v/>
      </c>
      <c r="Z50" s="17" t="str">
        <f t="shared" si="7"/>
        <v/>
      </c>
      <c r="AA50" s="53" t="str">
        <f t="shared" si="5"/>
        <v/>
      </c>
    </row>
    <row r="51" spans="2:27" x14ac:dyDescent="0.25">
      <c r="B51" s="21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22"/>
      <c r="V51" s="91" t="str">
        <f t="shared" si="1"/>
        <v/>
      </c>
      <c r="W51" s="17" t="str">
        <f t="shared" si="6"/>
        <v/>
      </c>
      <c r="X51" s="17" t="str">
        <f t="shared" si="3"/>
        <v/>
      </c>
      <c r="Y51" s="17" t="str">
        <f t="shared" si="4"/>
        <v/>
      </c>
      <c r="Z51" s="17" t="str">
        <f t="shared" si="7"/>
        <v/>
      </c>
      <c r="AA51" s="53" t="str">
        <f t="shared" si="5"/>
        <v/>
      </c>
    </row>
    <row r="52" spans="2:27" x14ac:dyDescent="0.25">
      <c r="B52" s="21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22"/>
      <c r="V52" s="91" t="str">
        <f t="shared" si="1"/>
        <v/>
      </c>
      <c r="W52" s="17" t="str">
        <f t="shared" si="6"/>
        <v/>
      </c>
      <c r="X52" s="17" t="str">
        <f t="shared" si="3"/>
        <v/>
      </c>
      <c r="Y52" s="17" t="str">
        <f t="shared" si="4"/>
        <v/>
      </c>
      <c r="Z52" s="17" t="str">
        <f t="shared" si="7"/>
        <v/>
      </c>
      <c r="AA52" s="53" t="str">
        <f t="shared" si="5"/>
        <v/>
      </c>
    </row>
    <row r="53" spans="2:27" x14ac:dyDescent="0.25">
      <c r="B53" s="21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22"/>
      <c r="V53" s="91" t="str">
        <f t="shared" si="1"/>
        <v/>
      </c>
      <c r="W53" s="17" t="str">
        <f t="shared" si="6"/>
        <v/>
      </c>
      <c r="X53" s="17" t="str">
        <f t="shared" si="3"/>
        <v/>
      </c>
      <c r="Y53" s="17" t="str">
        <f t="shared" si="4"/>
        <v/>
      </c>
      <c r="Z53" s="17" t="str">
        <f t="shared" si="7"/>
        <v/>
      </c>
      <c r="AA53" s="53" t="str">
        <f t="shared" si="5"/>
        <v/>
      </c>
    </row>
    <row r="54" spans="2:27" x14ac:dyDescent="0.25">
      <c r="B54" s="21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22"/>
      <c r="V54" s="91" t="str">
        <f t="shared" si="1"/>
        <v/>
      </c>
      <c r="W54" s="17" t="str">
        <f t="shared" si="6"/>
        <v/>
      </c>
      <c r="X54" s="17" t="str">
        <f t="shared" si="3"/>
        <v/>
      </c>
      <c r="Y54" s="17" t="str">
        <f t="shared" si="4"/>
        <v/>
      </c>
      <c r="Z54" s="17" t="str">
        <f t="shared" si="7"/>
        <v/>
      </c>
      <c r="AA54" s="53" t="str">
        <f t="shared" si="5"/>
        <v/>
      </c>
    </row>
    <row r="55" spans="2:27" x14ac:dyDescent="0.25">
      <c r="B55" s="21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22"/>
      <c r="V55" s="91" t="str">
        <f t="shared" si="1"/>
        <v/>
      </c>
      <c r="W55" s="17" t="str">
        <f t="shared" si="6"/>
        <v/>
      </c>
      <c r="X55" s="17" t="str">
        <f t="shared" si="3"/>
        <v/>
      </c>
      <c r="Y55" s="17" t="str">
        <f t="shared" si="4"/>
        <v/>
      </c>
      <c r="Z55" s="17" t="str">
        <f t="shared" si="7"/>
        <v/>
      </c>
      <c r="AA55" s="53" t="str">
        <f t="shared" si="5"/>
        <v/>
      </c>
    </row>
    <row r="56" spans="2:27" x14ac:dyDescent="0.25">
      <c r="B56" s="21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22"/>
      <c r="V56" s="91" t="str">
        <f t="shared" si="1"/>
        <v/>
      </c>
      <c r="W56" s="17" t="str">
        <f t="shared" si="6"/>
        <v/>
      </c>
      <c r="X56" s="17" t="str">
        <f t="shared" si="3"/>
        <v/>
      </c>
      <c r="Y56" s="17" t="str">
        <f t="shared" si="4"/>
        <v/>
      </c>
      <c r="Z56" s="17" t="str">
        <f t="shared" si="7"/>
        <v/>
      </c>
      <c r="AA56" s="53" t="str">
        <f t="shared" si="5"/>
        <v/>
      </c>
    </row>
    <row r="57" spans="2:27" x14ac:dyDescent="0.25">
      <c r="B57" s="21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22"/>
      <c r="V57" s="91" t="str">
        <f t="shared" si="1"/>
        <v/>
      </c>
      <c r="W57" s="17" t="str">
        <f t="shared" si="6"/>
        <v/>
      </c>
      <c r="X57" s="17" t="str">
        <f t="shared" si="3"/>
        <v/>
      </c>
      <c r="Y57" s="17" t="str">
        <f t="shared" si="4"/>
        <v/>
      </c>
      <c r="Z57" s="17" t="str">
        <f t="shared" si="7"/>
        <v/>
      </c>
      <c r="AA57" s="53" t="str">
        <f t="shared" si="5"/>
        <v/>
      </c>
    </row>
    <row r="58" spans="2:27" x14ac:dyDescent="0.25">
      <c r="B58" s="21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22"/>
      <c r="V58" s="91" t="str">
        <f t="shared" si="1"/>
        <v/>
      </c>
      <c r="W58" s="17" t="str">
        <f t="shared" si="6"/>
        <v/>
      </c>
      <c r="X58" s="17" t="str">
        <f t="shared" si="3"/>
        <v/>
      </c>
      <c r="Y58" s="17" t="str">
        <f t="shared" si="4"/>
        <v/>
      </c>
      <c r="Z58" s="17" t="str">
        <f t="shared" si="7"/>
        <v/>
      </c>
      <c r="AA58" s="53" t="str">
        <f t="shared" si="5"/>
        <v/>
      </c>
    </row>
    <row r="59" spans="2:27" x14ac:dyDescent="0.25">
      <c r="B59" s="21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22"/>
      <c r="V59" s="91" t="str">
        <f t="shared" si="1"/>
        <v/>
      </c>
      <c r="W59" s="17" t="str">
        <f t="shared" si="6"/>
        <v/>
      </c>
      <c r="X59" s="17" t="str">
        <f t="shared" si="3"/>
        <v/>
      </c>
      <c r="Y59" s="17" t="str">
        <f t="shared" si="4"/>
        <v/>
      </c>
      <c r="Z59" s="17" t="str">
        <f t="shared" si="7"/>
        <v/>
      </c>
      <c r="AA59" s="53" t="str">
        <f t="shared" si="5"/>
        <v/>
      </c>
    </row>
    <row r="60" spans="2:27" x14ac:dyDescent="0.25">
      <c r="B60" s="21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22"/>
      <c r="V60" s="91" t="str">
        <f t="shared" si="1"/>
        <v/>
      </c>
      <c r="W60" s="17" t="str">
        <f t="shared" si="6"/>
        <v/>
      </c>
      <c r="X60" s="17" t="str">
        <f t="shared" si="3"/>
        <v/>
      </c>
      <c r="Y60" s="17" t="str">
        <f t="shared" si="4"/>
        <v/>
      </c>
      <c r="Z60" s="17" t="str">
        <f t="shared" si="7"/>
        <v/>
      </c>
      <c r="AA60" s="53" t="str">
        <f t="shared" si="5"/>
        <v/>
      </c>
    </row>
    <row r="61" spans="2:27" x14ac:dyDescent="0.25">
      <c r="B61" s="21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22"/>
      <c r="V61" s="91" t="str">
        <f t="shared" si="1"/>
        <v/>
      </c>
      <c r="W61" s="17" t="str">
        <f t="shared" si="6"/>
        <v/>
      </c>
      <c r="X61" s="17" t="str">
        <f t="shared" si="3"/>
        <v/>
      </c>
      <c r="Y61" s="17" t="str">
        <f t="shared" si="4"/>
        <v/>
      </c>
      <c r="Z61" s="17" t="str">
        <f t="shared" si="7"/>
        <v/>
      </c>
      <c r="AA61" s="53" t="str">
        <f t="shared" si="5"/>
        <v/>
      </c>
    </row>
    <row r="62" spans="2:27" x14ac:dyDescent="0.25">
      <c r="B62" s="21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22"/>
      <c r="V62" s="91" t="str">
        <f t="shared" si="1"/>
        <v/>
      </c>
      <c r="W62" s="17" t="str">
        <f t="shared" si="6"/>
        <v/>
      </c>
      <c r="X62" s="17" t="str">
        <f t="shared" si="3"/>
        <v/>
      </c>
      <c r="Y62" s="17" t="str">
        <f t="shared" si="4"/>
        <v/>
      </c>
      <c r="Z62" s="17" t="str">
        <f t="shared" si="7"/>
        <v/>
      </c>
      <c r="AA62" s="53" t="str">
        <f t="shared" si="5"/>
        <v/>
      </c>
    </row>
    <row r="63" spans="2:27" x14ac:dyDescent="0.25">
      <c r="B63" s="21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22"/>
      <c r="V63" s="91" t="str">
        <f t="shared" si="1"/>
        <v/>
      </c>
      <c r="W63" s="17" t="str">
        <f t="shared" si="6"/>
        <v/>
      </c>
      <c r="X63" s="17" t="str">
        <f t="shared" si="3"/>
        <v/>
      </c>
      <c r="Y63" s="17" t="str">
        <f t="shared" si="4"/>
        <v/>
      </c>
      <c r="Z63" s="17" t="str">
        <f t="shared" si="7"/>
        <v/>
      </c>
      <c r="AA63" s="53" t="str">
        <f t="shared" si="5"/>
        <v/>
      </c>
    </row>
    <row r="64" spans="2:27" x14ac:dyDescent="0.25">
      <c r="B64" s="21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22"/>
      <c r="V64" s="91" t="str">
        <f t="shared" si="1"/>
        <v/>
      </c>
      <c r="W64" s="17" t="str">
        <f t="shared" si="6"/>
        <v/>
      </c>
      <c r="X64" s="17" t="str">
        <f t="shared" si="3"/>
        <v/>
      </c>
      <c r="Y64" s="17" t="str">
        <f t="shared" si="4"/>
        <v/>
      </c>
      <c r="Z64" s="17" t="str">
        <f t="shared" si="7"/>
        <v/>
      </c>
      <c r="AA64" s="53" t="str">
        <f t="shared" si="5"/>
        <v/>
      </c>
    </row>
    <row r="65" spans="2:27" x14ac:dyDescent="0.25">
      <c r="B65" s="21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22"/>
      <c r="V65" s="91" t="str">
        <f t="shared" si="1"/>
        <v/>
      </c>
      <c r="W65" s="17" t="str">
        <f t="shared" si="6"/>
        <v/>
      </c>
      <c r="X65" s="17" t="str">
        <f t="shared" si="3"/>
        <v/>
      </c>
      <c r="Y65" s="17" t="str">
        <f t="shared" si="4"/>
        <v/>
      </c>
      <c r="Z65" s="17" t="str">
        <f t="shared" si="7"/>
        <v/>
      </c>
      <c r="AA65" s="53" t="str">
        <f t="shared" si="5"/>
        <v/>
      </c>
    </row>
    <row r="66" spans="2:27" x14ac:dyDescent="0.25">
      <c r="B66" s="21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22"/>
      <c r="V66" s="91" t="str">
        <f t="shared" si="1"/>
        <v/>
      </c>
      <c r="W66" s="17" t="str">
        <f t="shared" si="6"/>
        <v/>
      </c>
      <c r="X66" s="17" t="str">
        <f t="shared" si="3"/>
        <v/>
      </c>
      <c r="Y66" s="17" t="str">
        <f t="shared" si="4"/>
        <v/>
      </c>
      <c r="Z66" s="17" t="str">
        <f t="shared" si="7"/>
        <v/>
      </c>
      <c r="AA66" s="53" t="str">
        <f t="shared" si="5"/>
        <v/>
      </c>
    </row>
    <row r="67" spans="2:27" x14ac:dyDescent="0.25">
      <c r="B67" s="21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22"/>
      <c r="V67" s="91" t="str">
        <f t="shared" si="1"/>
        <v/>
      </c>
      <c r="W67" s="17" t="str">
        <f t="shared" si="6"/>
        <v/>
      </c>
      <c r="X67" s="17" t="str">
        <f t="shared" si="3"/>
        <v/>
      </c>
      <c r="Y67" s="17" t="str">
        <f t="shared" si="4"/>
        <v/>
      </c>
      <c r="Z67" s="17" t="str">
        <f t="shared" si="7"/>
        <v/>
      </c>
      <c r="AA67" s="53" t="str">
        <f t="shared" si="5"/>
        <v/>
      </c>
    </row>
    <row r="68" spans="2:27" x14ac:dyDescent="0.25">
      <c r="B68" s="21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22"/>
      <c r="V68" s="91" t="str">
        <f t="shared" si="1"/>
        <v/>
      </c>
      <c r="W68" s="17" t="str">
        <f t="shared" si="6"/>
        <v/>
      </c>
      <c r="X68" s="17" t="str">
        <f t="shared" si="3"/>
        <v/>
      </c>
      <c r="Y68" s="17" t="str">
        <f t="shared" si="4"/>
        <v/>
      </c>
      <c r="Z68" s="17" t="str">
        <f t="shared" ref="Z68:Z78" si="8">IF(B68="","",IF(G68=$C$2,I68,L68))</f>
        <v/>
      </c>
      <c r="AA68" s="53" t="str">
        <f t="shared" si="5"/>
        <v/>
      </c>
    </row>
    <row r="69" spans="2:27" x14ac:dyDescent="0.25">
      <c r="B69" s="21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22"/>
      <c r="V69" s="91" t="str">
        <f t="shared" ref="V69:V100" si="9">IF(E69="","",E69)</f>
        <v/>
      </c>
      <c r="W69" s="17" t="str">
        <f t="shared" si="6"/>
        <v/>
      </c>
      <c r="X69" s="17" t="str">
        <f t="shared" ref="X69:X100" si="10">IF(B69="","",C69)</f>
        <v/>
      </c>
      <c r="Y69" s="17" t="str">
        <f t="shared" ref="Y69:Y100" si="11">IF(B69="","",D69)</f>
        <v/>
      </c>
      <c r="Z69" s="17" t="str">
        <f t="shared" si="8"/>
        <v/>
      </c>
      <c r="AA69" s="53" t="str">
        <f t="shared" ref="AA69:AA100" si="12">IF(B69="","",VLOOKUP(S69,$AC$3:$AD$14,2,FALSE))</f>
        <v/>
      </c>
    </row>
    <row r="70" spans="2:27" x14ac:dyDescent="0.25">
      <c r="B70" s="21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22"/>
      <c r="V70" s="91" t="str">
        <f t="shared" si="9"/>
        <v/>
      </c>
      <c r="W70" s="17" t="str">
        <f t="shared" si="6"/>
        <v/>
      </c>
      <c r="X70" s="17" t="str">
        <f t="shared" si="10"/>
        <v/>
      </c>
      <c r="Y70" s="17" t="str">
        <f t="shared" si="11"/>
        <v/>
      </c>
      <c r="Z70" s="17" t="str">
        <f t="shared" si="8"/>
        <v/>
      </c>
      <c r="AA70" s="53" t="str">
        <f t="shared" si="12"/>
        <v/>
      </c>
    </row>
    <row r="71" spans="2:27" x14ac:dyDescent="0.25">
      <c r="B71" s="21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22"/>
      <c r="V71" s="91" t="str">
        <f t="shared" si="9"/>
        <v/>
      </c>
      <c r="W71" s="17" t="str">
        <f t="shared" si="6"/>
        <v/>
      </c>
      <c r="X71" s="17" t="str">
        <f t="shared" si="10"/>
        <v/>
      </c>
      <c r="Y71" s="17" t="str">
        <f t="shared" si="11"/>
        <v/>
      </c>
      <c r="Z71" s="17" t="str">
        <f t="shared" si="8"/>
        <v/>
      </c>
      <c r="AA71" s="53" t="str">
        <f t="shared" si="12"/>
        <v/>
      </c>
    </row>
    <row r="72" spans="2:27" x14ac:dyDescent="0.25">
      <c r="B72" s="21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22"/>
      <c r="V72" s="91" t="str">
        <f t="shared" si="9"/>
        <v/>
      </c>
      <c r="W72" s="17" t="str">
        <f t="shared" si="6"/>
        <v/>
      </c>
      <c r="X72" s="17" t="str">
        <f t="shared" si="10"/>
        <v/>
      </c>
      <c r="Y72" s="17" t="str">
        <f t="shared" si="11"/>
        <v/>
      </c>
      <c r="Z72" s="17" t="str">
        <f t="shared" si="8"/>
        <v/>
      </c>
      <c r="AA72" s="53" t="str">
        <f t="shared" si="12"/>
        <v/>
      </c>
    </row>
    <row r="73" spans="2:27" x14ac:dyDescent="0.25">
      <c r="B73" s="21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22"/>
      <c r="V73" s="91" t="str">
        <f t="shared" si="9"/>
        <v/>
      </c>
      <c r="W73" s="17" t="str">
        <f t="shared" si="6"/>
        <v/>
      </c>
      <c r="X73" s="17" t="str">
        <f t="shared" si="10"/>
        <v/>
      </c>
      <c r="Y73" s="17" t="str">
        <f t="shared" si="11"/>
        <v/>
      </c>
      <c r="Z73" s="17" t="str">
        <f t="shared" si="8"/>
        <v/>
      </c>
      <c r="AA73" s="53" t="str">
        <f t="shared" si="12"/>
        <v/>
      </c>
    </row>
    <row r="74" spans="2:27" x14ac:dyDescent="0.25">
      <c r="B74" s="21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22"/>
      <c r="V74" s="91" t="str">
        <f t="shared" si="9"/>
        <v/>
      </c>
      <c r="W74" s="17" t="str">
        <f t="shared" si="6"/>
        <v/>
      </c>
      <c r="X74" s="17" t="str">
        <f t="shared" si="10"/>
        <v/>
      </c>
      <c r="Y74" s="17" t="str">
        <f t="shared" si="11"/>
        <v/>
      </c>
      <c r="Z74" s="17" t="str">
        <f t="shared" si="8"/>
        <v/>
      </c>
      <c r="AA74" s="53" t="str">
        <f t="shared" si="12"/>
        <v/>
      </c>
    </row>
    <row r="75" spans="2:27" x14ac:dyDescent="0.25">
      <c r="B75" s="21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22"/>
      <c r="V75" s="91" t="str">
        <f t="shared" si="9"/>
        <v/>
      </c>
      <c r="W75" s="17" t="str">
        <f t="shared" si="6"/>
        <v/>
      </c>
      <c r="X75" s="17" t="str">
        <f t="shared" si="10"/>
        <v/>
      </c>
      <c r="Y75" s="17" t="str">
        <f t="shared" si="11"/>
        <v/>
      </c>
      <c r="Z75" s="17" t="str">
        <f t="shared" si="8"/>
        <v/>
      </c>
      <c r="AA75" s="53" t="str">
        <f t="shared" si="12"/>
        <v/>
      </c>
    </row>
    <row r="76" spans="2:27" x14ac:dyDescent="0.25">
      <c r="B76" s="21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22"/>
      <c r="V76" s="91" t="str">
        <f t="shared" si="9"/>
        <v/>
      </c>
      <c r="W76" s="17" t="str">
        <f t="shared" si="6"/>
        <v/>
      </c>
      <c r="X76" s="17" t="str">
        <f t="shared" si="10"/>
        <v/>
      </c>
      <c r="Y76" s="17" t="str">
        <f t="shared" si="11"/>
        <v/>
      </c>
      <c r="Z76" s="17" t="str">
        <f t="shared" si="8"/>
        <v/>
      </c>
      <c r="AA76" s="53" t="str">
        <f t="shared" si="12"/>
        <v/>
      </c>
    </row>
    <row r="77" spans="2:27" x14ac:dyDescent="0.25">
      <c r="B77" s="21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22"/>
      <c r="V77" s="91" t="str">
        <f t="shared" si="9"/>
        <v/>
      </c>
      <c r="W77" s="17" t="str">
        <f t="shared" si="6"/>
        <v/>
      </c>
      <c r="X77" s="17" t="str">
        <f t="shared" si="10"/>
        <v/>
      </c>
      <c r="Y77" s="17" t="str">
        <f t="shared" si="11"/>
        <v/>
      </c>
      <c r="Z77" s="17" t="str">
        <f t="shared" si="8"/>
        <v/>
      </c>
      <c r="AA77" s="53" t="str">
        <f t="shared" si="12"/>
        <v/>
      </c>
    </row>
    <row r="78" spans="2:27" x14ac:dyDescent="0.25">
      <c r="B78" s="21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22"/>
      <c r="V78" s="91" t="str">
        <f t="shared" si="9"/>
        <v/>
      </c>
      <c r="W78" s="17" t="str">
        <f t="shared" si="6"/>
        <v/>
      </c>
      <c r="X78" s="17" t="str">
        <f t="shared" si="10"/>
        <v/>
      </c>
      <c r="Y78" s="17" t="str">
        <f t="shared" si="11"/>
        <v/>
      </c>
      <c r="Z78" s="17" t="str">
        <f t="shared" si="8"/>
        <v/>
      </c>
      <c r="AA78" s="53" t="str">
        <f t="shared" si="12"/>
        <v/>
      </c>
    </row>
    <row r="79" spans="2:27" x14ac:dyDescent="0.25">
      <c r="B79" s="21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22"/>
      <c r="V79" s="91" t="str">
        <f t="shared" si="9"/>
        <v/>
      </c>
      <c r="W79" s="17" t="str">
        <f t="shared" ref="W79:W100" si="13">IF(B79="","",B79)</f>
        <v/>
      </c>
      <c r="X79" s="17" t="str">
        <f t="shared" si="10"/>
        <v/>
      </c>
      <c r="Y79" s="17" t="str">
        <f t="shared" si="11"/>
        <v/>
      </c>
      <c r="Z79" s="17" t="str">
        <f t="shared" ref="Z79:Z100" si="14">IF(B79="","",IF(G79=$C$2,I79,L79))</f>
        <v/>
      </c>
      <c r="AA79" s="53" t="str">
        <f t="shared" si="12"/>
        <v/>
      </c>
    </row>
    <row r="80" spans="2:27" x14ac:dyDescent="0.25">
      <c r="B80" s="21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22"/>
      <c r="V80" s="91" t="str">
        <f t="shared" si="9"/>
        <v/>
      </c>
      <c r="W80" s="17" t="str">
        <f t="shared" si="13"/>
        <v/>
      </c>
      <c r="X80" s="17" t="str">
        <f t="shared" si="10"/>
        <v/>
      </c>
      <c r="Y80" s="17" t="str">
        <f t="shared" si="11"/>
        <v/>
      </c>
      <c r="Z80" s="17" t="str">
        <f t="shared" si="14"/>
        <v/>
      </c>
      <c r="AA80" s="53" t="str">
        <f t="shared" si="12"/>
        <v/>
      </c>
    </row>
    <row r="81" spans="2:27" x14ac:dyDescent="0.25">
      <c r="B81" s="21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22"/>
      <c r="V81" s="91" t="str">
        <f t="shared" si="9"/>
        <v/>
      </c>
      <c r="W81" s="17" t="str">
        <f t="shared" si="13"/>
        <v/>
      </c>
      <c r="X81" s="17" t="str">
        <f t="shared" si="10"/>
        <v/>
      </c>
      <c r="Y81" s="17" t="str">
        <f t="shared" si="11"/>
        <v/>
      </c>
      <c r="Z81" s="17" t="str">
        <f t="shared" si="14"/>
        <v/>
      </c>
      <c r="AA81" s="53" t="str">
        <f t="shared" si="12"/>
        <v/>
      </c>
    </row>
    <row r="82" spans="2:27" x14ac:dyDescent="0.25">
      <c r="B82" s="21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22"/>
      <c r="V82" s="91" t="str">
        <f t="shared" si="9"/>
        <v/>
      </c>
      <c r="W82" s="17" t="str">
        <f t="shared" si="13"/>
        <v/>
      </c>
      <c r="X82" s="17" t="str">
        <f t="shared" si="10"/>
        <v/>
      </c>
      <c r="Y82" s="17" t="str">
        <f t="shared" si="11"/>
        <v/>
      </c>
      <c r="Z82" s="17" t="str">
        <f t="shared" si="14"/>
        <v/>
      </c>
      <c r="AA82" s="53" t="str">
        <f t="shared" si="12"/>
        <v/>
      </c>
    </row>
    <row r="83" spans="2:27" x14ac:dyDescent="0.25">
      <c r="B83" s="21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22"/>
      <c r="V83" s="91" t="str">
        <f t="shared" si="9"/>
        <v/>
      </c>
      <c r="W83" s="17" t="str">
        <f t="shared" si="13"/>
        <v/>
      </c>
      <c r="X83" s="17" t="str">
        <f t="shared" si="10"/>
        <v/>
      </c>
      <c r="Y83" s="17" t="str">
        <f t="shared" si="11"/>
        <v/>
      </c>
      <c r="Z83" s="17" t="str">
        <f t="shared" si="14"/>
        <v/>
      </c>
      <c r="AA83" s="53" t="str">
        <f t="shared" si="12"/>
        <v/>
      </c>
    </row>
    <row r="84" spans="2:27" x14ac:dyDescent="0.25">
      <c r="B84" s="21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22"/>
      <c r="V84" s="91" t="str">
        <f t="shared" si="9"/>
        <v/>
      </c>
      <c r="W84" s="17" t="str">
        <f t="shared" si="13"/>
        <v/>
      </c>
      <c r="X84" s="17" t="str">
        <f t="shared" si="10"/>
        <v/>
      </c>
      <c r="Y84" s="17" t="str">
        <f t="shared" si="11"/>
        <v/>
      </c>
      <c r="Z84" s="17" t="str">
        <f t="shared" si="14"/>
        <v/>
      </c>
      <c r="AA84" s="53" t="str">
        <f t="shared" si="12"/>
        <v/>
      </c>
    </row>
    <row r="85" spans="2:27" x14ac:dyDescent="0.25">
      <c r="B85" s="21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22"/>
      <c r="V85" s="91" t="str">
        <f t="shared" si="9"/>
        <v/>
      </c>
      <c r="W85" s="17" t="str">
        <f t="shared" si="13"/>
        <v/>
      </c>
      <c r="X85" s="17" t="str">
        <f t="shared" si="10"/>
        <v/>
      </c>
      <c r="Y85" s="17" t="str">
        <f t="shared" si="11"/>
        <v/>
      </c>
      <c r="Z85" s="17" t="str">
        <f t="shared" si="14"/>
        <v/>
      </c>
      <c r="AA85" s="53" t="str">
        <f t="shared" si="12"/>
        <v/>
      </c>
    </row>
    <row r="86" spans="2:27" x14ac:dyDescent="0.25">
      <c r="B86" s="21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22"/>
      <c r="V86" s="91" t="str">
        <f t="shared" si="9"/>
        <v/>
      </c>
      <c r="W86" s="17" t="str">
        <f t="shared" si="13"/>
        <v/>
      </c>
      <c r="X86" s="17" t="str">
        <f t="shared" si="10"/>
        <v/>
      </c>
      <c r="Y86" s="17" t="str">
        <f t="shared" si="11"/>
        <v/>
      </c>
      <c r="Z86" s="17" t="str">
        <f t="shared" si="14"/>
        <v/>
      </c>
      <c r="AA86" s="53" t="str">
        <f t="shared" si="12"/>
        <v/>
      </c>
    </row>
    <row r="87" spans="2:27" x14ac:dyDescent="0.25">
      <c r="B87" s="21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22"/>
      <c r="V87" s="91" t="str">
        <f t="shared" si="9"/>
        <v/>
      </c>
      <c r="W87" s="17" t="str">
        <f t="shared" si="13"/>
        <v/>
      </c>
      <c r="X87" s="17" t="str">
        <f t="shared" si="10"/>
        <v/>
      </c>
      <c r="Y87" s="17" t="str">
        <f t="shared" si="11"/>
        <v/>
      </c>
      <c r="Z87" s="17" t="str">
        <f t="shared" si="14"/>
        <v/>
      </c>
      <c r="AA87" s="53" t="str">
        <f t="shared" si="12"/>
        <v/>
      </c>
    </row>
    <row r="88" spans="2:27" x14ac:dyDescent="0.25">
      <c r="B88" s="21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22"/>
      <c r="V88" s="91" t="str">
        <f t="shared" si="9"/>
        <v/>
      </c>
      <c r="W88" s="17" t="str">
        <f t="shared" si="13"/>
        <v/>
      </c>
      <c r="X88" s="17" t="str">
        <f t="shared" si="10"/>
        <v/>
      </c>
      <c r="Y88" s="17" t="str">
        <f t="shared" si="11"/>
        <v/>
      </c>
      <c r="Z88" s="17" t="str">
        <f t="shared" si="14"/>
        <v/>
      </c>
      <c r="AA88" s="53" t="str">
        <f t="shared" si="12"/>
        <v/>
      </c>
    </row>
    <row r="89" spans="2:27" x14ac:dyDescent="0.25">
      <c r="B89" s="21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22"/>
      <c r="V89" s="91" t="str">
        <f t="shared" si="9"/>
        <v/>
      </c>
      <c r="W89" s="17" t="str">
        <f t="shared" si="13"/>
        <v/>
      </c>
      <c r="X89" s="17" t="str">
        <f t="shared" si="10"/>
        <v/>
      </c>
      <c r="Y89" s="17" t="str">
        <f t="shared" si="11"/>
        <v/>
      </c>
      <c r="Z89" s="17" t="str">
        <f t="shared" si="14"/>
        <v/>
      </c>
      <c r="AA89" s="53" t="str">
        <f t="shared" si="12"/>
        <v/>
      </c>
    </row>
    <row r="90" spans="2:27" x14ac:dyDescent="0.25">
      <c r="B90" s="21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22"/>
      <c r="V90" s="91" t="str">
        <f t="shared" si="9"/>
        <v/>
      </c>
      <c r="W90" s="17" t="str">
        <f t="shared" si="13"/>
        <v/>
      </c>
      <c r="X90" s="17" t="str">
        <f t="shared" si="10"/>
        <v/>
      </c>
      <c r="Y90" s="17" t="str">
        <f t="shared" si="11"/>
        <v/>
      </c>
      <c r="Z90" s="17" t="str">
        <f t="shared" si="14"/>
        <v/>
      </c>
      <c r="AA90" s="53" t="str">
        <f t="shared" si="12"/>
        <v/>
      </c>
    </row>
    <row r="91" spans="2:27" x14ac:dyDescent="0.25">
      <c r="B91" s="21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22"/>
      <c r="V91" s="91" t="str">
        <f t="shared" si="9"/>
        <v/>
      </c>
      <c r="W91" s="17" t="str">
        <f t="shared" si="13"/>
        <v/>
      </c>
      <c r="X91" s="17" t="str">
        <f t="shared" si="10"/>
        <v/>
      </c>
      <c r="Y91" s="17" t="str">
        <f t="shared" si="11"/>
        <v/>
      </c>
      <c r="Z91" s="17" t="str">
        <f t="shared" si="14"/>
        <v/>
      </c>
      <c r="AA91" s="53" t="str">
        <f t="shared" si="12"/>
        <v/>
      </c>
    </row>
    <row r="92" spans="2:27" x14ac:dyDescent="0.25">
      <c r="B92" s="21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22"/>
      <c r="V92" s="91" t="str">
        <f t="shared" si="9"/>
        <v/>
      </c>
      <c r="W92" s="17" t="str">
        <f t="shared" si="13"/>
        <v/>
      </c>
      <c r="X92" s="17" t="str">
        <f t="shared" si="10"/>
        <v/>
      </c>
      <c r="Y92" s="17" t="str">
        <f t="shared" si="11"/>
        <v/>
      </c>
      <c r="Z92" s="17" t="str">
        <f t="shared" si="14"/>
        <v/>
      </c>
      <c r="AA92" s="53" t="str">
        <f t="shared" si="12"/>
        <v/>
      </c>
    </row>
    <row r="93" spans="2:27" x14ac:dyDescent="0.25">
      <c r="B93" s="21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22"/>
      <c r="V93" s="91" t="str">
        <f t="shared" si="9"/>
        <v/>
      </c>
      <c r="W93" s="17" t="str">
        <f t="shared" si="13"/>
        <v/>
      </c>
      <c r="X93" s="17" t="str">
        <f t="shared" si="10"/>
        <v/>
      </c>
      <c r="Y93" s="17" t="str">
        <f t="shared" si="11"/>
        <v/>
      </c>
      <c r="Z93" s="17" t="str">
        <f t="shared" si="14"/>
        <v/>
      </c>
      <c r="AA93" s="53" t="str">
        <f t="shared" si="12"/>
        <v/>
      </c>
    </row>
    <row r="94" spans="2:27" x14ac:dyDescent="0.25">
      <c r="B94" s="21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22"/>
      <c r="V94" s="91" t="str">
        <f t="shared" si="9"/>
        <v/>
      </c>
      <c r="W94" s="17" t="str">
        <f t="shared" si="13"/>
        <v/>
      </c>
      <c r="X94" s="17" t="str">
        <f t="shared" si="10"/>
        <v/>
      </c>
      <c r="Y94" s="17" t="str">
        <f t="shared" si="11"/>
        <v/>
      </c>
      <c r="Z94" s="17" t="str">
        <f t="shared" si="14"/>
        <v/>
      </c>
      <c r="AA94" s="53" t="str">
        <f t="shared" si="12"/>
        <v/>
      </c>
    </row>
    <row r="95" spans="2:27" x14ac:dyDescent="0.25">
      <c r="B95" s="21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22"/>
      <c r="V95" s="91" t="str">
        <f t="shared" si="9"/>
        <v/>
      </c>
      <c r="W95" s="17" t="str">
        <f t="shared" si="13"/>
        <v/>
      </c>
      <c r="X95" s="17" t="str">
        <f t="shared" si="10"/>
        <v/>
      </c>
      <c r="Y95" s="17" t="str">
        <f t="shared" si="11"/>
        <v/>
      </c>
      <c r="Z95" s="17" t="str">
        <f t="shared" si="14"/>
        <v/>
      </c>
      <c r="AA95" s="53" t="str">
        <f t="shared" si="12"/>
        <v/>
      </c>
    </row>
    <row r="96" spans="2:27" x14ac:dyDescent="0.25">
      <c r="B96" s="21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22"/>
      <c r="V96" s="91" t="str">
        <f t="shared" si="9"/>
        <v/>
      </c>
      <c r="W96" s="17" t="str">
        <f t="shared" si="13"/>
        <v/>
      </c>
      <c r="X96" s="17" t="str">
        <f t="shared" si="10"/>
        <v/>
      </c>
      <c r="Y96" s="17" t="str">
        <f t="shared" si="11"/>
        <v/>
      </c>
      <c r="Z96" s="17" t="str">
        <f t="shared" si="14"/>
        <v/>
      </c>
      <c r="AA96" s="53" t="str">
        <f t="shared" si="12"/>
        <v/>
      </c>
    </row>
    <row r="97" spans="2:27" x14ac:dyDescent="0.25">
      <c r="B97" s="21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22"/>
      <c r="V97" s="91" t="str">
        <f t="shared" si="9"/>
        <v/>
      </c>
      <c r="W97" s="17" t="str">
        <f t="shared" si="13"/>
        <v/>
      </c>
      <c r="X97" s="17" t="str">
        <f t="shared" si="10"/>
        <v/>
      </c>
      <c r="Y97" s="17" t="str">
        <f t="shared" si="11"/>
        <v/>
      </c>
      <c r="Z97" s="17" t="str">
        <f t="shared" si="14"/>
        <v/>
      </c>
      <c r="AA97" s="53" t="str">
        <f t="shared" si="12"/>
        <v/>
      </c>
    </row>
    <row r="98" spans="2:27" x14ac:dyDescent="0.25">
      <c r="B98" s="21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22"/>
      <c r="V98" s="91" t="str">
        <f t="shared" si="9"/>
        <v/>
      </c>
      <c r="W98" s="17" t="str">
        <f t="shared" si="13"/>
        <v/>
      </c>
      <c r="X98" s="17" t="str">
        <f t="shared" si="10"/>
        <v/>
      </c>
      <c r="Y98" s="17" t="str">
        <f t="shared" si="11"/>
        <v/>
      </c>
      <c r="Z98" s="17" t="str">
        <f t="shared" si="14"/>
        <v/>
      </c>
      <c r="AA98" s="53" t="str">
        <f t="shared" si="12"/>
        <v/>
      </c>
    </row>
    <row r="99" spans="2:27" x14ac:dyDescent="0.25">
      <c r="B99" s="21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22"/>
      <c r="V99" s="91" t="str">
        <f t="shared" si="9"/>
        <v/>
      </c>
      <c r="W99" s="17" t="str">
        <f t="shared" si="13"/>
        <v/>
      </c>
      <c r="X99" s="17" t="str">
        <f t="shared" si="10"/>
        <v/>
      </c>
      <c r="Y99" s="17" t="str">
        <f t="shared" si="11"/>
        <v/>
      </c>
      <c r="Z99" s="17" t="str">
        <f t="shared" si="14"/>
        <v/>
      </c>
      <c r="AA99" s="53" t="str">
        <f t="shared" si="12"/>
        <v/>
      </c>
    </row>
    <row r="100" spans="2:27" ht="15.75" thickBot="1" x14ac:dyDescent="0.3">
      <c r="B100" s="2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3"/>
      <c r="V100" s="92" t="str">
        <f t="shared" si="9"/>
        <v/>
      </c>
      <c r="W100" s="23" t="str">
        <f t="shared" si="13"/>
        <v/>
      </c>
      <c r="X100" s="23" t="str">
        <f t="shared" si="10"/>
        <v/>
      </c>
      <c r="Y100" s="23" t="str">
        <f t="shared" si="11"/>
        <v/>
      </c>
      <c r="Z100" s="23" t="str">
        <f t="shared" si="14"/>
        <v/>
      </c>
      <c r="AA100" s="40" t="str">
        <f t="shared" si="12"/>
        <v/>
      </c>
    </row>
  </sheetData>
  <mergeCells count="3">
    <mergeCell ref="AF15:AH15"/>
    <mergeCell ref="AF30:AH30"/>
    <mergeCell ref="AF45:AH4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E3859-257D-4E34-8045-EE124EFC9948}">
  <dimension ref="B2:AJ100"/>
  <sheetViews>
    <sheetView workbookViewId="0">
      <selection activeCell="C24" sqref="C24"/>
    </sheetView>
  </sheetViews>
  <sheetFormatPr defaultRowHeight="15" x14ac:dyDescent="0.25"/>
  <cols>
    <col min="1" max="1" width="4.28515625" customWidth="1"/>
    <col min="2" max="2" width="14.5703125" bestFit="1" customWidth="1"/>
    <col min="3" max="3" width="30.42578125" bestFit="1" customWidth="1"/>
    <col min="4" max="4" width="15.28515625" bestFit="1" customWidth="1"/>
    <col min="5" max="5" width="6.85546875" bestFit="1" customWidth="1"/>
    <col min="6" max="6" width="11.7109375" bestFit="1" customWidth="1"/>
    <col min="7" max="7" width="14.7109375" bestFit="1" customWidth="1"/>
    <col min="9" max="9" width="7.42578125" bestFit="1" customWidth="1"/>
    <col min="10" max="10" width="14.7109375" bestFit="1" customWidth="1"/>
    <col min="12" max="12" width="7.42578125" bestFit="1" customWidth="1"/>
    <col min="13" max="13" width="32" bestFit="1" customWidth="1"/>
    <col min="14" max="14" width="16.140625" bestFit="1" customWidth="1"/>
    <col min="15" max="20" width="16.140625" customWidth="1"/>
    <col min="21" max="21" width="4.28515625" customWidth="1"/>
    <col min="22" max="22" width="6.85546875" style="1" bestFit="1" customWidth="1"/>
    <col min="23" max="23" width="7" bestFit="1" customWidth="1"/>
    <col min="24" max="24" width="30.42578125" bestFit="1" customWidth="1"/>
    <col min="25" max="25" width="15.28515625" bestFit="1" customWidth="1"/>
    <col min="26" max="26" width="6" bestFit="1" customWidth="1"/>
    <col min="27" max="27" width="7" bestFit="1" customWidth="1"/>
    <col min="28" max="28" width="4.28515625" customWidth="1"/>
    <col min="29" max="29" width="32" bestFit="1" customWidth="1"/>
    <col min="31" max="31" width="4.28515625" customWidth="1"/>
    <col min="32" max="32" width="7" bestFit="1" customWidth="1"/>
    <col min="33" max="33" width="23" bestFit="1" customWidth="1"/>
    <col min="34" max="34" width="15.28515625" bestFit="1" customWidth="1"/>
    <col min="35" max="35" width="6" bestFit="1" customWidth="1"/>
    <col min="36" max="36" width="7" bestFit="1" customWidth="1"/>
  </cols>
  <sheetData>
    <row r="2" spans="2:36" ht="15.75" thickBot="1" x14ac:dyDescent="0.3">
      <c r="B2" t="s">
        <v>52</v>
      </c>
      <c r="C2" t="s">
        <v>22</v>
      </c>
      <c r="H2" s="35"/>
      <c r="K2" s="35"/>
      <c r="AC2" t="s">
        <v>58</v>
      </c>
      <c r="AF2" s="6" t="s">
        <v>8</v>
      </c>
      <c r="AG2" s="6">
        <f>Dashboard!E32</f>
        <v>9</v>
      </c>
    </row>
    <row r="3" spans="2:36" ht="15.75" thickBot="1" x14ac:dyDescent="0.3">
      <c r="B3" s="28" t="s">
        <v>5</v>
      </c>
      <c r="C3" s="29" t="s">
        <v>6</v>
      </c>
      <c r="D3" s="29" t="s">
        <v>7</v>
      </c>
      <c r="E3" s="29" t="s">
        <v>8</v>
      </c>
      <c r="F3" s="29" t="s">
        <v>9</v>
      </c>
      <c r="G3" s="29" t="s">
        <v>10</v>
      </c>
      <c r="H3" s="36" t="s">
        <v>11</v>
      </c>
      <c r="I3" s="29" t="s">
        <v>12</v>
      </c>
      <c r="J3" s="29" t="s">
        <v>13</v>
      </c>
      <c r="K3" s="36" t="s">
        <v>14</v>
      </c>
      <c r="L3" s="29" t="s">
        <v>15</v>
      </c>
      <c r="M3" s="29" t="s">
        <v>68</v>
      </c>
      <c r="N3" s="29" t="s">
        <v>69</v>
      </c>
      <c r="O3" s="29" t="s">
        <v>70</v>
      </c>
      <c r="P3" s="29" t="s">
        <v>76</v>
      </c>
      <c r="Q3" s="29" t="s">
        <v>67</v>
      </c>
      <c r="R3" s="29" t="s">
        <v>66</v>
      </c>
      <c r="S3" s="29" t="s">
        <v>16</v>
      </c>
      <c r="T3" s="30" t="s">
        <v>17</v>
      </c>
      <c r="V3" s="95" t="s">
        <v>8</v>
      </c>
      <c r="W3" s="29" t="s">
        <v>59</v>
      </c>
      <c r="X3" s="29" t="s">
        <v>35</v>
      </c>
      <c r="Y3" s="29" t="s">
        <v>7</v>
      </c>
      <c r="Z3" s="29" t="s">
        <v>60</v>
      </c>
      <c r="AA3" s="30" t="s">
        <v>16</v>
      </c>
      <c r="AC3" s="26" t="s">
        <v>16</v>
      </c>
      <c r="AD3" s="27" t="s">
        <v>61</v>
      </c>
      <c r="AF3" s="26" t="s">
        <v>59</v>
      </c>
      <c r="AG3" s="79" t="s">
        <v>35</v>
      </c>
      <c r="AH3" s="79" t="s">
        <v>7</v>
      </c>
      <c r="AI3" s="79" t="s">
        <v>60</v>
      </c>
      <c r="AJ3" s="27" t="s">
        <v>16</v>
      </c>
    </row>
    <row r="4" spans="2:36" x14ac:dyDescent="0.25">
      <c r="B4" s="18" t="e" cm="1" vm="1">
        <f t="array" ref="B4">_xlfn._xlws.FILTER('Ber. Planning Totaal'!B4:T1000,('Ber. Planning Totaal'!G4:G1000=C2)+('Ber. Planning Totaal'!J4:J1000=C2)+('Ber. Planning Totaal'!M4:M1000=C2))</f>
        <v>#VALUE!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20"/>
      <c r="V4" s="76" t="str">
        <f>IF(E4="","",E4)</f>
        <v/>
      </c>
      <c r="W4" s="19" t="e" vm="2">
        <f>IF(B4="","",B4)</f>
        <v>#VALUE!</v>
      </c>
      <c r="X4" s="19" t="e" vm="2">
        <f>IF(B4="","",C4)</f>
        <v>#VALUE!</v>
      </c>
      <c r="Y4" s="19" t="e" vm="2">
        <f>IF(B4="","",D4)</f>
        <v>#VALUE!</v>
      </c>
      <c r="Z4" s="82" t="e" vm="2">
        <f t="shared" ref="Z4:Z67" si="0">IF(B4="","",IF(G4=$C$2,I4,L4))</f>
        <v>#VALUE!</v>
      </c>
      <c r="AA4" s="52" t="e" vm="2">
        <f>IF(B4="","",VLOOKUP(S4,$AC$3:$AD$14,2,FALSE))</f>
        <v>#VALUE!</v>
      </c>
      <c r="AC4" s="24" t="s">
        <v>29</v>
      </c>
      <c r="AD4" s="25">
        <v>1</v>
      </c>
      <c r="AF4" s="18" t="str" cm="1">
        <f t="array" ref="AF4">_xlfn._xlws.FILTER($W$4:$AA$100,$V$4:$V$100=AG2,"")</f>
        <v/>
      </c>
      <c r="AG4" s="19"/>
      <c r="AH4" s="19"/>
      <c r="AI4" s="82"/>
      <c r="AJ4" s="52"/>
    </row>
    <row r="5" spans="2:36" x14ac:dyDescent="0.25">
      <c r="B5" s="21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22"/>
      <c r="V5" s="91" t="str">
        <f t="shared" ref="V5:V68" si="1">IF(E5="","",E5)</f>
        <v/>
      </c>
      <c r="W5" s="17" t="str">
        <f t="shared" ref="W5:W68" si="2">IF(B5="","",B5)</f>
        <v/>
      </c>
      <c r="X5" s="17" t="str">
        <f t="shared" ref="X5:X68" si="3">IF(B5="","",C5)</f>
        <v/>
      </c>
      <c r="Y5" s="17" t="str">
        <f t="shared" ref="Y5:Y68" si="4">IF(B5="","",D5)</f>
        <v/>
      </c>
      <c r="Z5" s="77" t="str">
        <f t="shared" si="0"/>
        <v/>
      </c>
      <c r="AA5" s="53" t="str">
        <f t="shared" ref="AA5:AA68" si="5">IF(B5="","",VLOOKUP(S5,$AC$3:$AD$14,2,FALSE))</f>
        <v/>
      </c>
      <c r="AC5" s="21" t="s">
        <v>39</v>
      </c>
      <c r="AD5" s="22">
        <v>2</v>
      </c>
      <c r="AF5" s="21"/>
      <c r="AG5" s="17"/>
      <c r="AH5" s="17"/>
      <c r="AI5" s="77"/>
      <c r="AJ5" s="53"/>
    </row>
    <row r="6" spans="2:36" x14ac:dyDescent="0.25">
      <c r="B6" s="21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22"/>
      <c r="V6" s="91" t="str">
        <f t="shared" si="1"/>
        <v/>
      </c>
      <c r="W6" s="17" t="str">
        <f t="shared" si="2"/>
        <v/>
      </c>
      <c r="X6" s="17" t="str">
        <f t="shared" si="3"/>
        <v/>
      </c>
      <c r="Y6" s="17" t="str">
        <f t="shared" si="4"/>
        <v/>
      </c>
      <c r="Z6" s="77" t="str">
        <f t="shared" si="0"/>
        <v/>
      </c>
      <c r="AA6" s="53" t="str">
        <f t="shared" si="5"/>
        <v/>
      </c>
      <c r="AC6" s="21" t="s">
        <v>28</v>
      </c>
      <c r="AD6" s="22">
        <v>3</v>
      </c>
      <c r="AF6" s="21"/>
      <c r="AG6" s="17"/>
      <c r="AH6" s="17"/>
      <c r="AI6" s="77"/>
      <c r="AJ6" s="53"/>
    </row>
    <row r="7" spans="2:36" x14ac:dyDescent="0.25">
      <c r="B7" s="21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22"/>
      <c r="V7" s="91" t="str">
        <f t="shared" si="1"/>
        <v/>
      </c>
      <c r="W7" s="17" t="str">
        <f t="shared" si="2"/>
        <v/>
      </c>
      <c r="X7" s="17" t="str">
        <f t="shared" si="3"/>
        <v/>
      </c>
      <c r="Y7" s="17" t="str">
        <f t="shared" si="4"/>
        <v/>
      </c>
      <c r="Z7" s="77" t="str">
        <f t="shared" si="0"/>
        <v/>
      </c>
      <c r="AA7" s="53" t="str">
        <f t="shared" si="5"/>
        <v/>
      </c>
      <c r="AC7" s="21" t="s">
        <v>26</v>
      </c>
      <c r="AD7" s="22">
        <v>4</v>
      </c>
      <c r="AF7" s="21"/>
      <c r="AG7" s="17"/>
      <c r="AH7" s="17"/>
      <c r="AI7" s="77"/>
      <c r="AJ7" s="53"/>
    </row>
    <row r="8" spans="2:36" x14ac:dyDescent="0.25">
      <c r="B8" s="21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22"/>
      <c r="V8" s="91" t="str">
        <f t="shared" si="1"/>
        <v/>
      </c>
      <c r="W8" s="17" t="str">
        <f t="shared" si="2"/>
        <v/>
      </c>
      <c r="X8" s="17" t="str">
        <f t="shared" si="3"/>
        <v/>
      </c>
      <c r="Y8" s="17" t="str">
        <f t="shared" si="4"/>
        <v/>
      </c>
      <c r="Z8" s="77" t="str">
        <f t="shared" si="0"/>
        <v/>
      </c>
      <c r="AA8" s="53" t="str">
        <f t="shared" si="5"/>
        <v/>
      </c>
      <c r="AC8" s="21" t="s">
        <v>40</v>
      </c>
      <c r="AD8" s="22">
        <v>5</v>
      </c>
      <c r="AF8" s="21"/>
      <c r="AG8" s="17"/>
      <c r="AH8" s="17"/>
      <c r="AI8" s="77"/>
      <c r="AJ8" s="53"/>
    </row>
    <row r="9" spans="2:36" x14ac:dyDescent="0.25">
      <c r="B9" s="21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22"/>
      <c r="V9" s="91" t="str">
        <f t="shared" si="1"/>
        <v/>
      </c>
      <c r="W9" s="17" t="str">
        <f t="shared" si="2"/>
        <v/>
      </c>
      <c r="X9" s="17" t="str">
        <f t="shared" si="3"/>
        <v/>
      </c>
      <c r="Y9" s="17" t="str">
        <f t="shared" si="4"/>
        <v/>
      </c>
      <c r="Z9" s="77" t="str">
        <f t="shared" si="0"/>
        <v/>
      </c>
      <c r="AA9" s="53" t="str">
        <f t="shared" si="5"/>
        <v/>
      </c>
      <c r="AC9" s="21" t="s">
        <v>27</v>
      </c>
      <c r="AD9" s="22">
        <v>6</v>
      </c>
      <c r="AF9" s="21"/>
      <c r="AG9" s="17"/>
      <c r="AH9" s="17"/>
      <c r="AI9" s="77"/>
      <c r="AJ9" s="53"/>
    </row>
    <row r="10" spans="2:36" x14ac:dyDescent="0.25">
      <c r="B10" s="21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22"/>
      <c r="V10" s="91" t="str">
        <f t="shared" si="1"/>
        <v/>
      </c>
      <c r="W10" s="17" t="str">
        <f t="shared" si="2"/>
        <v/>
      </c>
      <c r="X10" s="17" t="str">
        <f t="shared" si="3"/>
        <v/>
      </c>
      <c r="Y10" s="17" t="str">
        <f t="shared" si="4"/>
        <v/>
      </c>
      <c r="Z10" s="77" t="str">
        <f t="shared" si="0"/>
        <v/>
      </c>
      <c r="AA10" s="53" t="str">
        <f t="shared" si="5"/>
        <v/>
      </c>
      <c r="AC10" s="21" t="s">
        <v>32</v>
      </c>
      <c r="AD10" s="22">
        <v>7</v>
      </c>
      <c r="AF10" s="21"/>
      <c r="AG10" s="17"/>
      <c r="AH10" s="17"/>
      <c r="AI10" s="77"/>
      <c r="AJ10" s="53"/>
    </row>
    <row r="11" spans="2:36" x14ac:dyDescent="0.25">
      <c r="B11" s="21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22"/>
      <c r="V11" s="91" t="str">
        <f t="shared" si="1"/>
        <v/>
      </c>
      <c r="W11" s="17" t="str">
        <f t="shared" si="2"/>
        <v/>
      </c>
      <c r="X11" s="17" t="str">
        <f t="shared" si="3"/>
        <v/>
      </c>
      <c r="Y11" s="17" t="str">
        <f t="shared" si="4"/>
        <v/>
      </c>
      <c r="Z11" s="77" t="str">
        <f t="shared" si="0"/>
        <v/>
      </c>
      <c r="AA11" s="53" t="str">
        <f t="shared" si="5"/>
        <v/>
      </c>
      <c r="AC11" s="21" t="s">
        <v>41</v>
      </c>
      <c r="AD11" s="22">
        <v>8</v>
      </c>
      <c r="AF11" s="21"/>
      <c r="AG11" s="17"/>
      <c r="AH11" s="17"/>
      <c r="AI11" s="77"/>
      <c r="AJ11" s="53"/>
    </row>
    <row r="12" spans="2:36" x14ac:dyDescent="0.25">
      <c r="B12" s="21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22"/>
      <c r="V12" s="91" t="str">
        <f t="shared" si="1"/>
        <v/>
      </c>
      <c r="W12" s="17" t="str">
        <f t="shared" si="2"/>
        <v/>
      </c>
      <c r="X12" s="17" t="str">
        <f t="shared" si="3"/>
        <v/>
      </c>
      <c r="Y12" s="17" t="str">
        <f t="shared" si="4"/>
        <v/>
      </c>
      <c r="Z12" s="77" t="str">
        <f t="shared" si="0"/>
        <v/>
      </c>
      <c r="AA12" s="53" t="str">
        <f t="shared" si="5"/>
        <v/>
      </c>
      <c r="AC12" s="21" t="s">
        <v>43</v>
      </c>
      <c r="AD12" s="22">
        <v>9</v>
      </c>
      <c r="AF12" s="21"/>
      <c r="AG12" s="17"/>
      <c r="AH12" s="17"/>
      <c r="AI12" s="77"/>
      <c r="AJ12" s="53"/>
    </row>
    <row r="13" spans="2:36" x14ac:dyDescent="0.25">
      <c r="B13" s="21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22"/>
      <c r="V13" s="91" t="str">
        <f t="shared" si="1"/>
        <v/>
      </c>
      <c r="W13" s="17" t="str">
        <f t="shared" si="2"/>
        <v/>
      </c>
      <c r="X13" s="17" t="str">
        <f t="shared" si="3"/>
        <v/>
      </c>
      <c r="Y13" s="17" t="str">
        <f t="shared" si="4"/>
        <v/>
      </c>
      <c r="Z13" s="77" t="str">
        <f t="shared" si="0"/>
        <v/>
      </c>
      <c r="AA13" s="53" t="str">
        <f t="shared" si="5"/>
        <v/>
      </c>
      <c r="AC13" s="21" t="s">
        <v>19</v>
      </c>
      <c r="AD13" s="22">
        <v>10</v>
      </c>
      <c r="AF13" s="21"/>
      <c r="AG13" s="17"/>
      <c r="AH13" s="17"/>
      <c r="AI13" s="77"/>
      <c r="AJ13" s="53"/>
    </row>
    <row r="14" spans="2:36" ht="15.75" thickBot="1" x14ac:dyDescent="0.3">
      <c r="B14" s="21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22"/>
      <c r="V14" s="91" t="str">
        <f t="shared" si="1"/>
        <v/>
      </c>
      <c r="W14" s="17" t="str">
        <f t="shared" si="2"/>
        <v/>
      </c>
      <c r="X14" s="17" t="str">
        <f t="shared" si="3"/>
        <v/>
      </c>
      <c r="Y14" s="17" t="str">
        <f t="shared" si="4"/>
        <v/>
      </c>
      <c r="Z14" s="77" t="str">
        <f t="shared" si="0"/>
        <v/>
      </c>
      <c r="AA14" s="53" t="str">
        <f t="shared" si="5"/>
        <v/>
      </c>
      <c r="AC14" s="2" t="s">
        <v>49</v>
      </c>
      <c r="AD14" s="96" t="s">
        <v>62</v>
      </c>
      <c r="AF14" s="45"/>
      <c r="AG14" s="75"/>
      <c r="AH14" s="75"/>
      <c r="AI14" s="94"/>
      <c r="AJ14" s="54"/>
    </row>
    <row r="15" spans="2:36" ht="15.75" thickBot="1" x14ac:dyDescent="0.3">
      <c r="B15" s="21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22"/>
      <c r="V15" s="91" t="str">
        <f t="shared" si="1"/>
        <v/>
      </c>
      <c r="W15" s="17" t="str">
        <f t="shared" si="2"/>
        <v/>
      </c>
      <c r="X15" s="17" t="str">
        <f t="shared" si="3"/>
        <v/>
      </c>
      <c r="Y15" s="17" t="str">
        <f t="shared" si="4"/>
        <v/>
      </c>
      <c r="Z15" s="77" t="str">
        <f t="shared" si="0"/>
        <v/>
      </c>
      <c r="AA15" s="53" t="str">
        <f t="shared" si="5"/>
        <v/>
      </c>
      <c r="AF15" s="303" t="s">
        <v>63</v>
      </c>
      <c r="AG15" s="304"/>
      <c r="AH15" s="304"/>
      <c r="AI15" s="93">
        <f>SUM(AI4:AI14)</f>
        <v>0</v>
      </c>
      <c r="AJ15" s="46"/>
    </row>
    <row r="16" spans="2:36" x14ac:dyDescent="0.25">
      <c r="B16" s="21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22"/>
      <c r="V16" s="91" t="str">
        <f t="shared" si="1"/>
        <v/>
      </c>
      <c r="W16" s="17" t="str">
        <f t="shared" si="2"/>
        <v/>
      </c>
      <c r="X16" s="17" t="str">
        <f t="shared" si="3"/>
        <v/>
      </c>
      <c r="Y16" s="17" t="str">
        <f t="shared" si="4"/>
        <v/>
      </c>
      <c r="Z16" s="77" t="str">
        <f t="shared" si="0"/>
        <v/>
      </c>
      <c r="AA16" s="53" t="str">
        <f t="shared" si="5"/>
        <v/>
      </c>
    </row>
    <row r="17" spans="2:36" ht="15.75" thickBot="1" x14ac:dyDescent="0.3">
      <c r="B17" s="21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22"/>
      <c r="V17" s="91" t="str">
        <f t="shared" si="1"/>
        <v/>
      </c>
      <c r="W17" s="17" t="str">
        <f t="shared" si="2"/>
        <v/>
      </c>
      <c r="X17" s="17" t="str">
        <f t="shared" si="3"/>
        <v/>
      </c>
      <c r="Y17" s="17" t="str">
        <f t="shared" si="4"/>
        <v/>
      </c>
      <c r="Z17" s="77" t="str">
        <f t="shared" si="0"/>
        <v/>
      </c>
      <c r="AA17" s="53" t="str">
        <f t="shared" si="5"/>
        <v/>
      </c>
      <c r="AF17" t="s">
        <v>8</v>
      </c>
      <c r="AG17" s="6">
        <f>Dashboard!U32</f>
        <v>10</v>
      </c>
    </row>
    <row r="18" spans="2:36" ht="15.75" thickBot="1" x14ac:dyDescent="0.3">
      <c r="B18" s="21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22"/>
      <c r="V18" s="91" t="str">
        <f t="shared" si="1"/>
        <v/>
      </c>
      <c r="W18" s="17" t="str">
        <f t="shared" si="2"/>
        <v/>
      </c>
      <c r="X18" s="17" t="str">
        <f t="shared" si="3"/>
        <v/>
      </c>
      <c r="Y18" s="17" t="str">
        <f t="shared" si="4"/>
        <v/>
      </c>
      <c r="Z18" s="77" t="str">
        <f t="shared" si="0"/>
        <v/>
      </c>
      <c r="AA18" s="53" t="str">
        <f t="shared" si="5"/>
        <v/>
      </c>
      <c r="AF18" s="26" t="s">
        <v>59</v>
      </c>
      <c r="AG18" s="79" t="s">
        <v>35</v>
      </c>
      <c r="AH18" s="79" t="s">
        <v>7</v>
      </c>
      <c r="AI18" s="79" t="s">
        <v>60</v>
      </c>
      <c r="AJ18" s="27" t="s">
        <v>16</v>
      </c>
    </row>
    <row r="19" spans="2:36" x14ac:dyDescent="0.25">
      <c r="B19" s="21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22"/>
      <c r="V19" s="91" t="str">
        <f t="shared" si="1"/>
        <v/>
      </c>
      <c r="W19" s="17" t="str">
        <f t="shared" si="2"/>
        <v/>
      </c>
      <c r="X19" s="17" t="str">
        <f t="shared" si="3"/>
        <v/>
      </c>
      <c r="Y19" s="17" t="str">
        <f t="shared" si="4"/>
        <v/>
      </c>
      <c r="Z19" s="77" t="str">
        <f t="shared" si="0"/>
        <v/>
      </c>
      <c r="AA19" s="53" t="str">
        <f t="shared" si="5"/>
        <v/>
      </c>
      <c r="AF19" s="18" t="str" cm="1">
        <f t="array" ref="AF19">_xlfn._xlws.FILTER($W$4:$AA$100,$V$4:$V$100=AG17,"")</f>
        <v/>
      </c>
      <c r="AG19" s="19"/>
      <c r="AH19" s="19"/>
      <c r="AI19" s="82"/>
      <c r="AJ19" s="52"/>
    </row>
    <row r="20" spans="2:36" x14ac:dyDescent="0.25">
      <c r="B20" s="21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22"/>
      <c r="V20" s="91" t="str">
        <f t="shared" si="1"/>
        <v/>
      </c>
      <c r="W20" s="17" t="str">
        <f t="shared" si="2"/>
        <v/>
      </c>
      <c r="X20" s="17" t="str">
        <f t="shared" si="3"/>
        <v/>
      </c>
      <c r="Y20" s="17" t="str">
        <f t="shared" si="4"/>
        <v/>
      </c>
      <c r="Z20" s="77" t="str">
        <f t="shared" si="0"/>
        <v/>
      </c>
      <c r="AA20" s="53" t="str">
        <f t="shared" si="5"/>
        <v/>
      </c>
      <c r="AF20" s="21"/>
      <c r="AG20" s="17"/>
      <c r="AH20" s="17"/>
      <c r="AI20" s="77"/>
      <c r="AJ20" s="53"/>
    </row>
    <row r="21" spans="2:36" x14ac:dyDescent="0.25">
      <c r="B21" s="21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22"/>
      <c r="V21" s="91" t="str">
        <f t="shared" si="1"/>
        <v/>
      </c>
      <c r="W21" s="17" t="str">
        <f t="shared" si="2"/>
        <v/>
      </c>
      <c r="X21" s="17" t="str">
        <f t="shared" si="3"/>
        <v/>
      </c>
      <c r="Y21" s="17" t="str">
        <f t="shared" si="4"/>
        <v/>
      </c>
      <c r="Z21" s="77" t="str">
        <f t="shared" si="0"/>
        <v/>
      </c>
      <c r="AA21" s="53" t="str">
        <f t="shared" si="5"/>
        <v/>
      </c>
      <c r="AF21" s="21"/>
      <c r="AG21" s="17"/>
      <c r="AH21" s="17"/>
      <c r="AI21" s="77"/>
      <c r="AJ21" s="53"/>
    </row>
    <row r="22" spans="2:36" x14ac:dyDescent="0.25">
      <c r="B22" s="21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22"/>
      <c r="V22" s="91" t="str">
        <f t="shared" si="1"/>
        <v/>
      </c>
      <c r="W22" s="17" t="str">
        <f t="shared" si="2"/>
        <v/>
      </c>
      <c r="X22" s="17" t="str">
        <f t="shared" si="3"/>
        <v/>
      </c>
      <c r="Y22" s="17" t="str">
        <f t="shared" si="4"/>
        <v/>
      </c>
      <c r="Z22" s="77" t="str">
        <f t="shared" si="0"/>
        <v/>
      </c>
      <c r="AA22" s="53" t="str">
        <f t="shared" si="5"/>
        <v/>
      </c>
      <c r="AF22" s="21"/>
      <c r="AG22" s="17"/>
      <c r="AH22" s="17"/>
      <c r="AI22" s="77"/>
      <c r="AJ22" s="53"/>
    </row>
    <row r="23" spans="2:36" x14ac:dyDescent="0.25">
      <c r="B23" s="21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22"/>
      <c r="V23" s="91" t="str">
        <f t="shared" si="1"/>
        <v/>
      </c>
      <c r="W23" s="17" t="str">
        <f t="shared" si="2"/>
        <v/>
      </c>
      <c r="X23" s="17" t="str">
        <f t="shared" si="3"/>
        <v/>
      </c>
      <c r="Y23" s="17" t="str">
        <f t="shared" si="4"/>
        <v/>
      </c>
      <c r="Z23" s="77" t="str">
        <f t="shared" si="0"/>
        <v/>
      </c>
      <c r="AA23" s="53" t="str">
        <f t="shared" si="5"/>
        <v/>
      </c>
      <c r="AF23" s="21"/>
      <c r="AG23" s="17"/>
      <c r="AH23" s="17"/>
      <c r="AI23" s="77"/>
      <c r="AJ23" s="53"/>
    </row>
    <row r="24" spans="2:36" x14ac:dyDescent="0.25">
      <c r="B24" s="21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22"/>
      <c r="V24" s="91" t="str">
        <f t="shared" si="1"/>
        <v/>
      </c>
      <c r="W24" s="17" t="str">
        <f t="shared" si="2"/>
        <v/>
      </c>
      <c r="X24" s="17" t="str">
        <f t="shared" si="3"/>
        <v/>
      </c>
      <c r="Y24" s="17" t="str">
        <f t="shared" si="4"/>
        <v/>
      </c>
      <c r="Z24" s="77" t="str">
        <f t="shared" si="0"/>
        <v/>
      </c>
      <c r="AA24" s="53" t="str">
        <f t="shared" si="5"/>
        <v/>
      </c>
      <c r="AF24" s="21"/>
      <c r="AG24" s="17"/>
      <c r="AH24" s="17"/>
      <c r="AI24" s="77"/>
      <c r="AJ24" s="53"/>
    </row>
    <row r="25" spans="2:36" x14ac:dyDescent="0.25">
      <c r="B25" s="21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22"/>
      <c r="V25" s="91" t="str">
        <f t="shared" si="1"/>
        <v/>
      </c>
      <c r="W25" s="17" t="str">
        <f t="shared" si="2"/>
        <v/>
      </c>
      <c r="X25" s="17" t="str">
        <f t="shared" si="3"/>
        <v/>
      </c>
      <c r="Y25" s="17" t="str">
        <f t="shared" si="4"/>
        <v/>
      </c>
      <c r="Z25" s="77" t="str">
        <f t="shared" si="0"/>
        <v/>
      </c>
      <c r="AA25" s="53" t="str">
        <f t="shared" si="5"/>
        <v/>
      </c>
      <c r="AF25" s="21"/>
      <c r="AG25" s="17"/>
      <c r="AH25" s="17"/>
      <c r="AI25" s="77"/>
      <c r="AJ25" s="53"/>
    </row>
    <row r="26" spans="2:36" x14ac:dyDescent="0.25">
      <c r="B26" s="21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22"/>
      <c r="V26" s="91" t="str">
        <f t="shared" si="1"/>
        <v/>
      </c>
      <c r="W26" s="17" t="str">
        <f t="shared" si="2"/>
        <v/>
      </c>
      <c r="X26" s="17" t="str">
        <f t="shared" si="3"/>
        <v/>
      </c>
      <c r="Y26" s="17" t="str">
        <f t="shared" si="4"/>
        <v/>
      </c>
      <c r="Z26" s="77" t="str">
        <f t="shared" si="0"/>
        <v/>
      </c>
      <c r="AA26" s="53" t="str">
        <f t="shared" si="5"/>
        <v/>
      </c>
      <c r="AF26" s="21"/>
      <c r="AG26" s="17"/>
      <c r="AH26" s="17"/>
      <c r="AI26" s="77"/>
      <c r="AJ26" s="53"/>
    </row>
    <row r="27" spans="2:36" x14ac:dyDescent="0.25">
      <c r="B27" s="21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22"/>
      <c r="V27" s="91" t="str">
        <f t="shared" si="1"/>
        <v/>
      </c>
      <c r="W27" s="17" t="str">
        <f t="shared" si="2"/>
        <v/>
      </c>
      <c r="X27" s="17" t="str">
        <f t="shared" si="3"/>
        <v/>
      </c>
      <c r="Y27" s="17" t="str">
        <f t="shared" si="4"/>
        <v/>
      </c>
      <c r="Z27" s="77" t="str">
        <f t="shared" si="0"/>
        <v/>
      </c>
      <c r="AA27" s="53" t="str">
        <f t="shared" si="5"/>
        <v/>
      </c>
      <c r="AF27" s="21"/>
      <c r="AG27" s="17"/>
      <c r="AH27" s="17"/>
      <c r="AI27" s="77"/>
      <c r="AJ27" s="53"/>
    </row>
    <row r="28" spans="2:36" x14ac:dyDescent="0.25">
      <c r="B28" s="21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22"/>
      <c r="V28" s="91" t="str">
        <f t="shared" si="1"/>
        <v/>
      </c>
      <c r="W28" s="17" t="str">
        <f t="shared" si="2"/>
        <v/>
      </c>
      <c r="X28" s="17" t="str">
        <f t="shared" si="3"/>
        <v/>
      </c>
      <c r="Y28" s="17" t="str">
        <f t="shared" si="4"/>
        <v/>
      </c>
      <c r="Z28" s="77" t="str">
        <f t="shared" si="0"/>
        <v/>
      </c>
      <c r="AA28" s="53" t="str">
        <f t="shared" si="5"/>
        <v/>
      </c>
      <c r="AF28" s="21"/>
      <c r="AG28" s="17"/>
      <c r="AH28" s="17"/>
      <c r="AI28" s="77"/>
      <c r="AJ28" s="53"/>
    </row>
    <row r="29" spans="2:36" ht="15.75" thickBot="1" x14ac:dyDescent="0.3">
      <c r="B29" s="21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22"/>
      <c r="V29" s="91" t="str">
        <f t="shared" si="1"/>
        <v/>
      </c>
      <c r="W29" s="17" t="str">
        <f t="shared" si="2"/>
        <v/>
      </c>
      <c r="X29" s="17" t="str">
        <f t="shared" si="3"/>
        <v/>
      </c>
      <c r="Y29" s="17" t="str">
        <f t="shared" si="4"/>
        <v/>
      </c>
      <c r="Z29" s="77" t="str">
        <f t="shared" si="0"/>
        <v/>
      </c>
      <c r="AA29" s="53" t="str">
        <f t="shared" si="5"/>
        <v/>
      </c>
      <c r="AF29" s="45"/>
      <c r="AG29" s="75"/>
      <c r="AH29" s="75"/>
      <c r="AI29" s="94"/>
      <c r="AJ29" s="54"/>
    </row>
    <row r="30" spans="2:36" ht="15.75" thickBot="1" x14ac:dyDescent="0.3">
      <c r="B30" s="21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22"/>
      <c r="V30" s="91" t="str">
        <f t="shared" si="1"/>
        <v/>
      </c>
      <c r="W30" s="17" t="str">
        <f t="shared" si="2"/>
        <v/>
      </c>
      <c r="X30" s="17" t="str">
        <f t="shared" si="3"/>
        <v/>
      </c>
      <c r="Y30" s="17" t="str">
        <f t="shared" si="4"/>
        <v/>
      </c>
      <c r="Z30" s="77" t="str">
        <f t="shared" si="0"/>
        <v/>
      </c>
      <c r="AA30" s="53" t="str">
        <f t="shared" si="5"/>
        <v/>
      </c>
      <c r="AF30" s="303" t="s">
        <v>63</v>
      </c>
      <c r="AG30" s="304"/>
      <c r="AH30" s="304"/>
      <c r="AI30" s="93">
        <f>SUM(AI19:AI29)</f>
        <v>0</v>
      </c>
      <c r="AJ30" s="46"/>
    </row>
    <row r="31" spans="2:36" x14ac:dyDescent="0.25">
      <c r="B31" s="21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22"/>
      <c r="V31" s="91" t="str">
        <f t="shared" si="1"/>
        <v/>
      </c>
      <c r="W31" s="17" t="str">
        <f t="shared" si="2"/>
        <v/>
      </c>
      <c r="X31" s="17" t="str">
        <f t="shared" si="3"/>
        <v/>
      </c>
      <c r="Y31" s="17" t="str">
        <f t="shared" si="4"/>
        <v/>
      </c>
      <c r="Z31" s="77" t="str">
        <f t="shared" si="0"/>
        <v/>
      </c>
      <c r="AA31" s="53" t="str">
        <f t="shared" si="5"/>
        <v/>
      </c>
    </row>
    <row r="32" spans="2:36" ht="15.75" thickBot="1" x14ac:dyDescent="0.3">
      <c r="B32" s="21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22"/>
      <c r="V32" s="91" t="str">
        <f t="shared" si="1"/>
        <v/>
      </c>
      <c r="W32" s="17" t="str">
        <f t="shared" si="2"/>
        <v/>
      </c>
      <c r="X32" s="17" t="str">
        <f t="shared" si="3"/>
        <v/>
      </c>
      <c r="Y32" s="17" t="str">
        <f t="shared" si="4"/>
        <v/>
      </c>
      <c r="Z32" s="77" t="str">
        <f t="shared" si="0"/>
        <v/>
      </c>
      <c r="AA32" s="53" t="str">
        <f t="shared" si="5"/>
        <v/>
      </c>
      <c r="AF32" t="s">
        <v>8</v>
      </c>
      <c r="AG32" s="6">
        <f>Dashboard!AN32</f>
        <v>11</v>
      </c>
    </row>
    <row r="33" spans="2:36" ht="15.75" thickBot="1" x14ac:dyDescent="0.3">
      <c r="B33" s="21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22"/>
      <c r="V33" s="91" t="str">
        <f t="shared" si="1"/>
        <v/>
      </c>
      <c r="W33" s="17" t="str">
        <f t="shared" si="2"/>
        <v/>
      </c>
      <c r="X33" s="17" t="str">
        <f t="shared" si="3"/>
        <v/>
      </c>
      <c r="Y33" s="17" t="str">
        <f t="shared" si="4"/>
        <v/>
      </c>
      <c r="Z33" s="77" t="str">
        <f t="shared" si="0"/>
        <v/>
      </c>
      <c r="AA33" s="53" t="str">
        <f t="shared" si="5"/>
        <v/>
      </c>
      <c r="AF33" s="26" t="s">
        <v>59</v>
      </c>
      <c r="AG33" s="79" t="s">
        <v>35</v>
      </c>
      <c r="AH33" s="79" t="s">
        <v>7</v>
      </c>
      <c r="AI33" s="79" t="s">
        <v>60</v>
      </c>
      <c r="AJ33" s="27" t="s">
        <v>16</v>
      </c>
    </row>
    <row r="34" spans="2:36" x14ac:dyDescent="0.25">
      <c r="B34" s="21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22"/>
      <c r="V34" s="91" t="str">
        <f t="shared" si="1"/>
        <v/>
      </c>
      <c r="W34" s="17" t="str">
        <f t="shared" si="2"/>
        <v/>
      </c>
      <c r="X34" s="17" t="str">
        <f t="shared" si="3"/>
        <v/>
      </c>
      <c r="Y34" s="17" t="str">
        <f t="shared" si="4"/>
        <v/>
      </c>
      <c r="Z34" s="77" t="str">
        <f t="shared" si="0"/>
        <v/>
      </c>
      <c r="AA34" s="53" t="str">
        <f t="shared" si="5"/>
        <v/>
      </c>
      <c r="AF34" s="18" t="str" cm="1">
        <f t="array" ref="AF34">_xlfn._xlws.FILTER($W$4:$AA$100,$V$4:$V$100=AG32,"")</f>
        <v/>
      </c>
      <c r="AG34" s="19"/>
      <c r="AH34" s="19"/>
      <c r="AI34" s="82"/>
      <c r="AJ34" s="52"/>
    </row>
    <row r="35" spans="2:36" x14ac:dyDescent="0.25">
      <c r="B35" s="21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22"/>
      <c r="V35" s="91" t="str">
        <f t="shared" si="1"/>
        <v/>
      </c>
      <c r="W35" s="17" t="str">
        <f t="shared" si="2"/>
        <v/>
      </c>
      <c r="X35" s="17" t="str">
        <f t="shared" si="3"/>
        <v/>
      </c>
      <c r="Y35" s="17" t="str">
        <f t="shared" si="4"/>
        <v/>
      </c>
      <c r="Z35" s="77" t="str">
        <f t="shared" si="0"/>
        <v/>
      </c>
      <c r="AA35" s="53" t="str">
        <f t="shared" si="5"/>
        <v/>
      </c>
      <c r="AF35" s="21"/>
      <c r="AG35" s="17"/>
      <c r="AH35" s="17"/>
      <c r="AI35" s="77"/>
      <c r="AJ35" s="53"/>
    </row>
    <row r="36" spans="2:36" x14ac:dyDescent="0.25">
      <c r="B36" s="21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22"/>
      <c r="V36" s="91" t="str">
        <f t="shared" si="1"/>
        <v/>
      </c>
      <c r="W36" s="17" t="str">
        <f t="shared" si="2"/>
        <v/>
      </c>
      <c r="X36" s="17" t="str">
        <f t="shared" si="3"/>
        <v/>
      </c>
      <c r="Y36" s="17" t="str">
        <f t="shared" si="4"/>
        <v/>
      </c>
      <c r="Z36" s="77" t="str">
        <f t="shared" si="0"/>
        <v/>
      </c>
      <c r="AA36" s="53" t="str">
        <f t="shared" si="5"/>
        <v/>
      </c>
      <c r="AF36" s="21"/>
      <c r="AG36" s="17"/>
      <c r="AH36" s="17"/>
      <c r="AI36" s="77"/>
      <c r="AJ36" s="53"/>
    </row>
    <row r="37" spans="2:36" x14ac:dyDescent="0.25">
      <c r="B37" s="21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22"/>
      <c r="V37" s="91" t="str">
        <f t="shared" si="1"/>
        <v/>
      </c>
      <c r="W37" s="17" t="str">
        <f t="shared" si="2"/>
        <v/>
      </c>
      <c r="X37" s="17" t="str">
        <f t="shared" si="3"/>
        <v/>
      </c>
      <c r="Y37" s="17" t="str">
        <f t="shared" si="4"/>
        <v/>
      </c>
      <c r="Z37" s="77" t="str">
        <f t="shared" si="0"/>
        <v/>
      </c>
      <c r="AA37" s="53" t="str">
        <f t="shared" si="5"/>
        <v/>
      </c>
      <c r="AF37" s="21"/>
      <c r="AG37" s="17"/>
      <c r="AH37" s="17"/>
      <c r="AI37" s="77"/>
      <c r="AJ37" s="53"/>
    </row>
    <row r="38" spans="2:36" x14ac:dyDescent="0.25">
      <c r="B38" s="21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22"/>
      <c r="V38" s="91" t="str">
        <f t="shared" si="1"/>
        <v/>
      </c>
      <c r="W38" s="17" t="str">
        <f t="shared" si="2"/>
        <v/>
      </c>
      <c r="X38" s="17" t="str">
        <f t="shared" si="3"/>
        <v/>
      </c>
      <c r="Y38" s="17" t="str">
        <f t="shared" si="4"/>
        <v/>
      </c>
      <c r="Z38" s="77" t="str">
        <f t="shared" si="0"/>
        <v/>
      </c>
      <c r="AA38" s="53" t="str">
        <f t="shared" si="5"/>
        <v/>
      </c>
      <c r="AF38" s="21"/>
      <c r="AG38" s="17"/>
      <c r="AH38" s="17"/>
      <c r="AI38" s="77"/>
      <c r="AJ38" s="53"/>
    </row>
    <row r="39" spans="2:36" x14ac:dyDescent="0.25">
      <c r="B39" s="21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22"/>
      <c r="V39" s="91" t="str">
        <f t="shared" si="1"/>
        <v/>
      </c>
      <c r="W39" s="17" t="str">
        <f t="shared" si="2"/>
        <v/>
      </c>
      <c r="X39" s="17" t="str">
        <f t="shared" si="3"/>
        <v/>
      </c>
      <c r="Y39" s="17" t="str">
        <f t="shared" si="4"/>
        <v/>
      </c>
      <c r="Z39" s="17" t="str">
        <f t="shared" si="0"/>
        <v/>
      </c>
      <c r="AA39" s="53" t="str">
        <f t="shared" si="5"/>
        <v/>
      </c>
      <c r="AF39" s="21"/>
      <c r="AG39" s="17"/>
      <c r="AH39" s="17"/>
      <c r="AI39" s="77"/>
      <c r="AJ39" s="53"/>
    </row>
    <row r="40" spans="2:36" x14ac:dyDescent="0.25">
      <c r="B40" s="21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22"/>
      <c r="V40" s="91" t="str">
        <f t="shared" si="1"/>
        <v/>
      </c>
      <c r="W40" s="17" t="str">
        <f t="shared" si="2"/>
        <v/>
      </c>
      <c r="X40" s="17" t="str">
        <f t="shared" si="3"/>
        <v/>
      </c>
      <c r="Y40" s="17" t="str">
        <f t="shared" si="4"/>
        <v/>
      </c>
      <c r="Z40" s="17" t="str">
        <f t="shared" si="0"/>
        <v/>
      </c>
      <c r="AA40" s="53" t="str">
        <f t="shared" si="5"/>
        <v/>
      </c>
      <c r="AF40" s="21"/>
      <c r="AG40" s="17"/>
      <c r="AH40" s="17"/>
      <c r="AI40" s="77"/>
      <c r="AJ40" s="53"/>
    </row>
    <row r="41" spans="2:36" x14ac:dyDescent="0.25">
      <c r="B41" s="21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22"/>
      <c r="V41" s="91" t="str">
        <f t="shared" si="1"/>
        <v/>
      </c>
      <c r="W41" s="17" t="str">
        <f t="shared" si="2"/>
        <v/>
      </c>
      <c r="X41" s="17" t="str">
        <f t="shared" si="3"/>
        <v/>
      </c>
      <c r="Y41" s="17" t="str">
        <f t="shared" si="4"/>
        <v/>
      </c>
      <c r="Z41" s="17" t="str">
        <f t="shared" si="0"/>
        <v/>
      </c>
      <c r="AA41" s="53" t="str">
        <f t="shared" si="5"/>
        <v/>
      </c>
      <c r="AF41" s="21"/>
      <c r="AG41" s="17"/>
      <c r="AH41" s="17"/>
      <c r="AI41" s="77"/>
      <c r="AJ41" s="53"/>
    </row>
    <row r="42" spans="2:36" x14ac:dyDescent="0.25">
      <c r="B42" s="21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22"/>
      <c r="V42" s="91" t="str">
        <f t="shared" si="1"/>
        <v/>
      </c>
      <c r="W42" s="17" t="str">
        <f t="shared" si="2"/>
        <v/>
      </c>
      <c r="X42" s="17" t="str">
        <f t="shared" si="3"/>
        <v/>
      </c>
      <c r="Y42" s="17" t="str">
        <f t="shared" si="4"/>
        <v/>
      </c>
      <c r="Z42" s="17" t="str">
        <f t="shared" si="0"/>
        <v/>
      </c>
      <c r="AA42" s="53" t="str">
        <f t="shared" si="5"/>
        <v/>
      </c>
      <c r="AF42" s="21"/>
      <c r="AG42" s="17"/>
      <c r="AH42" s="17"/>
      <c r="AI42" s="77"/>
      <c r="AJ42" s="53"/>
    </row>
    <row r="43" spans="2:36" x14ac:dyDescent="0.25">
      <c r="B43" s="21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22"/>
      <c r="V43" s="91" t="str">
        <f t="shared" si="1"/>
        <v/>
      </c>
      <c r="W43" s="17" t="str">
        <f t="shared" si="2"/>
        <v/>
      </c>
      <c r="X43" s="17" t="str">
        <f t="shared" si="3"/>
        <v/>
      </c>
      <c r="Y43" s="17" t="str">
        <f t="shared" si="4"/>
        <v/>
      </c>
      <c r="Z43" s="17" t="str">
        <f t="shared" si="0"/>
        <v/>
      </c>
      <c r="AA43" s="53" t="str">
        <f t="shared" si="5"/>
        <v/>
      </c>
      <c r="AF43" s="21"/>
      <c r="AG43" s="17"/>
      <c r="AH43" s="17"/>
      <c r="AI43" s="77"/>
      <c r="AJ43" s="53"/>
    </row>
    <row r="44" spans="2:36" ht="15.75" thickBot="1" x14ac:dyDescent="0.3">
      <c r="B44" s="21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22"/>
      <c r="V44" s="91" t="str">
        <f t="shared" si="1"/>
        <v/>
      </c>
      <c r="W44" s="17" t="str">
        <f t="shared" si="2"/>
        <v/>
      </c>
      <c r="X44" s="17" t="str">
        <f t="shared" si="3"/>
        <v/>
      </c>
      <c r="Y44" s="17" t="str">
        <f t="shared" si="4"/>
        <v/>
      </c>
      <c r="Z44" s="17" t="str">
        <f t="shared" si="0"/>
        <v/>
      </c>
      <c r="AA44" s="53" t="str">
        <f t="shared" si="5"/>
        <v/>
      </c>
      <c r="AF44" s="45"/>
      <c r="AG44" s="75"/>
      <c r="AH44" s="75"/>
      <c r="AI44" s="94"/>
      <c r="AJ44" s="54"/>
    </row>
    <row r="45" spans="2:36" ht="15.75" thickBot="1" x14ac:dyDescent="0.3">
      <c r="B45" s="21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22"/>
      <c r="V45" s="91" t="str">
        <f t="shared" si="1"/>
        <v/>
      </c>
      <c r="W45" s="17" t="str">
        <f t="shared" si="2"/>
        <v/>
      </c>
      <c r="X45" s="17" t="str">
        <f t="shared" si="3"/>
        <v/>
      </c>
      <c r="Y45" s="17" t="str">
        <f t="shared" si="4"/>
        <v/>
      </c>
      <c r="Z45" s="17" t="str">
        <f t="shared" si="0"/>
        <v/>
      </c>
      <c r="AA45" s="53" t="str">
        <f t="shared" si="5"/>
        <v/>
      </c>
      <c r="AF45" s="303" t="s">
        <v>63</v>
      </c>
      <c r="AG45" s="304"/>
      <c r="AH45" s="304"/>
      <c r="AI45" s="93">
        <f>SUM(AI34:AI44)</f>
        <v>0</v>
      </c>
      <c r="AJ45" s="46"/>
    </row>
    <row r="46" spans="2:36" x14ac:dyDescent="0.25">
      <c r="B46" s="21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22"/>
      <c r="V46" s="91" t="str">
        <f t="shared" si="1"/>
        <v/>
      </c>
      <c r="W46" s="17" t="str">
        <f t="shared" si="2"/>
        <v/>
      </c>
      <c r="X46" s="17" t="str">
        <f t="shared" si="3"/>
        <v/>
      </c>
      <c r="Y46" s="17" t="str">
        <f t="shared" si="4"/>
        <v/>
      </c>
      <c r="Z46" s="17" t="str">
        <f t="shared" si="0"/>
        <v/>
      </c>
      <c r="AA46" s="53" t="str">
        <f t="shared" si="5"/>
        <v/>
      </c>
    </row>
    <row r="47" spans="2:36" x14ac:dyDescent="0.25">
      <c r="B47" s="21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22"/>
      <c r="V47" s="91" t="str">
        <f t="shared" si="1"/>
        <v/>
      </c>
      <c r="W47" s="17" t="str">
        <f t="shared" si="2"/>
        <v/>
      </c>
      <c r="X47" s="17" t="str">
        <f t="shared" si="3"/>
        <v/>
      </c>
      <c r="Y47" s="17" t="str">
        <f t="shared" si="4"/>
        <v/>
      </c>
      <c r="Z47" s="17" t="str">
        <f t="shared" si="0"/>
        <v/>
      </c>
      <c r="AA47" s="53" t="str">
        <f t="shared" si="5"/>
        <v/>
      </c>
    </row>
    <row r="48" spans="2:36" x14ac:dyDescent="0.25">
      <c r="B48" s="21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22"/>
      <c r="V48" s="91" t="str">
        <f t="shared" si="1"/>
        <v/>
      </c>
      <c r="W48" s="17" t="str">
        <f t="shared" si="2"/>
        <v/>
      </c>
      <c r="X48" s="17" t="str">
        <f t="shared" si="3"/>
        <v/>
      </c>
      <c r="Y48" s="17" t="str">
        <f t="shared" si="4"/>
        <v/>
      </c>
      <c r="Z48" s="17" t="str">
        <f t="shared" si="0"/>
        <v/>
      </c>
      <c r="AA48" s="53" t="str">
        <f t="shared" si="5"/>
        <v/>
      </c>
    </row>
    <row r="49" spans="2:27" x14ac:dyDescent="0.25">
      <c r="B49" s="21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22"/>
      <c r="V49" s="91" t="str">
        <f t="shared" si="1"/>
        <v/>
      </c>
      <c r="W49" s="17" t="str">
        <f t="shared" si="2"/>
        <v/>
      </c>
      <c r="X49" s="17" t="str">
        <f t="shared" si="3"/>
        <v/>
      </c>
      <c r="Y49" s="17" t="str">
        <f t="shared" si="4"/>
        <v/>
      </c>
      <c r="Z49" s="17" t="str">
        <f t="shared" si="0"/>
        <v/>
      </c>
      <c r="AA49" s="53" t="str">
        <f t="shared" si="5"/>
        <v/>
      </c>
    </row>
    <row r="50" spans="2:27" x14ac:dyDescent="0.25">
      <c r="B50" s="21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22"/>
      <c r="V50" s="91" t="str">
        <f t="shared" si="1"/>
        <v/>
      </c>
      <c r="W50" s="17" t="str">
        <f t="shared" si="2"/>
        <v/>
      </c>
      <c r="X50" s="17" t="str">
        <f t="shared" si="3"/>
        <v/>
      </c>
      <c r="Y50" s="17" t="str">
        <f t="shared" si="4"/>
        <v/>
      </c>
      <c r="Z50" s="17" t="str">
        <f t="shared" si="0"/>
        <v/>
      </c>
      <c r="AA50" s="53" t="str">
        <f t="shared" si="5"/>
        <v/>
      </c>
    </row>
    <row r="51" spans="2:27" x14ac:dyDescent="0.25">
      <c r="B51" s="21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22"/>
      <c r="V51" s="91" t="str">
        <f t="shared" si="1"/>
        <v/>
      </c>
      <c r="W51" s="17" t="str">
        <f t="shared" si="2"/>
        <v/>
      </c>
      <c r="X51" s="17" t="str">
        <f t="shared" si="3"/>
        <v/>
      </c>
      <c r="Y51" s="17" t="str">
        <f t="shared" si="4"/>
        <v/>
      </c>
      <c r="Z51" s="17" t="str">
        <f t="shared" si="0"/>
        <v/>
      </c>
      <c r="AA51" s="53" t="str">
        <f t="shared" si="5"/>
        <v/>
      </c>
    </row>
    <row r="52" spans="2:27" x14ac:dyDescent="0.25">
      <c r="B52" s="21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22"/>
      <c r="V52" s="91" t="str">
        <f t="shared" si="1"/>
        <v/>
      </c>
      <c r="W52" s="17" t="str">
        <f t="shared" si="2"/>
        <v/>
      </c>
      <c r="X52" s="17" t="str">
        <f t="shared" si="3"/>
        <v/>
      </c>
      <c r="Y52" s="17" t="str">
        <f t="shared" si="4"/>
        <v/>
      </c>
      <c r="Z52" s="17" t="str">
        <f t="shared" si="0"/>
        <v/>
      </c>
      <c r="AA52" s="53" t="str">
        <f t="shared" si="5"/>
        <v/>
      </c>
    </row>
    <row r="53" spans="2:27" x14ac:dyDescent="0.25">
      <c r="B53" s="21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22"/>
      <c r="V53" s="91" t="str">
        <f t="shared" si="1"/>
        <v/>
      </c>
      <c r="W53" s="17" t="str">
        <f t="shared" si="2"/>
        <v/>
      </c>
      <c r="X53" s="17" t="str">
        <f t="shared" si="3"/>
        <v/>
      </c>
      <c r="Y53" s="17" t="str">
        <f t="shared" si="4"/>
        <v/>
      </c>
      <c r="Z53" s="17" t="str">
        <f t="shared" si="0"/>
        <v/>
      </c>
      <c r="AA53" s="53" t="str">
        <f t="shared" si="5"/>
        <v/>
      </c>
    </row>
    <row r="54" spans="2:27" x14ac:dyDescent="0.25">
      <c r="B54" s="21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22"/>
      <c r="V54" s="91" t="str">
        <f t="shared" si="1"/>
        <v/>
      </c>
      <c r="W54" s="17" t="str">
        <f t="shared" si="2"/>
        <v/>
      </c>
      <c r="X54" s="17" t="str">
        <f t="shared" si="3"/>
        <v/>
      </c>
      <c r="Y54" s="17" t="str">
        <f t="shared" si="4"/>
        <v/>
      </c>
      <c r="Z54" s="17" t="str">
        <f t="shared" si="0"/>
        <v/>
      </c>
      <c r="AA54" s="53" t="str">
        <f t="shared" si="5"/>
        <v/>
      </c>
    </row>
    <row r="55" spans="2:27" x14ac:dyDescent="0.25">
      <c r="B55" s="21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22"/>
      <c r="V55" s="91" t="str">
        <f t="shared" si="1"/>
        <v/>
      </c>
      <c r="W55" s="17" t="str">
        <f t="shared" si="2"/>
        <v/>
      </c>
      <c r="X55" s="17" t="str">
        <f t="shared" si="3"/>
        <v/>
      </c>
      <c r="Y55" s="17" t="str">
        <f t="shared" si="4"/>
        <v/>
      </c>
      <c r="Z55" s="17" t="str">
        <f t="shared" si="0"/>
        <v/>
      </c>
      <c r="AA55" s="53" t="str">
        <f t="shared" si="5"/>
        <v/>
      </c>
    </row>
    <row r="56" spans="2:27" x14ac:dyDescent="0.25">
      <c r="B56" s="21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22"/>
      <c r="V56" s="91" t="str">
        <f t="shared" si="1"/>
        <v/>
      </c>
      <c r="W56" s="17" t="str">
        <f t="shared" si="2"/>
        <v/>
      </c>
      <c r="X56" s="17" t="str">
        <f t="shared" si="3"/>
        <v/>
      </c>
      <c r="Y56" s="17" t="str">
        <f t="shared" si="4"/>
        <v/>
      </c>
      <c r="Z56" s="17" t="str">
        <f t="shared" si="0"/>
        <v/>
      </c>
      <c r="AA56" s="53" t="str">
        <f t="shared" si="5"/>
        <v/>
      </c>
    </row>
    <row r="57" spans="2:27" x14ac:dyDescent="0.25">
      <c r="B57" s="21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22"/>
      <c r="V57" s="91" t="str">
        <f t="shared" si="1"/>
        <v/>
      </c>
      <c r="W57" s="17" t="str">
        <f t="shared" si="2"/>
        <v/>
      </c>
      <c r="X57" s="17" t="str">
        <f t="shared" si="3"/>
        <v/>
      </c>
      <c r="Y57" s="17" t="str">
        <f t="shared" si="4"/>
        <v/>
      </c>
      <c r="Z57" s="17" t="str">
        <f t="shared" si="0"/>
        <v/>
      </c>
      <c r="AA57" s="53" t="str">
        <f t="shared" si="5"/>
        <v/>
      </c>
    </row>
    <row r="58" spans="2:27" x14ac:dyDescent="0.25">
      <c r="B58" s="21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22"/>
      <c r="V58" s="91" t="str">
        <f t="shared" si="1"/>
        <v/>
      </c>
      <c r="W58" s="17" t="str">
        <f t="shared" si="2"/>
        <v/>
      </c>
      <c r="X58" s="17" t="str">
        <f t="shared" si="3"/>
        <v/>
      </c>
      <c r="Y58" s="17" t="str">
        <f t="shared" si="4"/>
        <v/>
      </c>
      <c r="Z58" s="17" t="str">
        <f t="shared" si="0"/>
        <v/>
      </c>
      <c r="AA58" s="53" t="str">
        <f t="shared" si="5"/>
        <v/>
      </c>
    </row>
    <row r="59" spans="2:27" x14ac:dyDescent="0.25">
      <c r="B59" s="21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22"/>
      <c r="V59" s="91" t="str">
        <f t="shared" si="1"/>
        <v/>
      </c>
      <c r="W59" s="17" t="str">
        <f t="shared" si="2"/>
        <v/>
      </c>
      <c r="X59" s="17" t="str">
        <f t="shared" si="3"/>
        <v/>
      </c>
      <c r="Y59" s="17" t="str">
        <f t="shared" si="4"/>
        <v/>
      </c>
      <c r="Z59" s="17" t="str">
        <f t="shared" si="0"/>
        <v/>
      </c>
      <c r="AA59" s="53" t="str">
        <f t="shared" si="5"/>
        <v/>
      </c>
    </row>
    <row r="60" spans="2:27" x14ac:dyDescent="0.25">
      <c r="B60" s="21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22"/>
      <c r="V60" s="91" t="str">
        <f t="shared" si="1"/>
        <v/>
      </c>
      <c r="W60" s="17" t="str">
        <f t="shared" si="2"/>
        <v/>
      </c>
      <c r="X60" s="17" t="str">
        <f t="shared" si="3"/>
        <v/>
      </c>
      <c r="Y60" s="17" t="str">
        <f t="shared" si="4"/>
        <v/>
      </c>
      <c r="Z60" s="17" t="str">
        <f t="shared" si="0"/>
        <v/>
      </c>
      <c r="AA60" s="53" t="str">
        <f t="shared" si="5"/>
        <v/>
      </c>
    </row>
    <row r="61" spans="2:27" x14ac:dyDescent="0.25">
      <c r="B61" s="21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22"/>
      <c r="V61" s="91" t="str">
        <f t="shared" si="1"/>
        <v/>
      </c>
      <c r="W61" s="17" t="str">
        <f t="shared" si="2"/>
        <v/>
      </c>
      <c r="X61" s="17" t="str">
        <f t="shared" si="3"/>
        <v/>
      </c>
      <c r="Y61" s="17" t="str">
        <f t="shared" si="4"/>
        <v/>
      </c>
      <c r="Z61" s="17" t="str">
        <f t="shared" si="0"/>
        <v/>
      </c>
      <c r="AA61" s="53" t="str">
        <f t="shared" si="5"/>
        <v/>
      </c>
    </row>
    <row r="62" spans="2:27" x14ac:dyDescent="0.25">
      <c r="B62" s="21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22"/>
      <c r="V62" s="91" t="str">
        <f t="shared" si="1"/>
        <v/>
      </c>
      <c r="W62" s="17" t="str">
        <f t="shared" si="2"/>
        <v/>
      </c>
      <c r="X62" s="17" t="str">
        <f t="shared" si="3"/>
        <v/>
      </c>
      <c r="Y62" s="17" t="str">
        <f t="shared" si="4"/>
        <v/>
      </c>
      <c r="Z62" s="17" t="str">
        <f t="shared" si="0"/>
        <v/>
      </c>
      <c r="AA62" s="53" t="str">
        <f t="shared" si="5"/>
        <v/>
      </c>
    </row>
    <row r="63" spans="2:27" x14ac:dyDescent="0.25">
      <c r="B63" s="21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22"/>
      <c r="V63" s="91" t="str">
        <f t="shared" si="1"/>
        <v/>
      </c>
      <c r="W63" s="17" t="str">
        <f t="shared" si="2"/>
        <v/>
      </c>
      <c r="X63" s="17" t="str">
        <f t="shared" si="3"/>
        <v/>
      </c>
      <c r="Y63" s="17" t="str">
        <f t="shared" si="4"/>
        <v/>
      </c>
      <c r="Z63" s="17" t="str">
        <f t="shared" si="0"/>
        <v/>
      </c>
      <c r="AA63" s="53" t="str">
        <f t="shared" si="5"/>
        <v/>
      </c>
    </row>
    <row r="64" spans="2:27" x14ac:dyDescent="0.25">
      <c r="B64" s="21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22"/>
      <c r="V64" s="91" t="str">
        <f t="shared" si="1"/>
        <v/>
      </c>
      <c r="W64" s="17" t="str">
        <f t="shared" si="2"/>
        <v/>
      </c>
      <c r="X64" s="17" t="str">
        <f t="shared" si="3"/>
        <v/>
      </c>
      <c r="Y64" s="17" t="str">
        <f t="shared" si="4"/>
        <v/>
      </c>
      <c r="Z64" s="17" t="str">
        <f t="shared" si="0"/>
        <v/>
      </c>
      <c r="AA64" s="53" t="str">
        <f t="shared" si="5"/>
        <v/>
      </c>
    </row>
    <row r="65" spans="2:27" x14ac:dyDescent="0.25">
      <c r="B65" s="21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22"/>
      <c r="V65" s="91" t="str">
        <f t="shared" si="1"/>
        <v/>
      </c>
      <c r="W65" s="17" t="str">
        <f t="shared" si="2"/>
        <v/>
      </c>
      <c r="X65" s="17" t="str">
        <f t="shared" si="3"/>
        <v/>
      </c>
      <c r="Y65" s="17" t="str">
        <f t="shared" si="4"/>
        <v/>
      </c>
      <c r="Z65" s="17" t="str">
        <f t="shared" si="0"/>
        <v/>
      </c>
      <c r="AA65" s="53" t="str">
        <f t="shared" si="5"/>
        <v/>
      </c>
    </row>
    <row r="66" spans="2:27" x14ac:dyDescent="0.25">
      <c r="B66" s="21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22"/>
      <c r="V66" s="91" t="str">
        <f t="shared" si="1"/>
        <v/>
      </c>
      <c r="W66" s="17" t="str">
        <f t="shared" si="2"/>
        <v/>
      </c>
      <c r="X66" s="17" t="str">
        <f t="shared" si="3"/>
        <v/>
      </c>
      <c r="Y66" s="17" t="str">
        <f t="shared" si="4"/>
        <v/>
      </c>
      <c r="Z66" s="17" t="str">
        <f t="shared" si="0"/>
        <v/>
      </c>
      <c r="AA66" s="53" t="str">
        <f t="shared" si="5"/>
        <v/>
      </c>
    </row>
    <row r="67" spans="2:27" x14ac:dyDescent="0.25">
      <c r="B67" s="21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22"/>
      <c r="V67" s="91" t="str">
        <f t="shared" si="1"/>
        <v/>
      </c>
      <c r="W67" s="17" t="str">
        <f t="shared" si="2"/>
        <v/>
      </c>
      <c r="X67" s="17" t="str">
        <f t="shared" si="3"/>
        <v/>
      </c>
      <c r="Y67" s="17" t="str">
        <f t="shared" si="4"/>
        <v/>
      </c>
      <c r="Z67" s="17" t="str">
        <f t="shared" si="0"/>
        <v/>
      </c>
      <c r="AA67" s="53" t="str">
        <f t="shared" si="5"/>
        <v/>
      </c>
    </row>
    <row r="68" spans="2:27" x14ac:dyDescent="0.25">
      <c r="B68" s="21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22"/>
      <c r="V68" s="91" t="str">
        <f t="shared" si="1"/>
        <v/>
      </c>
      <c r="W68" s="17" t="str">
        <f t="shared" si="2"/>
        <v/>
      </c>
      <c r="X68" s="17" t="str">
        <f t="shared" si="3"/>
        <v/>
      </c>
      <c r="Y68" s="17" t="str">
        <f t="shared" si="4"/>
        <v/>
      </c>
      <c r="Z68" s="17" t="str">
        <f t="shared" ref="Z68:Z100" si="6">IF(B68="","",IF(G68=$C$2,I68,L68))</f>
        <v/>
      </c>
      <c r="AA68" s="53" t="str">
        <f t="shared" si="5"/>
        <v/>
      </c>
    </row>
    <row r="69" spans="2:27" x14ac:dyDescent="0.25">
      <c r="B69" s="21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22"/>
      <c r="V69" s="91" t="str">
        <f t="shared" ref="V69:V100" si="7">IF(E69="","",E69)</f>
        <v/>
      </c>
      <c r="W69" s="17" t="str">
        <f t="shared" ref="W69:W132" si="8">IF(B69="","",B69)</f>
        <v/>
      </c>
      <c r="X69" s="17" t="str">
        <f t="shared" ref="X69:X100" si="9">IF(B69="","",C69)</f>
        <v/>
      </c>
      <c r="Y69" s="17" t="str">
        <f t="shared" ref="Y69:Y100" si="10">IF(B69="","",D69)</f>
        <v/>
      </c>
      <c r="Z69" s="17" t="str">
        <f t="shared" si="6"/>
        <v/>
      </c>
      <c r="AA69" s="53" t="str">
        <f t="shared" ref="AA69:AA100" si="11">IF(B69="","",VLOOKUP(S69,$AC$3:$AD$14,2,FALSE))</f>
        <v/>
      </c>
    </row>
    <row r="70" spans="2:27" x14ac:dyDescent="0.25">
      <c r="B70" s="21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22"/>
      <c r="V70" s="91" t="str">
        <f t="shared" si="7"/>
        <v/>
      </c>
      <c r="W70" s="17" t="str">
        <f t="shared" si="8"/>
        <v/>
      </c>
      <c r="X70" s="17" t="str">
        <f t="shared" si="9"/>
        <v/>
      </c>
      <c r="Y70" s="17" t="str">
        <f t="shared" si="10"/>
        <v/>
      </c>
      <c r="Z70" s="17" t="str">
        <f t="shared" si="6"/>
        <v/>
      </c>
      <c r="AA70" s="53" t="str">
        <f t="shared" si="11"/>
        <v/>
      </c>
    </row>
    <row r="71" spans="2:27" x14ac:dyDescent="0.25">
      <c r="B71" s="21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22"/>
      <c r="V71" s="91" t="str">
        <f t="shared" si="7"/>
        <v/>
      </c>
      <c r="W71" s="17" t="str">
        <f t="shared" si="8"/>
        <v/>
      </c>
      <c r="X71" s="17" t="str">
        <f t="shared" si="9"/>
        <v/>
      </c>
      <c r="Y71" s="17" t="str">
        <f t="shared" si="10"/>
        <v/>
      </c>
      <c r="Z71" s="17" t="str">
        <f t="shared" si="6"/>
        <v/>
      </c>
      <c r="AA71" s="53" t="str">
        <f t="shared" si="11"/>
        <v/>
      </c>
    </row>
    <row r="72" spans="2:27" x14ac:dyDescent="0.25">
      <c r="B72" s="21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22"/>
      <c r="V72" s="91" t="str">
        <f t="shared" si="7"/>
        <v/>
      </c>
      <c r="W72" s="17" t="str">
        <f t="shared" si="8"/>
        <v/>
      </c>
      <c r="X72" s="17" t="str">
        <f t="shared" si="9"/>
        <v/>
      </c>
      <c r="Y72" s="17" t="str">
        <f t="shared" si="10"/>
        <v/>
      </c>
      <c r="Z72" s="17" t="str">
        <f t="shared" si="6"/>
        <v/>
      </c>
      <c r="AA72" s="53" t="str">
        <f t="shared" si="11"/>
        <v/>
      </c>
    </row>
    <row r="73" spans="2:27" x14ac:dyDescent="0.25">
      <c r="B73" s="21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22"/>
      <c r="V73" s="91" t="str">
        <f t="shared" si="7"/>
        <v/>
      </c>
      <c r="W73" s="17" t="str">
        <f t="shared" si="8"/>
        <v/>
      </c>
      <c r="X73" s="17" t="str">
        <f t="shared" si="9"/>
        <v/>
      </c>
      <c r="Y73" s="17" t="str">
        <f t="shared" si="10"/>
        <v/>
      </c>
      <c r="Z73" s="17" t="str">
        <f t="shared" si="6"/>
        <v/>
      </c>
      <c r="AA73" s="53" t="str">
        <f t="shared" si="11"/>
        <v/>
      </c>
    </row>
    <row r="74" spans="2:27" x14ac:dyDescent="0.25">
      <c r="B74" s="21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22"/>
      <c r="V74" s="91" t="str">
        <f t="shared" si="7"/>
        <v/>
      </c>
      <c r="W74" s="17" t="str">
        <f t="shared" si="8"/>
        <v/>
      </c>
      <c r="X74" s="17" t="str">
        <f t="shared" si="9"/>
        <v/>
      </c>
      <c r="Y74" s="17" t="str">
        <f t="shared" si="10"/>
        <v/>
      </c>
      <c r="Z74" s="17" t="str">
        <f t="shared" si="6"/>
        <v/>
      </c>
      <c r="AA74" s="53" t="str">
        <f t="shared" si="11"/>
        <v/>
      </c>
    </row>
    <row r="75" spans="2:27" x14ac:dyDescent="0.25">
      <c r="B75" s="21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22"/>
      <c r="V75" s="91" t="str">
        <f t="shared" si="7"/>
        <v/>
      </c>
      <c r="W75" s="17" t="str">
        <f t="shared" si="8"/>
        <v/>
      </c>
      <c r="X75" s="17" t="str">
        <f t="shared" si="9"/>
        <v/>
      </c>
      <c r="Y75" s="17" t="str">
        <f t="shared" si="10"/>
        <v/>
      </c>
      <c r="Z75" s="17" t="str">
        <f t="shared" si="6"/>
        <v/>
      </c>
      <c r="AA75" s="53" t="str">
        <f t="shared" si="11"/>
        <v/>
      </c>
    </row>
    <row r="76" spans="2:27" x14ac:dyDescent="0.25">
      <c r="B76" s="21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22"/>
      <c r="V76" s="91" t="str">
        <f t="shared" si="7"/>
        <v/>
      </c>
      <c r="W76" s="17" t="str">
        <f t="shared" si="8"/>
        <v/>
      </c>
      <c r="X76" s="17" t="str">
        <f t="shared" si="9"/>
        <v/>
      </c>
      <c r="Y76" s="17" t="str">
        <f t="shared" si="10"/>
        <v/>
      </c>
      <c r="Z76" s="17" t="str">
        <f t="shared" si="6"/>
        <v/>
      </c>
      <c r="AA76" s="53" t="str">
        <f t="shared" si="11"/>
        <v/>
      </c>
    </row>
    <row r="77" spans="2:27" x14ac:dyDescent="0.25">
      <c r="B77" s="21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22"/>
      <c r="V77" s="91" t="str">
        <f t="shared" si="7"/>
        <v/>
      </c>
      <c r="W77" s="17" t="str">
        <f t="shared" si="8"/>
        <v/>
      </c>
      <c r="X77" s="17" t="str">
        <f t="shared" si="9"/>
        <v/>
      </c>
      <c r="Y77" s="17" t="str">
        <f t="shared" si="10"/>
        <v/>
      </c>
      <c r="Z77" s="17" t="str">
        <f t="shared" si="6"/>
        <v/>
      </c>
      <c r="AA77" s="53" t="str">
        <f t="shared" si="11"/>
        <v/>
      </c>
    </row>
    <row r="78" spans="2:27" x14ac:dyDescent="0.25">
      <c r="B78" s="21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22"/>
      <c r="V78" s="91" t="str">
        <f t="shared" si="7"/>
        <v/>
      </c>
      <c r="W78" s="17" t="str">
        <f t="shared" si="8"/>
        <v/>
      </c>
      <c r="X78" s="17" t="str">
        <f t="shared" si="9"/>
        <v/>
      </c>
      <c r="Y78" s="17" t="str">
        <f t="shared" si="10"/>
        <v/>
      </c>
      <c r="Z78" s="17" t="str">
        <f t="shared" si="6"/>
        <v/>
      </c>
      <c r="AA78" s="53" t="str">
        <f t="shared" si="11"/>
        <v/>
      </c>
    </row>
    <row r="79" spans="2:27" x14ac:dyDescent="0.25">
      <c r="B79" s="21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22"/>
      <c r="V79" s="91" t="str">
        <f t="shared" si="7"/>
        <v/>
      </c>
      <c r="W79" s="17" t="str">
        <f t="shared" si="8"/>
        <v/>
      </c>
      <c r="X79" s="17" t="str">
        <f t="shared" si="9"/>
        <v/>
      </c>
      <c r="Y79" s="17" t="str">
        <f t="shared" si="10"/>
        <v/>
      </c>
      <c r="Z79" s="17" t="str">
        <f t="shared" si="6"/>
        <v/>
      </c>
      <c r="AA79" s="53" t="str">
        <f t="shared" si="11"/>
        <v/>
      </c>
    </row>
    <row r="80" spans="2:27" x14ac:dyDescent="0.25">
      <c r="B80" s="21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22"/>
      <c r="V80" s="91" t="str">
        <f t="shared" si="7"/>
        <v/>
      </c>
      <c r="W80" s="17" t="str">
        <f t="shared" si="8"/>
        <v/>
      </c>
      <c r="X80" s="17" t="str">
        <f t="shared" si="9"/>
        <v/>
      </c>
      <c r="Y80" s="17" t="str">
        <f t="shared" si="10"/>
        <v/>
      </c>
      <c r="Z80" s="17" t="str">
        <f t="shared" si="6"/>
        <v/>
      </c>
      <c r="AA80" s="53" t="str">
        <f t="shared" si="11"/>
        <v/>
      </c>
    </row>
    <row r="81" spans="2:27" x14ac:dyDescent="0.25">
      <c r="B81" s="21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22"/>
      <c r="V81" s="91" t="str">
        <f t="shared" si="7"/>
        <v/>
      </c>
      <c r="W81" s="17" t="str">
        <f t="shared" si="8"/>
        <v/>
      </c>
      <c r="X81" s="17" t="str">
        <f t="shared" si="9"/>
        <v/>
      </c>
      <c r="Y81" s="17" t="str">
        <f t="shared" si="10"/>
        <v/>
      </c>
      <c r="Z81" s="17" t="str">
        <f t="shared" si="6"/>
        <v/>
      </c>
      <c r="AA81" s="53" t="str">
        <f t="shared" si="11"/>
        <v/>
      </c>
    </row>
    <row r="82" spans="2:27" x14ac:dyDescent="0.25">
      <c r="B82" s="21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22"/>
      <c r="V82" s="91" t="str">
        <f t="shared" si="7"/>
        <v/>
      </c>
      <c r="W82" s="17" t="str">
        <f t="shared" si="8"/>
        <v/>
      </c>
      <c r="X82" s="17" t="str">
        <f t="shared" si="9"/>
        <v/>
      </c>
      <c r="Y82" s="17" t="str">
        <f t="shared" si="10"/>
        <v/>
      </c>
      <c r="Z82" s="17" t="str">
        <f t="shared" si="6"/>
        <v/>
      </c>
      <c r="AA82" s="53" t="str">
        <f t="shared" si="11"/>
        <v/>
      </c>
    </row>
    <row r="83" spans="2:27" x14ac:dyDescent="0.25">
      <c r="B83" s="21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22"/>
      <c r="V83" s="91" t="str">
        <f t="shared" si="7"/>
        <v/>
      </c>
      <c r="W83" s="17" t="str">
        <f t="shared" si="8"/>
        <v/>
      </c>
      <c r="X83" s="17" t="str">
        <f t="shared" si="9"/>
        <v/>
      </c>
      <c r="Y83" s="17" t="str">
        <f t="shared" si="10"/>
        <v/>
      </c>
      <c r="Z83" s="17" t="str">
        <f t="shared" si="6"/>
        <v/>
      </c>
      <c r="AA83" s="53" t="str">
        <f t="shared" si="11"/>
        <v/>
      </c>
    </row>
    <row r="84" spans="2:27" x14ac:dyDescent="0.25">
      <c r="B84" s="21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22"/>
      <c r="V84" s="91" t="str">
        <f t="shared" si="7"/>
        <v/>
      </c>
      <c r="W84" s="17" t="str">
        <f t="shared" si="8"/>
        <v/>
      </c>
      <c r="X84" s="17" t="str">
        <f t="shared" si="9"/>
        <v/>
      </c>
      <c r="Y84" s="17" t="str">
        <f t="shared" si="10"/>
        <v/>
      </c>
      <c r="Z84" s="17" t="str">
        <f t="shared" si="6"/>
        <v/>
      </c>
      <c r="AA84" s="53" t="str">
        <f t="shared" si="11"/>
        <v/>
      </c>
    </row>
    <row r="85" spans="2:27" x14ac:dyDescent="0.25">
      <c r="B85" s="21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22"/>
      <c r="V85" s="91" t="str">
        <f t="shared" si="7"/>
        <v/>
      </c>
      <c r="W85" s="17" t="str">
        <f t="shared" si="8"/>
        <v/>
      </c>
      <c r="X85" s="17" t="str">
        <f t="shared" si="9"/>
        <v/>
      </c>
      <c r="Y85" s="17" t="str">
        <f t="shared" si="10"/>
        <v/>
      </c>
      <c r="Z85" s="17" t="str">
        <f t="shared" si="6"/>
        <v/>
      </c>
      <c r="AA85" s="53" t="str">
        <f t="shared" si="11"/>
        <v/>
      </c>
    </row>
    <row r="86" spans="2:27" x14ac:dyDescent="0.25">
      <c r="B86" s="21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22"/>
      <c r="V86" s="91" t="str">
        <f t="shared" si="7"/>
        <v/>
      </c>
      <c r="W86" s="17" t="str">
        <f t="shared" si="8"/>
        <v/>
      </c>
      <c r="X86" s="17" t="str">
        <f t="shared" si="9"/>
        <v/>
      </c>
      <c r="Y86" s="17" t="str">
        <f t="shared" si="10"/>
        <v/>
      </c>
      <c r="Z86" s="17" t="str">
        <f t="shared" si="6"/>
        <v/>
      </c>
      <c r="AA86" s="53" t="str">
        <f t="shared" si="11"/>
        <v/>
      </c>
    </row>
    <row r="87" spans="2:27" x14ac:dyDescent="0.25">
      <c r="B87" s="21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22"/>
      <c r="V87" s="91" t="str">
        <f t="shared" si="7"/>
        <v/>
      </c>
      <c r="W87" s="17" t="str">
        <f t="shared" si="8"/>
        <v/>
      </c>
      <c r="X87" s="17" t="str">
        <f t="shared" si="9"/>
        <v/>
      </c>
      <c r="Y87" s="17" t="str">
        <f t="shared" si="10"/>
        <v/>
      </c>
      <c r="Z87" s="17" t="str">
        <f t="shared" si="6"/>
        <v/>
      </c>
      <c r="AA87" s="53" t="str">
        <f t="shared" si="11"/>
        <v/>
      </c>
    </row>
    <row r="88" spans="2:27" x14ac:dyDescent="0.25">
      <c r="B88" s="21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22"/>
      <c r="V88" s="91" t="str">
        <f t="shared" si="7"/>
        <v/>
      </c>
      <c r="W88" s="17" t="str">
        <f t="shared" si="8"/>
        <v/>
      </c>
      <c r="X88" s="17" t="str">
        <f t="shared" si="9"/>
        <v/>
      </c>
      <c r="Y88" s="17" t="str">
        <f t="shared" si="10"/>
        <v/>
      </c>
      <c r="Z88" s="17" t="str">
        <f t="shared" si="6"/>
        <v/>
      </c>
      <c r="AA88" s="53" t="str">
        <f t="shared" si="11"/>
        <v/>
      </c>
    </row>
    <row r="89" spans="2:27" x14ac:dyDescent="0.25">
      <c r="B89" s="21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22"/>
      <c r="V89" s="91" t="str">
        <f t="shared" si="7"/>
        <v/>
      </c>
      <c r="W89" s="17" t="str">
        <f t="shared" si="8"/>
        <v/>
      </c>
      <c r="X89" s="17" t="str">
        <f t="shared" si="9"/>
        <v/>
      </c>
      <c r="Y89" s="17" t="str">
        <f t="shared" si="10"/>
        <v/>
      </c>
      <c r="Z89" s="17" t="str">
        <f t="shared" si="6"/>
        <v/>
      </c>
      <c r="AA89" s="53" t="str">
        <f t="shared" si="11"/>
        <v/>
      </c>
    </row>
    <row r="90" spans="2:27" x14ac:dyDescent="0.25">
      <c r="B90" s="21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22"/>
      <c r="V90" s="91" t="str">
        <f t="shared" si="7"/>
        <v/>
      </c>
      <c r="W90" s="17" t="str">
        <f t="shared" si="8"/>
        <v/>
      </c>
      <c r="X90" s="17" t="str">
        <f t="shared" si="9"/>
        <v/>
      </c>
      <c r="Y90" s="17" t="str">
        <f t="shared" si="10"/>
        <v/>
      </c>
      <c r="Z90" s="17" t="str">
        <f t="shared" si="6"/>
        <v/>
      </c>
      <c r="AA90" s="53" t="str">
        <f t="shared" si="11"/>
        <v/>
      </c>
    </row>
    <row r="91" spans="2:27" x14ac:dyDescent="0.25">
      <c r="B91" s="21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22"/>
      <c r="V91" s="91" t="str">
        <f t="shared" si="7"/>
        <v/>
      </c>
      <c r="W91" s="17" t="str">
        <f t="shared" si="8"/>
        <v/>
      </c>
      <c r="X91" s="17" t="str">
        <f t="shared" si="9"/>
        <v/>
      </c>
      <c r="Y91" s="17" t="str">
        <f t="shared" si="10"/>
        <v/>
      </c>
      <c r="Z91" s="17" t="str">
        <f t="shared" si="6"/>
        <v/>
      </c>
      <c r="AA91" s="53" t="str">
        <f t="shared" si="11"/>
        <v/>
      </c>
    </row>
    <row r="92" spans="2:27" x14ac:dyDescent="0.25">
      <c r="B92" s="21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22"/>
      <c r="V92" s="91" t="str">
        <f t="shared" si="7"/>
        <v/>
      </c>
      <c r="W92" s="17" t="str">
        <f t="shared" si="8"/>
        <v/>
      </c>
      <c r="X92" s="17" t="str">
        <f t="shared" si="9"/>
        <v/>
      </c>
      <c r="Y92" s="17" t="str">
        <f t="shared" si="10"/>
        <v/>
      </c>
      <c r="Z92" s="17" t="str">
        <f t="shared" si="6"/>
        <v/>
      </c>
      <c r="AA92" s="53" t="str">
        <f t="shared" si="11"/>
        <v/>
      </c>
    </row>
    <row r="93" spans="2:27" x14ac:dyDescent="0.25">
      <c r="B93" s="21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22"/>
      <c r="V93" s="91" t="str">
        <f t="shared" si="7"/>
        <v/>
      </c>
      <c r="W93" s="17" t="str">
        <f t="shared" si="8"/>
        <v/>
      </c>
      <c r="X93" s="17" t="str">
        <f t="shared" si="9"/>
        <v/>
      </c>
      <c r="Y93" s="17" t="str">
        <f t="shared" si="10"/>
        <v/>
      </c>
      <c r="Z93" s="17" t="str">
        <f t="shared" si="6"/>
        <v/>
      </c>
      <c r="AA93" s="53" t="str">
        <f t="shared" si="11"/>
        <v/>
      </c>
    </row>
    <row r="94" spans="2:27" x14ac:dyDescent="0.25">
      <c r="B94" s="21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22"/>
      <c r="V94" s="91" t="str">
        <f t="shared" si="7"/>
        <v/>
      </c>
      <c r="W94" s="17" t="str">
        <f t="shared" si="8"/>
        <v/>
      </c>
      <c r="X94" s="17" t="str">
        <f t="shared" si="9"/>
        <v/>
      </c>
      <c r="Y94" s="17" t="str">
        <f t="shared" si="10"/>
        <v/>
      </c>
      <c r="Z94" s="17" t="str">
        <f t="shared" si="6"/>
        <v/>
      </c>
      <c r="AA94" s="53" t="str">
        <f t="shared" si="11"/>
        <v/>
      </c>
    </row>
    <row r="95" spans="2:27" x14ac:dyDescent="0.25">
      <c r="B95" s="21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22"/>
      <c r="V95" s="91" t="str">
        <f t="shared" si="7"/>
        <v/>
      </c>
      <c r="W95" s="17" t="str">
        <f t="shared" si="8"/>
        <v/>
      </c>
      <c r="X95" s="17" t="str">
        <f t="shared" si="9"/>
        <v/>
      </c>
      <c r="Y95" s="17" t="str">
        <f t="shared" si="10"/>
        <v/>
      </c>
      <c r="Z95" s="17" t="str">
        <f t="shared" si="6"/>
        <v/>
      </c>
      <c r="AA95" s="53" t="str">
        <f t="shared" si="11"/>
        <v/>
      </c>
    </row>
    <row r="96" spans="2:27" x14ac:dyDescent="0.25">
      <c r="B96" s="21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22"/>
      <c r="V96" s="91" t="str">
        <f t="shared" si="7"/>
        <v/>
      </c>
      <c r="W96" s="17" t="str">
        <f t="shared" si="8"/>
        <v/>
      </c>
      <c r="X96" s="17" t="str">
        <f t="shared" si="9"/>
        <v/>
      </c>
      <c r="Y96" s="17" t="str">
        <f t="shared" si="10"/>
        <v/>
      </c>
      <c r="Z96" s="17" t="str">
        <f t="shared" si="6"/>
        <v/>
      </c>
      <c r="AA96" s="53" t="str">
        <f t="shared" si="11"/>
        <v/>
      </c>
    </row>
    <row r="97" spans="2:27" x14ac:dyDescent="0.25">
      <c r="B97" s="21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22"/>
      <c r="V97" s="91" t="str">
        <f t="shared" si="7"/>
        <v/>
      </c>
      <c r="W97" s="17" t="str">
        <f t="shared" si="8"/>
        <v/>
      </c>
      <c r="X97" s="17" t="str">
        <f t="shared" si="9"/>
        <v/>
      </c>
      <c r="Y97" s="17" t="str">
        <f t="shared" si="10"/>
        <v/>
      </c>
      <c r="Z97" s="17" t="str">
        <f t="shared" si="6"/>
        <v/>
      </c>
      <c r="AA97" s="53" t="str">
        <f t="shared" si="11"/>
        <v/>
      </c>
    </row>
    <row r="98" spans="2:27" x14ac:dyDescent="0.25">
      <c r="B98" s="21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22"/>
      <c r="V98" s="91" t="str">
        <f t="shared" si="7"/>
        <v/>
      </c>
      <c r="W98" s="17" t="str">
        <f t="shared" si="8"/>
        <v/>
      </c>
      <c r="X98" s="17" t="str">
        <f t="shared" si="9"/>
        <v/>
      </c>
      <c r="Y98" s="17" t="str">
        <f t="shared" si="10"/>
        <v/>
      </c>
      <c r="Z98" s="17" t="str">
        <f t="shared" si="6"/>
        <v/>
      </c>
      <c r="AA98" s="53" t="str">
        <f t="shared" si="11"/>
        <v/>
      </c>
    </row>
    <row r="99" spans="2:27" x14ac:dyDescent="0.25">
      <c r="B99" s="21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22"/>
      <c r="V99" s="91" t="str">
        <f t="shared" si="7"/>
        <v/>
      </c>
      <c r="W99" s="17" t="str">
        <f t="shared" si="8"/>
        <v/>
      </c>
      <c r="X99" s="17" t="str">
        <f t="shared" si="9"/>
        <v/>
      </c>
      <c r="Y99" s="17" t="str">
        <f t="shared" si="10"/>
        <v/>
      </c>
      <c r="Z99" s="17" t="str">
        <f t="shared" si="6"/>
        <v/>
      </c>
      <c r="AA99" s="53" t="str">
        <f t="shared" si="11"/>
        <v/>
      </c>
    </row>
    <row r="100" spans="2:27" ht="15.75" thickBot="1" x14ac:dyDescent="0.3">
      <c r="B100" s="2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3"/>
      <c r="V100" s="92" t="str">
        <f t="shared" si="7"/>
        <v/>
      </c>
      <c r="W100" s="23" t="str">
        <f t="shared" si="8"/>
        <v/>
      </c>
      <c r="X100" s="23" t="str">
        <f t="shared" si="9"/>
        <v/>
      </c>
      <c r="Y100" s="23" t="str">
        <f t="shared" si="10"/>
        <v/>
      </c>
      <c r="Z100" s="23" t="str">
        <f t="shared" si="6"/>
        <v/>
      </c>
      <c r="AA100" s="40" t="str">
        <f t="shared" si="11"/>
        <v/>
      </c>
    </row>
  </sheetData>
  <mergeCells count="3">
    <mergeCell ref="AF15:AH15"/>
    <mergeCell ref="AF30:AH30"/>
    <mergeCell ref="AF45:AH4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4DD2E-3E35-468B-8466-B8B9B5F89BF7}">
  <dimension ref="B2:AJ100"/>
  <sheetViews>
    <sheetView topLeftCell="Q1" workbookViewId="0">
      <selection activeCell="Q15" sqref="A15:XFD15"/>
    </sheetView>
  </sheetViews>
  <sheetFormatPr defaultRowHeight="15" x14ac:dyDescent="0.25"/>
  <cols>
    <col min="1" max="1" width="4.28515625" customWidth="1"/>
    <col min="2" max="2" width="14.42578125" bestFit="1" customWidth="1"/>
    <col min="3" max="3" width="27.28515625" bestFit="1" customWidth="1"/>
    <col min="4" max="4" width="15.28515625" bestFit="1" customWidth="1"/>
    <col min="5" max="5" width="6.85546875" bestFit="1" customWidth="1"/>
    <col min="6" max="6" width="11.7109375" bestFit="1" customWidth="1"/>
    <col min="7" max="7" width="14.85546875" bestFit="1" customWidth="1"/>
    <col min="9" max="9" width="7.42578125" bestFit="1" customWidth="1"/>
    <col min="10" max="10" width="14.85546875" bestFit="1" customWidth="1"/>
    <col min="12" max="12" width="7.42578125" bestFit="1" customWidth="1"/>
    <col min="13" max="13" width="14.7109375" bestFit="1" customWidth="1"/>
    <col min="14" max="14" width="9.140625" bestFit="1" customWidth="1"/>
    <col min="15" max="15" width="7.42578125" bestFit="1" customWidth="1"/>
    <col min="16" max="16" width="10.7109375" bestFit="1" customWidth="1"/>
    <col min="17" max="17" width="24.140625" bestFit="1" customWidth="1"/>
    <col min="18" max="18" width="14.28515625" bestFit="1" customWidth="1"/>
    <col min="19" max="19" width="30.28515625" bestFit="1" customWidth="1"/>
    <col min="20" max="20" width="16.140625" customWidth="1"/>
    <col min="21" max="21" width="4.28515625" customWidth="1"/>
    <col min="22" max="22" width="6.85546875" style="1" bestFit="1" customWidth="1"/>
    <col min="23" max="23" width="7" bestFit="1" customWidth="1"/>
    <col min="24" max="24" width="30.42578125" bestFit="1" customWidth="1"/>
    <col min="25" max="25" width="15.28515625" bestFit="1" customWidth="1"/>
    <col min="26" max="26" width="6" bestFit="1" customWidth="1"/>
    <col min="27" max="27" width="7" bestFit="1" customWidth="1"/>
    <col min="28" max="28" width="4.28515625" customWidth="1"/>
    <col min="29" max="29" width="32" bestFit="1" customWidth="1"/>
    <col min="31" max="31" width="4.28515625" customWidth="1"/>
    <col min="32" max="32" width="7" bestFit="1" customWidth="1"/>
    <col min="33" max="33" width="23" bestFit="1" customWidth="1"/>
    <col min="34" max="34" width="15.28515625" bestFit="1" customWidth="1"/>
    <col min="35" max="35" width="6" bestFit="1" customWidth="1"/>
    <col min="36" max="36" width="7" bestFit="1" customWidth="1"/>
  </cols>
  <sheetData>
    <row r="2" spans="2:36" ht="15.75" thickBot="1" x14ac:dyDescent="0.3">
      <c r="B2" t="s">
        <v>52</v>
      </c>
      <c r="C2" t="s">
        <v>72</v>
      </c>
      <c r="H2" s="35"/>
      <c r="K2" s="35"/>
      <c r="AC2" t="s">
        <v>58</v>
      </c>
      <c r="AF2" s="6" t="s">
        <v>8</v>
      </c>
      <c r="AG2" s="6">
        <f>Dashboard!E32</f>
        <v>9</v>
      </c>
    </row>
    <row r="3" spans="2:36" ht="15.75" thickBot="1" x14ac:dyDescent="0.3">
      <c r="B3" s="28" t="s">
        <v>5</v>
      </c>
      <c r="C3" s="29" t="s">
        <v>6</v>
      </c>
      <c r="D3" s="29" t="s">
        <v>7</v>
      </c>
      <c r="E3" s="29" t="s">
        <v>8</v>
      </c>
      <c r="F3" s="29" t="s">
        <v>9</v>
      </c>
      <c r="G3" s="29" t="s">
        <v>10</v>
      </c>
      <c r="H3" s="36" t="s">
        <v>11</v>
      </c>
      <c r="I3" s="29" t="s">
        <v>12</v>
      </c>
      <c r="J3" s="29" t="s">
        <v>13</v>
      </c>
      <c r="K3" s="36" t="s">
        <v>14</v>
      </c>
      <c r="L3" s="29" t="s">
        <v>15</v>
      </c>
      <c r="M3" s="29" t="s">
        <v>68</v>
      </c>
      <c r="N3" s="29" t="s">
        <v>69</v>
      </c>
      <c r="O3" s="29" t="s">
        <v>70</v>
      </c>
      <c r="P3" s="29" t="s">
        <v>76</v>
      </c>
      <c r="Q3" s="29" t="s">
        <v>67</v>
      </c>
      <c r="R3" s="29" t="s">
        <v>66</v>
      </c>
      <c r="S3" s="29" t="s">
        <v>16</v>
      </c>
      <c r="T3" s="30" t="s">
        <v>17</v>
      </c>
      <c r="V3" s="95" t="s">
        <v>8</v>
      </c>
      <c r="W3" s="29" t="s">
        <v>59</v>
      </c>
      <c r="X3" s="29" t="s">
        <v>35</v>
      </c>
      <c r="Y3" s="29" t="s">
        <v>7</v>
      </c>
      <c r="Z3" s="29" t="s">
        <v>60</v>
      </c>
      <c r="AA3" s="30" t="s">
        <v>16</v>
      </c>
      <c r="AC3" s="26" t="s">
        <v>16</v>
      </c>
      <c r="AD3" s="27" t="s">
        <v>61</v>
      </c>
      <c r="AF3" s="26" t="s">
        <v>59</v>
      </c>
      <c r="AG3" s="79" t="s">
        <v>35</v>
      </c>
      <c r="AH3" s="79" t="s">
        <v>7</v>
      </c>
      <c r="AI3" s="79" t="s">
        <v>60</v>
      </c>
      <c r="AJ3" s="27" t="s">
        <v>16</v>
      </c>
    </row>
    <row r="4" spans="2:36" x14ac:dyDescent="0.25">
      <c r="B4" s="18" t="e" cm="1" vm="1">
        <f t="array" ref="B4">_xlfn._xlws.FILTER('Ber. Planning Totaal'!B4:T1000,('Ber. Planning Totaal'!G4:G1000=C2)+('Ber. Planning Totaal'!J4:J1000=C2)+('Ber. Planning Totaal'!M4:M1000=C2))</f>
        <v>#VALUE!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20"/>
      <c r="V4" s="76" t="str">
        <f>IF(E4="","",E4)</f>
        <v/>
      </c>
      <c r="W4" s="19" t="e" vm="2">
        <f>IF(B4="","",B4)</f>
        <v>#VALUE!</v>
      </c>
      <c r="X4" s="19" t="e" vm="2">
        <f>IF(B4="","",C4)</f>
        <v>#VALUE!</v>
      </c>
      <c r="Y4" s="19" t="e" vm="2">
        <f>IF(B4="","",D4)</f>
        <v>#VALUE!</v>
      </c>
      <c r="Z4" s="82" t="e" vm="2">
        <f t="shared" ref="Z4:Z67" si="0">IF(B4="","",IF(G4=$C$2,I4,L4))</f>
        <v>#VALUE!</v>
      </c>
      <c r="AA4" s="52" t="e" vm="2">
        <f>IF(B4="","",VLOOKUP(S4,$AC$3:$AD$14,2,FALSE))</f>
        <v>#VALUE!</v>
      </c>
      <c r="AC4" s="24" t="s">
        <v>29</v>
      </c>
      <c r="AD4" s="25">
        <v>1</v>
      </c>
      <c r="AF4" s="18" t="str" cm="1">
        <f t="array" ref="AF4">_xlfn._xlws.FILTER($W$4:$AA$100,$V$4:$V$100=AG2,"")</f>
        <v/>
      </c>
      <c r="AG4" s="19"/>
      <c r="AH4" s="19"/>
      <c r="AI4" s="82"/>
      <c r="AJ4" s="52"/>
    </row>
    <row r="5" spans="2:36" x14ac:dyDescent="0.25">
      <c r="B5" s="21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22"/>
      <c r="V5" s="91" t="str">
        <f t="shared" ref="V5:V68" si="1">IF(E5="","",E5)</f>
        <v/>
      </c>
      <c r="W5" s="17" t="str">
        <f t="shared" ref="W5:W68" si="2">IF(B5="","",B5)</f>
        <v/>
      </c>
      <c r="X5" s="17" t="str">
        <f t="shared" ref="X5:X68" si="3">IF(B5="","",C5)</f>
        <v/>
      </c>
      <c r="Y5" s="17" t="str">
        <f t="shared" ref="Y5:Y68" si="4">IF(B5="","",D5)</f>
        <v/>
      </c>
      <c r="Z5" s="77" t="str">
        <f t="shared" si="0"/>
        <v/>
      </c>
      <c r="AA5" s="53" t="str">
        <f t="shared" ref="AA5:AA68" si="5">IF(B5="","",VLOOKUP(S5,$AC$3:$AD$14,2,FALSE))</f>
        <v/>
      </c>
      <c r="AC5" s="21" t="s">
        <v>39</v>
      </c>
      <c r="AD5" s="22">
        <v>2</v>
      </c>
      <c r="AF5" s="21"/>
      <c r="AG5" s="17"/>
      <c r="AH5" s="17"/>
      <c r="AI5" s="77"/>
      <c r="AJ5" s="53"/>
    </row>
    <row r="6" spans="2:36" x14ac:dyDescent="0.25">
      <c r="B6" s="21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22"/>
      <c r="V6" s="91" t="str">
        <f t="shared" si="1"/>
        <v/>
      </c>
      <c r="W6" s="17" t="str">
        <f t="shared" si="2"/>
        <v/>
      </c>
      <c r="X6" s="17" t="str">
        <f t="shared" si="3"/>
        <v/>
      </c>
      <c r="Y6" s="17" t="str">
        <f t="shared" si="4"/>
        <v/>
      </c>
      <c r="Z6" s="77" t="str">
        <f t="shared" si="0"/>
        <v/>
      </c>
      <c r="AA6" s="53" t="str">
        <f t="shared" si="5"/>
        <v/>
      </c>
      <c r="AC6" s="21" t="s">
        <v>28</v>
      </c>
      <c r="AD6" s="22">
        <v>3</v>
      </c>
      <c r="AF6" s="21"/>
      <c r="AG6" s="17"/>
      <c r="AH6" s="17"/>
      <c r="AI6" s="77"/>
      <c r="AJ6" s="53"/>
    </row>
    <row r="7" spans="2:36" x14ac:dyDescent="0.25">
      <c r="B7" s="21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22"/>
      <c r="V7" s="91" t="str">
        <f t="shared" si="1"/>
        <v/>
      </c>
      <c r="W7" s="17" t="str">
        <f t="shared" si="2"/>
        <v/>
      </c>
      <c r="X7" s="17" t="str">
        <f t="shared" si="3"/>
        <v/>
      </c>
      <c r="Y7" s="17" t="str">
        <f t="shared" si="4"/>
        <v/>
      </c>
      <c r="Z7" s="77" t="str">
        <f t="shared" si="0"/>
        <v/>
      </c>
      <c r="AA7" s="53" t="str">
        <f t="shared" si="5"/>
        <v/>
      </c>
      <c r="AC7" s="21" t="s">
        <v>26</v>
      </c>
      <c r="AD7" s="22">
        <v>4</v>
      </c>
      <c r="AF7" s="21"/>
      <c r="AG7" s="17"/>
      <c r="AH7" s="17"/>
      <c r="AI7" s="77"/>
      <c r="AJ7" s="53"/>
    </row>
    <row r="8" spans="2:36" x14ac:dyDescent="0.25">
      <c r="B8" s="21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22"/>
      <c r="V8" s="91" t="str">
        <f t="shared" si="1"/>
        <v/>
      </c>
      <c r="W8" s="17" t="str">
        <f t="shared" si="2"/>
        <v/>
      </c>
      <c r="X8" s="17" t="str">
        <f t="shared" si="3"/>
        <v/>
      </c>
      <c r="Y8" s="17" t="str">
        <f t="shared" si="4"/>
        <v/>
      </c>
      <c r="Z8" s="77" t="str">
        <f t="shared" si="0"/>
        <v/>
      </c>
      <c r="AA8" s="53" t="str">
        <f t="shared" si="5"/>
        <v/>
      </c>
      <c r="AC8" s="21" t="s">
        <v>40</v>
      </c>
      <c r="AD8" s="22">
        <v>5</v>
      </c>
      <c r="AF8" s="21"/>
      <c r="AG8" s="17"/>
      <c r="AH8" s="17"/>
      <c r="AI8" s="77"/>
      <c r="AJ8" s="53"/>
    </row>
    <row r="9" spans="2:36" x14ac:dyDescent="0.25">
      <c r="B9" s="21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22"/>
      <c r="V9" s="91" t="str">
        <f t="shared" si="1"/>
        <v/>
      </c>
      <c r="W9" s="17" t="str">
        <f t="shared" si="2"/>
        <v/>
      </c>
      <c r="X9" s="17" t="str">
        <f t="shared" si="3"/>
        <v/>
      </c>
      <c r="Y9" s="17" t="str">
        <f t="shared" si="4"/>
        <v/>
      </c>
      <c r="Z9" s="77" t="str">
        <f t="shared" si="0"/>
        <v/>
      </c>
      <c r="AA9" s="53" t="str">
        <f t="shared" si="5"/>
        <v/>
      </c>
      <c r="AC9" s="21" t="s">
        <v>27</v>
      </c>
      <c r="AD9" s="22">
        <v>6</v>
      </c>
      <c r="AF9" s="21"/>
      <c r="AG9" s="17"/>
      <c r="AH9" s="17"/>
      <c r="AI9" s="77"/>
      <c r="AJ9" s="53"/>
    </row>
    <row r="10" spans="2:36" x14ac:dyDescent="0.25">
      <c r="B10" s="21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22"/>
      <c r="V10" s="91" t="str">
        <f t="shared" si="1"/>
        <v/>
      </c>
      <c r="W10" s="17" t="str">
        <f t="shared" si="2"/>
        <v/>
      </c>
      <c r="X10" s="17" t="str">
        <f t="shared" si="3"/>
        <v/>
      </c>
      <c r="Y10" s="17" t="str">
        <f t="shared" si="4"/>
        <v/>
      </c>
      <c r="Z10" s="77" t="str">
        <f t="shared" si="0"/>
        <v/>
      </c>
      <c r="AA10" s="53" t="str">
        <f t="shared" si="5"/>
        <v/>
      </c>
      <c r="AC10" s="21" t="s">
        <v>32</v>
      </c>
      <c r="AD10" s="22">
        <v>7</v>
      </c>
      <c r="AF10" s="21"/>
      <c r="AG10" s="17"/>
      <c r="AH10" s="17"/>
      <c r="AI10" s="77"/>
      <c r="AJ10" s="53"/>
    </row>
    <row r="11" spans="2:36" x14ac:dyDescent="0.25">
      <c r="B11" s="21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22"/>
      <c r="V11" s="91" t="str">
        <f t="shared" si="1"/>
        <v/>
      </c>
      <c r="W11" s="17" t="str">
        <f t="shared" si="2"/>
        <v/>
      </c>
      <c r="X11" s="17" t="str">
        <f t="shared" si="3"/>
        <v/>
      </c>
      <c r="Y11" s="17" t="str">
        <f t="shared" si="4"/>
        <v/>
      </c>
      <c r="Z11" s="77" t="str">
        <f t="shared" si="0"/>
        <v/>
      </c>
      <c r="AA11" s="53" t="str">
        <f t="shared" si="5"/>
        <v/>
      </c>
      <c r="AC11" s="21" t="s">
        <v>41</v>
      </c>
      <c r="AD11" s="22">
        <v>8</v>
      </c>
      <c r="AF11" s="21"/>
      <c r="AG11" s="17"/>
      <c r="AH11" s="17"/>
      <c r="AI11" s="77"/>
      <c r="AJ11" s="53"/>
    </row>
    <row r="12" spans="2:36" x14ac:dyDescent="0.25">
      <c r="B12" s="21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22"/>
      <c r="V12" s="91" t="str">
        <f t="shared" si="1"/>
        <v/>
      </c>
      <c r="W12" s="17" t="str">
        <f t="shared" si="2"/>
        <v/>
      </c>
      <c r="X12" s="17" t="str">
        <f t="shared" si="3"/>
        <v/>
      </c>
      <c r="Y12" s="17" t="str">
        <f t="shared" si="4"/>
        <v/>
      </c>
      <c r="Z12" s="77" t="str">
        <f t="shared" si="0"/>
        <v/>
      </c>
      <c r="AA12" s="53" t="str">
        <f t="shared" si="5"/>
        <v/>
      </c>
      <c r="AC12" s="21" t="s">
        <v>43</v>
      </c>
      <c r="AD12" s="22">
        <v>9</v>
      </c>
      <c r="AF12" s="21"/>
      <c r="AG12" s="17"/>
      <c r="AH12" s="17"/>
      <c r="AI12" s="77"/>
      <c r="AJ12" s="53"/>
    </row>
    <row r="13" spans="2:36" x14ac:dyDescent="0.25">
      <c r="B13" s="21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22"/>
      <c r="V13" s="91" t="str">
        <f t="shared" si="1"/>
        <v/>
      </c>
      <c r="W13" s="17" t="str">
        <f t="shared" si="2"/>
        <v/>
      </c>
      <c r="X13" s="17" t="str">
        <f t="shared" si="3"/>
        <v/>
      </c>
      <c r="Y13" s="17" t="str">
        <f t="shared" si="4"/>
        <v/>
      </c>
      <c r="Z13" s="77" t="str">
        <f t="shared" si="0"/>
        <v/>
      </c>
      <c r="AA13" s="53" t="str">
        <f t="shared" si="5"/>
        <v/>
      </c>
      <c r="AC13" s="21" t="s">
        <v>19</v>
      </c>
      <c r="AD13" s="22">
        <v>10</v>
      </c>
      <c r="AF13" s="21"/>
      <c r="AG13" s="17"/>
      <c r="AH13" s="17"/>
      <c r="AI13" s="77"/>
      <c r="AJ13" s="53"/>
    </row>
    <row r="14" spans="2:36" ht="15.75" thickBot="1" x14ac:dyDescent="0.3">
      <c r="B14" s="21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22"/>
      <c r="V14" s="91" t="str">
        <f t="shared" si="1"/>
        <v/>
      </c>
      <c r="W14" s="17" t="str">
        <f t="shared" si="2"/>
        <v/>
      </c>
      <c r="X14" s="17" t="str">
        <f t="shared" si="3"/>
        <v/>
      </c>
      <c r="Y14" s="17" t="str">
        <f t="shared" si="4"/>
        <v/>
      </c>
      <c r="Z14" s="77" t="str">
        <f t="shared" si="0"/>
        <v/>
      </c>
      <c r="AA14" s="53" t="str">
        <f t="shared" si="5"/>
        <v/>
      </c>
      <c r="AC14" s="2" t="s">
        <v>49</v>
      </c>
      <c r="AD14" s="96" t="s">
        <v>62</v>
      </c>
      <c r="AF14" s="45"/>
      <c r="AG14" s="75"/>
      <c r="AH14" s="75"/>
      <c r="AI14" s="94"/>
      <c r="AJ14" s="54"/>
    </row>
    <row r="15" spans="2:36" ht="15.75" thickBot="1" x14ac:dyDescent="0.3">
      <c r="B15" s="21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22"/>
      <c r="V15" s="91" t="str">
        <f t="shared" si="1"/>
        <v/>
      </c>
      <c r="W15" s="17" t="str">
        <f t="shared" si="2"/>
        <v/>
      </c>
      <c r="X15" s="17" t="str">
        <f t="shared" si="3"/>
        <v/>
      </c>
      <c r="Y15" s="17" t="str">
        <f t="shared" si="4"/>
        <v/>
      </c>
      <c r="Z15" s="77" t="str">
        <f t="shared" si="0"/>
        <v/>
      </c>
      <c r="AA15" s="53" t="str">
        <f t="shared" si="5"/>
        <v/>
      </c>
      <c r="AF15" s="303" t="s">
        <v>63</v>
      </c>
      <c r="AG15" s="304"/>
      <c r="AH15" s="304"/>
      <c r="AI15" s="93">
        <f>SUM(AI4:AI14)</f>
        <v>0</v>
      </c>
      <c r="AJ15" s="46"/>
    </row>
    <row r="16" spans="2:36" x14ac:dyDescent="0.25">
      <c r="B16" s="21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22"/>
      <c r="V16" s="91" t="str">
        <f t="shared" si="1"/>
        <v/>
      </c>
      <c r="W16" s="17" t="str">
        <f t="shared" si="2"/>
        <v/>
      </c>
      <c r="X16" s="17" t="str">
        <f t="shared" si="3"/>
        <v/>
      </c>
      <c r="Y16" s="17" t="str">
        <f t="shared" si="4"/>
        <v/>
      </c>
      <c r="Z16" s="77" t="str">
        <f t="shared" si="0"/>
        <v/>
      </c>
      <c r="AA16" s="53" t="str">
        <f t="shared" si="5"/>
        <v/>
      </c>
    </row>
    <row r="17" spans="2:36" ht="15.75" thickBot="1" x14ac:dyDescent="0.3">
      <c r="B17" s="21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22"/>
      <c r="V17" s="91" t="str">
        <f t="shared" si="1"/>
        <v/>
      </c>
      <c r="W17" s="17" t="str">
        <f t="shared" si="2"/>
        <v/>
      </c>
      <c r="X17" s="17" t="str">
        <f t="shared" si="3"/>
        <v/>
      </c>
      <c r="Y17" s="17" t="str">
        <f t="shared" si="4"/>
        <v/>
      </c>
      <c r="Z17" s="77" t="str">
        <f t="shared" si="0"/>
        <v/>
      </c>
      <c r="AA17" s="53" t="str">
        <f t="shared" si="5"/>
        <v/>
      </c>
      <c r="AF17" t="s">
        <v>8</v>
      </c>
      <c r="AG17" s="6">
        <f>Dashboard!U32</f>
        <v>10</v>
      </c>
    </row>
    <row r="18" spans="2:36" ht="15.75" thickBot="1" x14ac:dyDescent="0.3">
      <c r="B18" s="21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22"/>
      <c r="V18" s="91" t="str">
        <f t="shared" si="1"/>
        <v/>
      </c>
      <c r="W18" s="17" t="str">
        <f t="shared" si="2"/>
        <v/>
      </c>
      <c r="X18" s="17" t="str">
        <f t="shared" si="3"/>
        <v/>
      </c>
      <c r="Y18" s="17" t="str">
        <f t="shared" si="4"/>
        <v/>
      </c>
      <c r="Z18" s="77" t="str">
        <f t="shared" si="0"/>
        <v/>
      </c>
      <c r="AA18" s="53" t="str">
        <f t="shared" si="5"/>
        <v/>
      </c>
      <c r="AF18" s="26" t="s">
        <v>59</v>
      </c>
      <c r="AG18" s="79" t="s">
        <v>35</v>
      </c>
      <c r="AH18" s="79" t="s">
        <v>7</v>
      </c>
      <c r="AI18" s="79" t="s">
        <v>60</v>
      </c>
      <c r="AJ18" s="27" t="s">
        <v>16</v>
      </c>
    </row>
    <row r="19" spans="2:36" x14ac:dyDescent="0.25">
      <c r="B19" s="21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22"/>
      <c r="V19" s="91" t="str">
        <f t="shared" si="1"/>
        <v/>
      </c>
      <c r="W19" s="17" t="str">
        <f t="shared" si="2"/>
        <v/>
      </c>
      <c r="X19" s="17" t="str">
        <f t="shared" si="3"/>
        <v/>
      </c>
      <c r="Y19" s="17" t="str">
        <f t="shared" si="4"/>
        <v/>
      </c>
      <c r="Z19" s="77" t="str">
        <f t="shared" si="0"/>
        <v/>
      </c>
      <c r="AA19" s="53" t="str">
        <f t="shared" si="5"/>
        <v/>
      </c>
      <c r="AF19" s="18" t="str" cm="1">
        <f t="array" ref="AF19">_xlfn._xlws.FILTER($W$4:$AA$100,$V$4:$V$100=AG17,"")</f>
        <v/>
      </c>
      <c r="AG19" s="19"/>
      <c r="AH19" s="19"/>
      <c r="AI19" s="82"/>
      <c r="AJ19" s="52"/>
    </row>
    <row r="20" spans="2:36" x14ac:dyDescent="0.25">
      <c r="B20" s="21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22"/>
      <c r="V20" s="91" t="str">
        <f t="shared" si="1"/>
        <v/>
      </c>
      <c r="W20" s="17" t="str">
        <f t="shared" si="2"/>
        <v/>
      </c>
      <c r="X20" s="17" t="str">
        <f t="shared" si="3"/>
        <v/>
      </c>
      <c r="Y20" s="17" t="str">
        <f t="shared" si="4"/>
        <v/>
      </c>
      <c r="Z20" s="77" t="str">
        <f t="shared" si="0"/>
        <v/>
      </c>
      <c r="AA20" s="53" t="str">
        <f t="shared" si="5"/>
        <v/>
      </c>
      <c r="AF20" s="21"/>
      <c r="AG20" s="17"/>
      <c r="AH20" s="17"/>
      <c r="AI20" s="77"/>
      <c r="AJ20" s="53"/>
    </row>
    <row r="21" spans="2:36" x14ac:dyDescent="0.25">
      <c r="B21" s="21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22"/>
      <c r="V21" s="91" t="str">
        <f t="shared" si="1"/>
        <v/>
      </c>
      <c r="W21" s="17" t="str">
        <f t="shared" si="2"/>
        <v/>
      </c>
      <c r="X21" s="17" t="str">
        <f t="shared" si="3"/>
        <v/>
      </c>
      <c r="Y21" s="17" t="str">
        <f t="shared" si="4"/>
        <v/>
      </c>
      <c r="Z21" s="77" t="str">
        <f t="shared" si="0"/>
        <v/>
      </c>
      <c r="AA21" s="53" t="str">
        <f t="shared" si="5"/>
        <v/>
      </c>
      <c r="AF21" s="21"/>
      <c r="AG21" s="17"/>
      <c r="AH21" s="17"/>
      <c r="AI21" s="77"/>
      <c r="AJ21" s="53"/>
    </row>
    <row r="22" spans="2:36" x14ac:dyDescent="0.25">
      <c r="B22" s="21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22"/>
      <c r="V22" s="91" t="str">
        <f t="shared" si="1"/>
        <v/>
      </c>
      <c r="W22" s="17" t="str">
        <f t="shared" si="2"/>
        <v/>
      </c>
      <c r="X22" s="17" t="str">
        <f t="shared" si="3"/>
        <v/>
      </c>
      <c r="Y22" s="17" t="str">
        <f t="shared" si="4"/>
        <v/>
      </c>
      <c r="Z22" s="77" t="str">
        <f t="shared" si="0"/>
        <v/>
      </c>
      <c r="AA22" s="53" t="str">
        <f t="shared" si="5"/>
        <v/>
      </c>
      <c r="AF22" s="21"/>
      <c r="AG22" s="17"/>
      <c r="AH22" s="17"/>
      <c r="AI22" s="77"/>
      <c r="AJ22" s="53"/>
    </row>
    <row r="23" spans="2:36" x14ac:dyDescent="0.25">
      <c r="B23" s="21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22"/>
      <c r="V23" s="91" t="str">
        <f t="shared" si="1"/>
        <v/>
      </c>
      <c r="W23" s="17" t="str">
        <f t="shared" si="2"/>
        <v/>
      </c>
      <c r="X23" s="17" t="str">
        <f t="shared" si="3"/>
        <v/>
      </c>
      <c r="Y23" s="17" t="str">
        <f t="shared" si="4"/>
        <v/>
      </c>
      <c r="Z23" s="77" t="str">
        <f t="shared" si="0"/>
        <v/>
      </c>
      <c r="AA23" s="53" t="str">
        <f t="shared" si="5"/>
        <v/>
      </c>
      <c r="AF23" s="21"/>
      <c r="AG23" s="17"/>
      <c r="AH23" s="17"/>
      <c r="AI23" s="77"/>
      <c r="AJ23" s="53"/>
    </row>
    <row r="24" spans="2:36" x14ac:dyDescent="0.25">
      <c r="B24" s="21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22"/>
      <c r="V24" s="91" t="str">
        <f t="shared" si="1"/>
        <v/>
      </c>
      <c r="W24" s="17" t="str">
        <f t="shared" si="2"/>
        <v/>
      </c>
      <c r="X24" s="17" t="str">
        <f t="shared" si="3"/>
        <v/>
      </c>
      <c r="Y24" s="17" t="str">
        <f t="shared" si="4"/>
        <v/>
      </c>
      <c r="Z24" s="77" t="str">
        <f t="shared" si="0"/>
        <v/>
      </c>
      <c r="AA24" s="53" t="str">
        <f t="shared" si="5"/>
        <v/>
      </c>
      <c r="AF24" s="21"/>
      <c r="AG24" s="17"/>
      <c r="AH24" s="17"/>
      <c r="AI24" s="77"/>
      <c r="AJ24" s="53"/>
    </row>
    <row r="25" spans="2:36" x14ac:dyDescent="0.25">
      <c r="B25" s="21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22"/>
      <c r="V25" s="91" t="str">
        <f t="shared" si="1"/>
        <v/>
      </c>
      <c r="W25" s="17" t="str">
        <f t="shared" si="2"/>
        <v/>
      </c>
      <c r="X25" s="17" t="str">
        <f t="shared" si="3"/>
        <v/>
      </c>
      <c r="Y25" s="17" t="str">
        <f t="shared" si="4"/>
        <v/>
      </c>
      <c r="Z25" s="77" t="str">
        <f t="shared" si="0"/>
        <v/>
      </c>
      <c r="AA25" s="53" t="str">
        <f t="shared" si="5"/>
        <v/>
      </c>
      <c r="AF25" s="21"/>
      <c r="AG25" s="17"/>
      <c r="AH25" s="17"/>
      <c r="AI25" s="77"/>
      <c r="AJ25" s="53"/>
    </row>
    <row r="26" spans="2:36" x14ac:dyDescent="0.25">
      <c r="B26" s="21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22"/>
      <c r="V26" s="91" t="str">
        <f t="shared" si="1"/>
        <v/>
      </c>
      <c r="W26" s="17" t="str">
        <f t="shared" si="2"/>
        <v/>
      </c>
      <c r="X26" s="17" t="str">
        <f t="shared" si="3"/>
        <v/>
      </c>
      <c r="Y26" s="17" t="str">
        <f t="shared" si="4"/>
        <v/>
      </c>
      <c r="Z26" s="77" t="str">
        <f t="shared" si="0"/>
        <v/>
      </c>
      <c r="AA26" s="53" t="str">
        <f t="shared" si="5"/>
        <v/>
      </c>
      <c r="AF26" s="21"/>
      <c r="AG26" s="17"/>
      <c r="AH26" s="17"/>
      <c r="AI26" s="77"/>
      <c r="AJ26" s="53"/>
    </row>
    <row r="27" spans="2:36" x14ac:dyDescent="0.25">
      <c r="B27" s="21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22"/>
      <c r="V27" s="91" t="str">
        <f t="shared" si="1"/>
        <v/>
      </c>
      <c r="W27" s="17" t="str">
        <f t="shared" si="2"/>
        <v/>
      </c>
      <c r="X27" s="17" t="str">
        <f t="shared" si="3"/>
        <v/>
      </c>
      <c r="Y27" s="17" t="str">
        <f t="shared" si="4"/>
        <v/>
      </c>
      <c r="Z27" s="77" t="str">
        <f t="shared" si="0"/>
        <v/>
      </c>
      <c r="AA27" s="53" t="str">
        <f t="shared" si="5"/>
        <v/>
      </c>
      <c r="AF27" s="21"/>
      <c r="AG27" s="17"/>
      <c r="AH27" s="17"/>
      <c r="AI27" s="77"/>
      <c r="AJ27" s="53"/>
    </row>
    <row r="28" spans="2:36" x14ac:dyDescent="0.25">
      <c r="B28" s="21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22"/>
      <c r="V28" s="91" t="str">
        <f t="shared" si="1"/>
        <v/>
      </c>
      <c r="W28" s="17" t="str">
        <f t="shared" si="2"/>
        <v/>
      </c>
      <c r="X28" s="17" t="str">
        <f t="shared" si="3"/>
        <v/>
      </c>
      <c r="Y28" s="17" t="str">
        <f t="shared" si="4"/>
        <v/>
      </c>
      <c r="Z28" s="77" t="str">
        <f t="shared" si="0"/>
        <v/>
      </c>
      <c r="AA28" s="53" t="str">
        <f t="shared" si="5"/>
        <v/>
      </c>
      <c r="AF28" s="21"/>
      <c r="AG28" s="17"/>
      <c r="AH28" s="17"/>
      <c r="AI28" s="77"/>
      <c r="AJ28" s="53"/>
    </row>
    <row r="29" spans="2:36" ht="15.75" thickBot="1" x14ac:dyDescent="0.3">
      <c r="B29" s="21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22"/>
      <c r="V29" s="91" t="str">
        <f t="shared" si="1"/>
        <v/>
      </c>
      <c r="W29" s="17" t="str">
        <f t="shared" si="2"/>
        <v/>
      </c>
      <c r="X29" s="17" t="str">
        <f t="shared" si="3"/>
        <v/>
      </c>
      <c r="Y29" s="17" t="str">
        <f t="shared" si="4"/>
        <v/>
      </c>
      <c r="Z29" s="77" t="str">
        <f t="shared" si="0"/>
        <v/>
      </c>
      <c r="AA29" s="53" t="str">
        <f t="shared" si="5"/>
        <v/>
      </c>
      <c r="AF29" s="45"/>
      <c r="AG29" s="75"/>
      <c r="AH29" s="75"/>
      <c r="AI29" s="94"/>
      <c r="AJ29" s="54"/>
    </row>
    <row r="30" spans="2:36" ht="15.75" thickBot="1" x14ac:dyDescent="0.3">
      <c r="B30" s="21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22"/>
      <c r="V30" s="91" t="str">
        <f t="shared" si="1"/>
        <v/>
      </c>
      <c r="W30" s="17" t="str">
        <f t="shared" si="2"/>
        <v/>
      </c>
      <c r="X30" s="17" t="str">
        <f t="shared" si="3"/>
        <v/>
      </c>
      <c r="Y30" s="17" t="str">
        <f t="shared" si="4"/>
        <v/>
      </c>
      <c r="Z30" s="77" t="str">
        <f t="shared" si="0"/>
        <v/>
      </c>
      <c r="AA30" s="53" t="str">
        <f t="shared" si="5"/>
        <v/>
      </c>
      <c r="AF30" s="303" t="s">
        <v>63</v>
      </c>
      <c r="AG30" s="304"/>
      <c r="AH30" s="304"/>
      <c r="AI30" s="93">
        <f>SUM(AI19:AI29)</f>
        <v>0</v>
      </c>
      <c r="AJ30" s="46"/>
    </row>
    <row r="31" spans="2:36" x14ac:dyDescent="0.25">
      <c r="B31" s="21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22"/>
      <c r="V31" s="91" t="str">
        <f t="shared" si="1"/>
        <v/>
      </c>
      <c r="W31" s="17" t="str">
        <f t="shared" si="2"/>
        <v/>
      </c>
      <c r="X31" s="17" t="str">
        <f t="shared" si="3"/>
        <v/>
      </c>
      <c r="Y31" s="17" t="str">
        <f t="shared" si="4"/>
        <v/>
      </c>
      <c r="Z31" s="77" t="str">
        <f t="shared" si="0"/>
        <v/>
      </c>
      <c r="AA31" s="53" t="str">
        <f t="shared" si="5"/>
        <v/>
      </c>
    </row>
    <row r="32" spans="2:36" ht="15.75" thickBot="1" x14ac:dyDescent="0.3">
      <c r="B32" s="21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22"/>
      <c r="V32" s="91" t="str">
        <f t="shared" si="1"/>
        <v/>
      </c>
      <c r="W32" s="17" t="str">
        <f t="shared" si="2"/>
        <v/>
      </c>
      <c r="X32" s="17" t="str">
        <f t="shared" si="3"/>
        <v/>
      </c>
      <c r="Y32" s="17" t="str">
        <f t="shared" si="4"/>
        <v/>
      </c>
      <c r="Z32" s="77" t="str">
        <f t="shared" si="0"/>
        <v/>
      </c>
      <c r="AA32" s="53" t="str">
        <f t="shared" si="5"/>
        <v/>
      </c>
      <c r="AF32" t="s">
        <v>8</v>
      </c>
      <c r="AG32" s="6">
        <f>Dashboard!AN32</f>
        <v>11</v>
      </c>
    </row>
    <row r="33" spans="2:36" ht="15.75" thickBot="1" x14ac:dyDescent="0.3">
      <c r="B33" s="21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22"/>
      <c r="V33" s="91" t="str">
        <f t="shared" si="1"/>
        <v/>
      </c>
      <c r="W33" s="17" t="str">
        <f t="shared" si="2"/>
        <v/>
      </c>
      <c r="X33" s="17" t="str">
        <f t="shared" si="3"/>
        <v/>
      </c>
      <c r="Y33" s="17" t="str">
        <f t="shared" si="4"/>
        <v/>
      </c>
      <c r="Z33" s="77" t="str">
        <f t="shared" si="0"/>
        <v/>
      </c>
      <c r="AA33" s="53" t="str">
        <f t="shared" si="5"/>
        <v/>
      </c>
      <c r="AF33" s="26" t="s">
        <v>59</v>
      </c>
      <c r="AG33" s="79" t="s">
        <v>35</v>
      </c>
      <c r="AH33" s="79" t="s">
        <v>7</v>
      </c>
      <c r="AI33" s="79" t="s">
        <v>60</v>
      </c>
      <c r="AJ33" s="27" t="s">
        <v>16</v>
      </c>
    </row>
    <row r="34" spans="2:36" x14ac:dyDescent="0.25">
      <c r="B34" s="21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22"/>
      <c r="V34" s="91" t="str">
        <f t="shared" si="1"/>
        <v/>
      </c>
      <c r="W34" s="17" t="str">
        <f t="shared" si="2"/>
        <v/>
      </c>
      <c r="X34" s="17" t="str">
        <f t="shared" si="3"/>
        <v/>
      </c>
      <c r="Y34" s="17" t="str">
        <f t="shared" si="4"/>
        <v/>
      </c>
      <c r="Z34" s="77" t="str">
        <f t="shared" si="0"/>
        <v/>
      </c>
      <c r="AA34" s="53" t="str">
        <f t="shared" si="5"/>
        <v/>
      </c>
      <c r="AF34" s="18" t="str" cm="1">
        <f t="array" ref="AF34">_xlfn._xlws.FILTER($W$4:$AA$100,$V$4:$V$100=AG32,"")</f>
        <v/>
      </c>
      <c r="AG34" s="19"/>
      <c r="AH34" s="19"/>
      <c r="AI34" s="82"/>
      <c r="AJ34" s="52"/>
    </row>
    <row r="35" spans="2:36" x14ac:dyDescent="0.25">
      <c r="B35" s="21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22"/>
      <c r="V35" s="91" t="str">
        <f t="shared" si="1"/>
        <v/>
      </c>
      <c r="W35" s="17" t="str">
        <f t="shared" si="2"/>
        <v/>
      </c>
      <c r="X35" s="17" t="str">
        <f t="shared" si="3"/>
        <v/>
      </c>
      <c r="Y35" s="17" t="str">
        <f t="shared" si="4"/>
        <v/>
      </c>
      <c r="Z35" s="77" t="str">
        <f t="shared" si="0"/>
        <v/>
      </c>
      <c r="AA35" s="53" t="str">
        <f t="shared" si="5"/>
        <v/>
      </c>
      <c r="AF35" s="21"/>
      <c r="AG35" s="17"/>
      <c r="AH35" s="17"/>
      <c r="AI35" s="77"/>
      <c r="AJ35" s="53"/>
    </row>
    <row r="36" spans="2:36" x14ac:dyDescent="0.25">
      <c r="B36" s="21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22"/>
      <c r="V36" s="91" t="str">
        <f t="shared" si="1"/>
        <v/>
      </c>
      <c r="W36" s="17" t="str">
        <f t="shared" si="2"/>
        <v/>
      </c>
      <c r="X36" s="17" t="str">
        <f t="shared" si="3"/>
        <v/>
      </c>
      <c r="Y36" s="17" t="str">
        <f t="shared" si="4"/>
        <v/>
      </c>
      <c r="Z36" s="77" t="str">
        <f t="shared" si="0"/>
        <v/>
      </c>
      <c r="AA36" s="53" t="str">
        <f t="shared" si="5"/>
        <v/>
      </c>
      <c r="AF36" s="21"/>
      <c r="AG36" s="17"/>
      <c r="AH36" s="17"/>
      <c r="AI36" s="77"/>
      <c r="AJ36" s="53"/>
    </row>
    <row r="37" spans="2:36" x14ac:dyDescent="0.25">
      <c r="B37" s="21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22"/>
      <c r="V37" s="91" t="str">
        <f t="shared" si="1"/>
        <v/>
      </c>
      <c r="W37" s="17" t="str">
        <f t="shared" si="2"/>
        <v/>
      </c>
      <c r="X37" s="17" t="str">
        <f t="shared" si="3"/>
        <v/>
      </c>
      <c r="Y37" s="17" t="str">
        <f t="shared" si="4"/>
        <v/>
      </c>
      <c r="Z37" s="77" t="str">
        <f t="shared" si="0"/>
        <v/>
      </c>
      <c r="AA37" s="53" t="str">
        <f t="shared" si="5"/>
        <v/>
      </c>
      <c r="AF37" s="21"/>
      <c r="AG37" s="17"/>
      <c r="AH37" s="17"/>
      <c r="AI37" s="77"/>
      <c r="AJ37" s="53"/>
    </row>
    <row r="38" spans="2:36" x14ac:dyDescent="0.25">
      <c r="B38" s="21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22"/>
      <c r="V38" s="91" t="str">
        <f t="shared" si="1"/>
        <v/>
      </c>
      <c r="W38" s="17" t="str">
        <f t="shared" si="2"/>
        <v/>
      </c>
      <c r="X38" s="17" t="str">
        <f t="shared" si="3"/>
        <v/>
      </c>
      <c r="Y38" s="17" t="str">
        <f t="shared" si="4"/>
        <v/>
      </c>
      <c r="Z38" s="77" t="str">
        <f t="shared" si="0"/>
        <v/>
      </c>
      <c r="AA38" s="53" t="str">
        <f t="shared" si="5"/>
        <v/>
      </c>
      <c r="AF38" s="21"/>
      <c r="AG38" s="17"/>
      <c r="AH38" s="17"/>
      <c r="AI38" s="77"/>
      <c r="AJ38" s="53"/>
    </row>
    <row r="39" spans="2:36" x14ac:dyDescent="0.25">
      <c r="B39" s="21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22"/>
      <c r="V39" s="91" t="str">
        <f t="shared" si="1"/>
        <v/>
      </c>
      <c r="W39" s="17" t="str">
        <f t="shared" si="2"/>
        <v/>
      </c>
      <c r="X39" s="17" t="str">
        <f t="shared" si="3"/>
        <v/>
      </c>
      <c r="Y39" s="17" t="str">
        <f t="shared" si="4"/>
        <v/>
      </c>
      <c r="Z39" s="17" t="str">
        <f t="shared" si="0"/>
        <v/>
      </c>
      <c r="AA39" s="53" t="str">
        <f t="shared" si="5"/>
        <v/>
      </c>
      <c r="AF39" s="21"/>
      <c r="AG39" s="17"/>
      <c r="AH39" s="17"/>
      <c r="AI39" s="77"/>
      <c r="AJ39" s="53"/>
    </row>
    <row r="40" spans="2:36" x14ac:dyDescent="0.25">
      <c r="B40" s="21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22"/>
      <c r="V40" s="91" t="str">
        <f t="shared" si="1"/>
        <v/>
      </c>
      <c r="W40" s="17" t="str">
        <f t="shared" si="2"/>
        <v/>
      </c>
      <c r="X40" s="17" t="str">
        <f t="shared" si="3"/>
        <v/>
      </c>
      <c r="Y40" s="17" t="str">
        <f t="shared" si="4"/>
        <v/>
      </c>
      <c r="Z40" s="17" t="str">
        <f t="shared" si="0"/>
        <v/>
      </c>
      <c r="AA40" s="53" t="str">
        <f t="shared" si="5"/>
        <v/>
      </c>
      <c r="AF40" s="21"/>
      <c r="AG40" s="17"/>
      <c r="AH40" s="17"/>
      <c r="AI40" s="77"/>
      <c r="AJ40" s="53"/>
    </row>
    <row r="41" spans="2:36" x14ac:dyDescent="0.25">
      <c r="B41" s="21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22"/>
      <c r="V41" s="91" t="str">
        <f t="shared" si="1"/>
        <v/>
      </c>
      <c r="W41" s="17" t="str">
        <f t="shared" si="2"/>
        <v/>
      </c>
      <c r="X41" s="17" t="str">
        <f t="shared" si="3"/>
        <v/>
      </c>
      <c r="Y41" s="17" t="str">
        <f t="shared" si="4"/>
        <v/>
      </c>
      <c r="Z41" s="17" t="str">
        <f t="shared" si="0"/>
        <v/>
      </c>
      <c r="AA41" s="53" t="str">
        <f t="shared" si="5"/>
        <v/>
      </c>
      <c r="AF41" s="21"/>
      <c r="AG41" s="17"/>
      <c r="AH41" s="17"/>
      <c r="AI41" s="77"/>
      <c r="AJ41" s="53"/>
    </row>
    <row r="42" spans="2:36" x14ac:dyDescent="0.25">
      <c r="B42" s="21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22"/>
      <c r="V42" s="91" t="str">
        <f t="shared" si="1"/>
        <v/>
      </c>
      <c r="W42" s="17" t="str">
        <f t="shared" si="2"/>
        <v/>
      </c>
      <c r="X42" s="17" t="str">
        <f t="shared" si="3"/>
        <v/>
      </c>
      <c r="Y42" s="17" t="str">
        <f t="shared" si="4"/>
        <v/>
      </c>
      <c r="Z42" s="17" t="str">
        <f t="shared" si="0"/>
        <v/>
      </c>
      <c r="AA42" s="53" t="str">
        <f t="shared" si="5"/>
        <v/>
      </c>
      <c r="AF42" s="21"/>
      <c r="AG42" s="17"/>
      <c r="AH42" s="17"/>
      <c r="AI42" s="77"/>
      <c r="AJ42" s="53"/>
    </row>
    <row r="43" spans="2:36" x14ac:dyDescent="0.25">
      <c r="B43" s="21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22"/>
      <c r="V43" s="91" t="str">
        <f t="shared" si="1"/>
        <v/>
      </c>
      <c r="W43" s="17" t="str">
        <f t="shared" si="2"/>
        <v/>
      </c>
      <c r="X43" s="17" t="str">
        <f t="shared" si="3"/>
        <v/>
      </c>
      <c r="Y43" s="17" t="str">
        <f t="shared" si="4"/>
        <v/>
      </c>
      <c r="Z43" s="17" t="str">
        <f t="shared" si="0"/>
        <v/>
      </c>
      <c r="AA43" s="53" t="str">
        <f t="shared" si="5"/>
        <v/>
      </c>
      <c r="AF43" s="21"/>
      <c r="AG43" s="17"/>
      <c r="AH43" s="17"/>
      <c r="AI43" s="77"/>
      <c r="AJ43" s="53"/>
    </row>
    <row r="44" spans="2:36" ht="15.75" thickBot="1" x14ac:dyDescent="0.3">
      <c r="B44" s="21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22"/>
      <c r="V44" s="91" t="str">
        <f t="shared" si="1"/>
        <v/>
      </c>
      <c r="W44" s="17" t="str">
        <f t="shared" si="2"/>
        <v/>
      </c>
      <c r="X44" s="17" t="str">
        <f t="shared" si="3"/>
        <v/>
      </c>
      <c r="Y44" s="17" t="str">
        <f t="shared" si="4"/>
        <v/>
      </c>
      <c r="Z44" s="17" t="str">
        <f t="shared" si="0"/>
        <v/>
      </c>
      <c r="AA44" s="53" t="str">
        <f t="shared" si="5"/>
        <v/>
      </c>
      <c r="AF44" s="45"/>
      <c r="AG44" s="75"/>
      <c r="AH44" s="75"/>
      <c r="AI44" s="94"/>
      <c r="AJ44" s="54"/>
    </row>
    <row r="45" spans="2:36" ht="15.75" thickBot="1" x14ac:dyDescent="0.3">
      <c r="B45" s="21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22"/>
      <c r="V45" s="91" t="str">
        <f t="shared" si="1"/>
        <v/>
      </c>
      <c r="W45" s="17" t="str">
        <f t="shared" si="2"/>
        <v/>
      </c>
      <c r="X45" s="17" t="str">
        <f t="shared" si="3"/>
        <v/>
      </c>
      <c r="Y45" s="17" t="str">
        <f t="shared" si="4"/>
        <v/>
      </c>
      <c r="Z45" s="17" t="str">
        <f t="shared" si="0"/>
        <v/>
      </c>
      <c r="AA45" s="53" t="str">
        <f t="shared" si="5"/>
        <v/>
      </c>
      <c r="AF45" s="303" t="s">
        <v>63</v>
      </c>
      <c r="AG45" s="304"/>
      <c r="AH45" s="304"/>
      <c r="AI45" s="93">
        <f>SUM(AI34:AI44)</f>
        <v>0</v>
      </c>
      <c r="AJ45" s="46"/>
    </row>
    <row r="46" spans="2:36" x14ac:dyDescent="0.25">
      <c r="B46" s="21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22"/>
      <c r="V46" s="91" t="str">
        <f t="shared" si="1"/>
        <v/>
      </c>
      <c r="W46" s="17" t="str">
        <f t="shared" si="2"/>
        <v/>
      </c>
      <c r="X46" s="17" t="str">
        <f t="shared" si="3"/>
        <v/>
      </c>
      <c r="Y46" s="17" t="str">
        <f t="shared" si="4"/>
        <v/>
      </c>
      <c r="Z46" s="17" t="str">
        <f t="shared" si="0"/>
        <v/>
      </c>
      <c r="AA46" s="53" t="str">
        <f t="shared" si="5"/>
        <v/>
      </c>
    </row>
    <row r="47" spans="2:36" x14ac:dyDescent="0.25">
      <c r="B47" s="21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22"/>
      <c r="V47" s="91" t="str">
        <f t="shared" si="1"/>
        <v/>
      </c>
      <c r="W47" s="17" t="str">
        <f t="shared" si="2"/>
        <v/>
      </c>
      <c r="X47" s="17" t="str">
        <f t="shared" si="3"/>
        <v/>
      </c>
      <c r="Y47" s="17" t="str">
        <f t="shared" si="4"/>
        <v/>
      </c>
      <c r="Z47" s="17" t="str">
        <f t="shared" si="0"/>
        <v/>
      </c>
      <c r="AA47" s="53" t="str">
        <f t="shared" si="5"/>
        <v/>
      </c>
    </row>
    <row r="48" spans="2:36" x14ac:dyDescent="0.25">
      <c r="B48" s="21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22"/>
      <c r="V48" s="91" t="str">
        <f t="shared" si="1"/>
        <v/>
      </c>
      <c r="W48" s="17" t="str">
        <f t="shared" si="2"/>
        <v/>
      </c>
      <c r="X48" s="17" t="str">
        <f t="shared" si="3"/>
        <v/>
      </c>
      <c r="Y48" s="17" t="str">
        <f t="shared" si="4"/>
        <v/>
      </c>
      <c r="Z48" s="17" t="str">
        <f t="shared" si="0"/>
        <v/>
      </c>
      <c r="AA48" s="53" t="str">
        <f t="shared" si="5"/>
        <v/>
      </c>
    </row>
    <row r="49" spans="2:27" x14ac:dyDescent="0.25">
      <c r="B49" s="21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22"/>
      <c r="V49" s="91" t="str">
        <f t="shared" si="1"/>
        <v/>
      </c>
      <c r="W49" s="17" t="str">
        <f t="shared" si="2"/>
        <v/>
      </c>
      <c r="X49" s="17" t="str">
        <f t="shared" si="3"/>
        <v/>
      </c>
      <c r="Y49" s="17" t="str">
        <f t="shared" si="4"/>
        <v/>
      </c>
      <c r="Z49" s="17" t="str">
        <f t="shared" si="0"/>
        <v/>
      </c>
      <c r="AA49" s="53" t="str">
        <f t="shared" si="5"/>
        <v/>
      </c>
    </row>
    <row r="50" spans="2:27" x14ac:dyDescent="0.25">
      <c r="B50" s="21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22"/>
      <c r="V50" s="91" t="str">
        <f t="shared" si="1"/>
        <v/>
      </c>
      <c r="W50" s="17" t="str">
        <f t="shared" si="2"/>
        <v/>
      </c>
      <c r="X50" s="17" t="str">
        <f t="shared" si="3"/>
        <v/>
      </c>
      <c r="Y50" s="17" t="str">
        <f t="shared" si="4"/>
        <v/>
      </c>
      <c r="Z50" s="17" t="str">
        <f t="shared" si="0"/>
        <v/>
      </c>
      <c r="AA50" s="53" t="str">
        <f t="shared" si="5"/>
        <v/>
      </c>
    </row>
    <row r="51" spans="2:27" x14ac:dyDescent="0.25">
      <c r="B51" s="21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22"/>
      <c r="V51" s="91" t="str">
        <f t="shared" si="1"/>
        <v/>
      </c>
      <c r="W51" s="17" t="str">
        <f t="shared" si="2"/>
        <v/>
      </c>
      <c r="X51" s="17" t="str">
        <f t="shared" si="3"/>
        <v/>
      </c>
      <c r="Y51" s="17" t="str">
        <f t="shared" si="4"/>
        <v/>
      </c>
      <c r="Z51" s="17" t="str">
        <f t="shared" si="0"/>
        <v/>
      </c>
      <c r="AA51" s="53" t="str">
        <f t="shared" si="5"/>
        <v/>
      </c>
    </row>
    <row r="52" spans="2:27" x14ac:dyDescent="0.25">
      <c r="B52" s="21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22"/>
      <c r="V52" s="91" t="str">
        <f t="shared" si="1"/>
        <v/>
      </c>
      <c r="W52" s="17" t="str">
        <f t="shared" si="2"/>
        <v/>
      </c>
      <c r="X52" s="17" t="str">
        <f t="shared" si="3"/>
        <v/>
      </c>
      <c r="Y52" s="17" t="str">
        <f t="shared" si="4"/>
        <v/>
      </c>
      <c r="Z52" s="17" t="str">
        <f t="shared" si="0"/>
        <v/>
      </c>
      <c r="AA52" s="53" t="str">
        <f t="shared" si="5"/>
        <v/>
      </c>
    </row>
    <row r="53" spans="2:27" x14ac:dyDescent="0.25">
      <c r="B53" s="21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22"/>
      <c r="V53" s="91" t="str">
        <f t="shared" si="1"/>
        <v/>
      </c>
      <c r="W53" s="17" t="str">
        <f t="shared" si="2"/>
        <v/>
      </c>
      <c r="X53" s="17" t="str">
        <f t="shared" si="3"/>
        <v/>
      </c>
      <c r="Y53" s="17" t="str">
        <f t="shared" si="4"/>
        <v/>
      </c>
      <c r="Z53" s="17" t="str">
        <f t="shared" si="0"/>
        <v/>
      </c>
      <c r="AA53" s="53" t="str">
        <f t="shared" si="5"/>
        <v/>
      </c>
    </row>
    <row r="54" spans="2:27" x14ac:dyDescent="0.25">
      <c r="B54" s="21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22"/>
      <c r="V54" s="91" t="str">
        <f t="shared" si="1"/>
        <v/>
      </c>
      <c r="W54" s="17" t="str">
        <f t="shared" si="2"/>
        <v/>
      </c>
      <c r="X54" s="17" t="str">
        <f t="shared" si="3"/>
        <v/>
      </c>
      <c r="Y54" s="17" t="str">
        <f t="shared" si="4"/>
        <v/>
      </c>
      <c r="Z54" s="17" t="str">
        <f t="shared" si="0"/>
        <v/>
      </c>
      <c r="AA54" s="53" t="str">
        <f t="shared" si="5"/>
        <v/>
      </c>
    </row>
    <row r="55" spans="2:27" x14ac:dyDescent="0.25">
      <c r="B55" s="21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22"/>
      <c r="V55" s="91" t="str">
        <f t="shared" si="1"/>
        <v/>
      </c>
      <c r="W55" s="17" t="str">
        <f t="shared" si="2"/>
        <v/>
      </c>
      <c r="X55" s="17" t="str">
        <f t="shared" si="3"/>
        <v/>
      </c>
      <c r="Y55" s="17" t="str">
        <f t="shared" si="4"/>
        <v/>
      </c>
      <c r="Z55" s="17" t="str">
        <f t="shared" si="0"/>
        <v/>
      </c>
      <c r="AA55" s="53" t="str">
        <f t="shared" si="5"/>
        <v/>
      </c>
    </row>
    <row r="56" spans="2:27" x14ac:dyDescent="0.25">
      <c r="B56" s="21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22"/>
      <c r="V56" s="91" t="str">
        <f t="shared" si="1"/>
        <v/>
      </c>
      <c r="W56" s="17" t="str">
        <f t="shared" si="2"/>
        <v/>
      </c>
      <c r="X56" s="17" t="str">
        <f t="shared" si="3"/>
        <v/>
      </c>
      <c r="Y56" s="17" t="str">
        <f t="shared" si="4"/>
        <v/>
      </c>
      <c r="Z56" s="17" t="str">
        <f t="shared" si="0"/>
        <v/>
      </c>
      <c r="AA56" s="53" t="str">
        <f t="shared" si="5"/>
        <v/>
      </c>
    </row>
    <row r="57" spans="2:27" x14ac:dyDescent="0.25">
      <c r="B57" s="21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22"/>
      <c r="V57" s="91" t="str">
        <f t="shared" si="1"/>
        <v/>
      </c>
      <c r="W57" s="17" t="str">
        <f t="shared" si="2"/>
        <v/>
      </c>
      <c r="X57" s="17" t="str">
        <f t="shared" si="3"/>
        <v/>
      </c>
      <c r="Y57" s="17" t="str">
        <f t="shared" si="4"/>
        <v/>
      </c>
      <c r="Z57" s="17" t="str">
        <f t="shared" si="0"/>
        <v/>
      </c>
      <c r="AA57" s="53" t="str">
        <f t="shared" si="5"/>
        <v/>
      </c>
    </row>
    <row r="58" spans="2:27" x14ac:dyDescent="0.25">
      <c r="B58" s="21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22"/>
      <c r="V58" s="91" t="str">
        <f t="shared" si="1"/>
        <v/>
      </c>
      <c r="W58" s="17" t="str">
        <f t="shared" si="2"/>
        <v/>
      </c>
      <c r="X58" s="17" t="str">
        <f t="shared" si="3"/>
        <v/>
      </c>
      <c r="Y58" s="17" t="str">
        <f t="shared" si="4"/>
        <v/>
      </c>
      <c r="Z58" s="17" t="str">
        <f t="shared" si="0"/>
        <v/>
      </c>
      <c r="AA58" s="53" t="str">
        <f t="shared" si="5"/>
        <v/>
      </c>
    </row>
    <row r="59" spans="2:27" x14ac:dyDescent="0.25">
      <c r="B59" s="21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22"/>
      <c r="V59" s="91" t="str">
        <f t="shared" si="1"/>
        <v/>
      </c>
      <c r="W59" s="17" t="str">
        <f t="shared" si="2"/>
        <v/>
      </c>
      <c r="X59" s="17" t="str">
        <f t="shared" si="3"/>
        <v/>
      </c>
      <c r="Y59" s="17" t="str">
        <f t="shared" si="4"/>
        <v/>
      </c>
      <c r="Z59" s="17" t="str">
        <f t="shared" si="0"/>
        <v/>
      </c>
      <c r="AA59" s="53" t="str">
        <f t="shared" si="5"/>
        <v/>
      </c>
    </row>
    <row r="60" spans="2:27" x14ac:dyDescent="0.25">
      <c r="B60" s="21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22"/>
      <c r="V60" s="91" t="str">
        <f t="shared" si="1"/>
        <v/>
      </c>
      <c r="W60" s="17" t="str">
        <f t="shared" si="2"/>
        <v/>
      </c>
      <c r="X60" s="17" t="str">
        <f t="shared" si="3"/>
        <v/>
      </c>
      <c r="Y60" s="17" t="str">
        <f t="shared" si="4"/>
        <v/>
      </c>
      <c r="Z60" s="17" t="str">
        <f t="shared" si="0"/>
        <v/>
      </c>
      <c r="AA60" s="53" t="str">
        <f t="shared" si="5"/>
        <v/>
      </c>
    </row>
    <row r="61" spans="2:27" x14ac:dyDescent="0.25">
      <c r="B61" s="21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22"/>
      <c r="V61" s="91" t="str">
        <f t="shared" si="1"/>
        <v/>
      </c>
      <c r="W61" s="17" t="str">
        <f t="shared" si="2"/>
        <v/>
      </c>
      <c r="X61" s="17" t="str">
        <f t="shared" si="3"/>
        <v/>
      </c>
      <c r="Y61" s="17" t="str">
        <f t="shared" si="4"/>
        <v/>
      </c>
      <c r="Z61" s="17" t="str">
        <f t="shared" si="0"/>
        <v/>
      </c>
      <c r="AA61" s="53" t="str">
        <f t="shared" si="5"/>
        <v/>
      </c>
    </row>
    <row r="62" spans="2:27" x14ac:dyDescent="0.25">
      <c r="B62" s="21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22"/>
      <c r="V62" s="91" t="str">
        <f t="shared" si="1"/>
        <v/>
      </c>
      <c r="W62" s="17" t="str">
        <f t="shared" si="2"/>
        <v/>
      </c>
      <c r="X62" s="17" t="str">
        <f t="shared" si="3"/>
        <v/>
      </c>
      <c r="Y62" s="17" t="str">
        <f t="shared" si="4"/>
        <v/>
      </c>
      <c r="Z62" s="17" t="str">
        <f t="shared" si="0"/>
        <v/>
      </c>
      <c r="AA62" s="53" t="str">
        <f t="shared" si="5"/>
        <v/>
      </c>
    </row>
    <row r="63" spans="2:27" x14ac:dyDescent="0.25">
      <c r="B63" s="21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22"/>
      <c r="V63" s="91" t="str">
        <f t="shared" si="1"/>
        <v/>
      </c>
      <c r="W63" s="17" t="str">
        <f t="shared" si="2"/>
        <v/>
      </c>
      <c r="X63" s="17" t="str">
        <f t="shared" si="3"/>
        <v/>
      </c>
      <c r="Y63" s="17" t="str">
        <f t="shared" si="4"/>
        <v/>
      </c>
      <c r="Z63" s="17" t="str">
        <f t="shared" si="0"/>
        <v/>
      </c>
      <c r="AA63" s="53" t="str">
        <f t="shared" si="5"/>
        <v/>
      </c>
    </row>
    <row r="64" spans="2:27" x14ac:dyDescent="0.25">
      <c r="B64" s="21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22"/>
      <c r="V64" s="91" t="str">
        <f t="shared" si="1"/>
        <v/>
      </c>
      <c r="W64" s="17" t="str">
        <f t="shared" si="2"/>
        <v/>
      </c>
      <c r="X64" s="17" t="str">
        <f t="shared" si="3"/>
        <v/>
      </c>
      <c r="Y64" s="17" t="str">
        <f t="shared" si="4"/>
        <v/>
      </c>
      <c r="Z64" s="17" t="str">
        <f t="shared" si="0"/>
        <v/>
      </c>
      <c r="AA64" s="53" t="str">
        <f t="shared" si="5"/>
        <v/>
      </c>
    </row>
    <row r="65" spans="2:27" x14ac:dyDescent="0.25">
      <c r="B65" s="21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22"/>
      <c r="V65" s="91" t="str">
        <f t="shared" si="1"/>
        <v/>
      </c>
      <c r="W65" s="17" t="str">
        <f t="shared" si="2"/>
        <v/>
      </c>
      <c r="X65" s="17" t="str">
        <f t="shared" si="3"/>
        <v/>
      </c>
      <c r="Y65" s="17" t="str">
        <f t="shared" si="4"/>
        <v/>
      </c>
      <c r="Z65" s="17" t="str">
        <f t="shared" si="0"/>
        <v/>
      </c>
      <c r="AA65" s="53" t="str">
        <f t="shared" si="5"/>
        <v/>
      </c>
    </row>
    <row r="66" spans="2:27" x14ac:dyDescent="0.25">
      <c r="B66" s="21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22"/>
      <c r="V66" s="91" t="str">
        <f t="shared" si="1"/>
        <v/>
      </c>
      <c r="W66" s="17" t="str">
        <f t="shared" si="2"/>
        <v/>
      </c>
      <c r="X66" s="17" t="str">
        <f t="shared" si="3"/>
        <v/>
      </c>
      <c r="Y66" s="17" t="str">
        <f t="shared" si="4"/>
        <v/>
      </c>
      <c r="Z66" s="17" t="str">
        <f t="shared" si="0"/>
        <v/>
      </c>
      <c r="AA66" s="53" t="str">
        <f t="shared" si="5"/>
        <v/>
      </c>
    </row>
    <row r="67" spans="2:27" x14ac:dyDescent="0.25">
      <c r="B67" s="21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22"/>
      <c r="V67" s="91" t="str">
        <f t="shared" si="1"/>
        <v/>
      </c>
      <c r="W67" s="17" t="str">
        <f t="shared" si="2"/>
        <v/>
      </c>
      <c r="X67" s="17" t="str">
        <f t="shared" si="3"/>
        <v/>
      </c>
      <c r="Y67" s="17" t="str">
        <f t="shared" si="4"/>
        <v/>
      </c>
      <c r="Z67" s="17" t="str">
        <f t="shared" si="0"/>
        <v/>
      </c>
      <c r="AA67" s="53" t="str">
        <f t="shared" si="5"/>
        <v/>
      </c>
    </row>
    <row r="68" spans="2:27" x14ac:dyDescent="0.25">
      <c r="B68" s="21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22"/>
      <c r="V68" s="91" t="str">
        <f t="shared" si="1"/>
        <v/>
      </c>
      <c r="W68" s="17" t="str">
        <f t="shared" si="2"/>
        <v/>
      </c>
      <c r="X68" s="17" t="str">
        <f t="shared" si="3"/>
        <v/>
      </c>
      <c r="Y68" s="17" t="str">
        <f t="shared" si="4"/>
        <v/>
      </c>
      <c r="Z68" s="17" t="str">
        <f t="shared" ref="Z68:Z100" si="6">IF(B68="","",IF(G68=$C$2,I68,L68))</f>
        <v/>
      </c>
      <c r="AA68" s="53" t="str">
        <f t="shared" si="5"/>
        <v/>
      </c>
    </row>
    <row r="69" spans="2:27" x14ac:dyDescent="0.25">
      <c r="B69" s="21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22"/>
      <c r="V69" s="91" t="str">
        <f t="shared" ref="V69:V100" si="7">IF(E69="","",E69)</f>
        <v/>
      </c>
      <c r="W69" s="17" t="str">
        <f t="shared" ref="W69:W132" si="8">IF(B69="","",B69)</f>
        <v/>
      </c>
      <c r="X69" s="17" t="str">
        <f t="shared" ref="X69:X100" si="9">IF(B69="","",C69)</f>
        <v/>
      </c>
      <c r="Y69" s="17" t="str">
        <f t="shared" ref="Y69:Y100" si="10">IF(B69="","",D69)</f>
        <v/>
      </c>
      <c r="Z69" s="17" t="str">
        <f t="shared" si="6"/>
        <v/>
      </c>
      <c r="AA69" s="53" t="str">
        <f t="shared" ref="AA69:AA100" si="11">IF(B69="","",VLOOKUP(S69,$AC$3:$AD$14,2,FALSE))</f>
        <v/>
      </c>
    </row>
    <row r="70" spans="2:27" x14ac:dyDescent="0.25">
      <c r="B70" s="21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22"/>
      <c r="V70" s="91" t="str">
        <f t="shared" si="7"/>
        <v/>
      </c>
      <c r="W70" s="17" t="str">
        <f t="shared" si="8"/>
        <v/>
      </c>
      <c r="X70" s="17" t="str">
        <f t="shared" si="9"/>
        <v/>
      </c>
      <c r="Y70" s="17" t="str">
        <f t="shared" si="10"/>
        <v/>
      </c>
      <c r="Z70" s="17" t="str">
        <f t="shared" si="6"/>
        <v/>
      </c>
      <c r="AA70" s="53" t="str">
        <f t="shared" si="11"/>
        <v/>
      </c>
    </row>
    <row r="71" spans="2:27" x14ac:dyDescent="0.25">
      <c r="B71" s="21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22"/>
      <c r="V71" s="91" t="str">
        <f t="shared" si="7"/>
        <v/>
      </c>
      <c r="W71" s="17" t="str">
        <f t="shared" si="8"/>
        <v/>
      </c>
      <c r="X71" s="17" t="str">
        <f t="shared" si="9"/>
        <v/>
      </c>
      <c r="Y71" s="17" t="str">
        <f t="shared" si="10"/>
        <v/>
      </c>
      <c r="Z71" s="17" t="str">
        <f t="shared" si="6"/>
        <v/>
      </c>
      <c r="AA71" s="53" t="str">
        <f t="shared" si="11"/>
        <v/>
      </c>
    </row>
    <row r="72" spans="2:27" x14ac:dyDescent="0.25">
      <c r="B72" s="21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22"/>
      <c r="V72" s="91" t="str">
        <f t="shared" si="7"/>
        <v/>
      </c>
      <c r="W72" s="17" t="str">
        <f t="shared" si="8"/>
        <v/>
      </c>
      <c r="X72" s="17" t="str">
        <f t="shared" si="9"/>
        <v/>
      </c>
      <c r="Y72" s="17" t="str">
        <f t="shared" si="10"/>
        <v/>
      </c>
      <c r="Z72" s="17" t="str">
        <f t="shared" si="6"/>
        <v/>
      </c>
      <c r="AA72" s="53" t="str">
        <f t="shared" si="11"/>
        <v/>
      </c>
    </row>
    <row r="73" spans="2:27" x14ac:dyDescent="0.25">
      <c r="B73" s="21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22"/>
      <c r="V73" s="91" t="str">
        <f t="shared" si="7"/>
        <v/>
      </c>
      <c r="W73" s="17" t="str">
        <f t="shared" si="8"/>
        <v/>
      </c>
      <c r="X73" s="17" t="str">
        <f t="shared" si="9"/>
        <v/>
      </c>
      <c r="Y73" s="17" t="str">
        <f t="shared" si="10"/>
        <v/>
      </c>
      <c r="Z73" s="17" t="str">
        <f t="shared" si="6"/>
        <v/>
      </c>
      <c r="AA73" s="53" t="str">
        <f t="shared" si="11"/>
        <v/>
      </c>
    </row>
    <row r="74" spans="2:27" x14ac:dyDescent="0.25">
      <c r="B74" s="21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22"/>
      <c r="V74" s="91" t="str">
        <f t="shared" si="7"/>
        <v/>
      </c>
      <c r="W74" s="17" t="str">
        <f t="shared" si="8"/>
        <v/>
      </c>
      <c r="X74" s="17" t="str">
        <f t="shared" si="9"/>
        <v/>
      </c>
      <c r="Y74" s="17" t="str">
        <f t="shared" si="10"/>
        <v/>
      </c>
      <c r="Z74" s="17" t="str">
        <f t="shared" si="6"/>
        <v/>
      </c>
      <c r="AA74" s="53" t="str">
        <f t="shared" si="11"/>
        <v/>
      </c>
    </row>
    <row r="75" spans="2:27" x14ac:dyDescent="0.25">
      <c r="B75" s="21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22"/>
      <c r="V75" s="91" t="str">
        <f t="shared" si="7"/>
        <v/>
      </c>
      <c r="W75" s="17" t="str">
        <f t="shared" si="8"/>
        <v/>
      </c>
      <c r="X75" s="17" t="str">
        <f t="shared" si="9"/>
        <v/>
      </c>
      <c r="Y75" s="17" t="str">
        <f t="shared" si="10"/>
        <v/>
      </c>
      <c r="Z75" s="17" t="str">
        <f t="shared" si="6"/>
        <v/>
      </c>
      <c r="AA75" s="53" t="str">
        <f t="shared" si="11"/>
        <v/>
      </c>
    </row>
    <row r="76" spans="2:27" x14ac:dyDescent="0.25">
      <c r="B76" s="21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22"/>
      <c r="V76" s="91" t="str">
        <f t="shared" si="7"/>
        <v/>
      </c>
      <c r="W76" s="17" t="str">
        <f t="shared" si="8"/>
        <v/>
      </c>
      <c r="X76" s="17" t="str">
        <f t="shared" si="9"/>
        <v/>
      </c>
      <c r="Y76" s="17" t="str">
        <f t="shared" si="10"/>
        <v/>
      </c>
      <c r="Z76" s="17" t="str">
        <f t="shared" si="6"/>
        <v/>
      </c>
      <c r="AA76" s="53" t="str">
        <f t="shared" si="11"/>
        <v/>
      </c>
    </row>
    <row r="77" spans="2:27" x14ac:dyDescent="0.25">
      <c r="B77" s="21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22"/>
      <c r="V77" s="91" t="str">
        <f t="shared" si="7"/>
        <v/>
      </c>
      <c r="W77" s="17" t="str">
        <f t="shared" si="8"/>
        <v/>
      </c>
      <c r="X77" s="17" t="str">
        <f t="shared" si="9"/>
        <v/>
      </c>
      <c r="Y77" s="17" t="str">
        <f t="shared" si="10"/>
        <v/>
      </c>
      <c r="Z77" s="17" t="str">
        <f t="shared" si="6"/>
        <v/>
      </c>
      <c r="AA77" s="53" t="str">
        <f t="shared" si="11"/>
        <v/>
      </c>
    </row>
    <row r="78" spans="2:27" x14ac:dyDescent="0.25">
      <c r="B78" s="21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22"/>
      <c r="V78" s="91" t="str">
        <f t="shared" si="7"/>
        <v/>
      </c>
      <c r="W78" s="17" t="str">
        <f t="shared" si="8"/>
        <v/>
      </c>
      <c r="X78" s="17" t="str">
        <f t="shared" si="9"/>
        <v/>
      </c>
      <c r="Y78" s="17" t="str">
        <f t="shared" si="10"/>
        <v/>
      </c>
      <c r="Z78" s="17" t="str">
        <f t="shared" si="6"/>
        <v/>
      </c>
      <c r="AA78" s="53" t="str">
        <f t="shared" si="11"/>
        <v/>
      </c>
    </row>
    <row r="79" spans="2:27" x14ac:dyDescent="0.25">
      <c r="B79" s="21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22"/>
      <c r="V79" s="91" t="str">
        <f t="shared" si="7"/>
        <v/>
      </c>
      <c r="W79" s="17" t="str">
        <f t="shared" si="8"/>
        <v/>
      </c>
      <c r="X79" s="17" t="str">
        <f t="shared" si="9"/>
        <v/>
      </c>
      <c r="Y79" s="17" t="str">
        <f t="shared" si="10"/>
        <v/>
      </c>
      <c r="Z79" s="17" t="str">
        <f t="shared" si="6"/>
        <v/>
      </c>
      <c r="AA79" s="53" t="str">
        <f t="shared" si="11"/>
        <v/>
      </c>
    </row>
    <row r="80" spans="2:27" x14ac:dyDescent="0.25">
      <c r="B80" s="21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22"/>
      <c r="V80" s="91" t="str">
        <f t="shared" si="7"/>
        <v/>
      </c>
      <c r="W80" s="17" t="str">
        <f t="shared" si="8"/>
        <v/>
      </c>
      <c r="X80" s="17" t="str">
        <f t="shared" si="9"/>
        <v/>
      </c>
      <c r="Y80" s="17" t="str">
        <f t="shared" si="10"/>
        <v/>
      </c>
      <c r="Z80" s="17" t="str">
        <f t="shared" si="6"/>
        <v/>
      </c>
      <c r="AA80" s="53" t="str">
        <f t="shared" si="11"/>
        <v/>
      </c>
    </row>
    <row r="81" spans="2:27" x14ac:dyDescent="0.25">
      <c r="B81" s="21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22"/>
      <c r="V81" s="91" t="str">
        <f t="shared" si="7"/>
        <v/>
      </c>
      <c r="W81" s="17" t="str">
        <f t="shared" si="8"/>
        <v/>
      </c>
      <c r="X81" s="17" t="str">
        <f t="shared" si="9"/>
        <v/>
      </c>
      <c r="Y81" s="17" t="str">
        <f t="shared" si="10"/>
        <v/>
      </c>
      <c r="Z81" s="17" t="str">
        <f t="shared" si="6"/>
        <v/>
      </c>
      <c r="AA81" s="53" t="str">
        <f t="shared" si="11"/>
        <v/>
      </c>
    </row>
    <row r="82" spans="2:27" x14ac:dyDescent="0.25">
      <c r="B82" s="21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22"/>
      <c r="V82" s="91" t="str">
        <f t="shared" si="7"/>
        <v/>
      </c>
      <c r="W82" s="17" t="str">
        <f t="shared" si="8"/>
        <v/>
      </c>
      <c r="X82" s="17" t="str">
        <f t="shared" si="9"/>
        <v/>
      </c>
      <c r="Y82" s="17" t="str">
        <f t="shared" si="10"/>
        <v/>
      </c>
      <c r="Z82" s="17" t="str">
        <f t="shared" si="6"/>
        <v/>
      </c>
      <c r="AA82" s="53" t="str">
        <f t="shared" si="11"/>
        <v/>
      </c>
    </row>
    <row r="83" spans="2:27" x14ac:dyDescent="0.25">
      <c r="B83" s="21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22"/>
      <c r="V83" s="91" t="str">
        <f t="shared" si="7"/>
        <v/>
      </c>
      <c r="W83" s="17" t="str">
        <f t="shared" si="8"/>
        <v/>
      </c>
      <c r="X83" s="17" t="str">
        <f t="shared" si="9"/>
        <v/>
      </c>
      <c r="Y83" s="17" t="str">
        <f t="shared" si="10"/>
        <v/>
      </c>
      <c r="Z83" s="17" t="str">
        <f t="shared" si="6"/>
        <v/>
      </c>
      <c r="AA83" s="53" t="str">
        <f t="shared" si="11"/>
        <v/>
      </c>
    </row>
    <row r="84" spans="2:27" x14ac:dyDescent="0.25">
      <c r="B84" s="21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22"/>
      <c r="V84" s="91" t="str">
        <f t="shared" si="7"/>
        <v/>
      </c>
      <c r="W84" s="17" t="str">
        <f t="shared" si="8"/>
        <v/>
      </c>
      <c r="X84" s="17" t="str">
        <f t="shared" si="9"/>
        <v/>
      </c>
      <c r="Y84" s="17" t="str">
        <f t="shared" si="10"/>
        <v/>
      </c>
      <c r="Z84" s="17" t="str">
        <f t="shared" si="6"/>
        <v/>
      </c>
      <c r="AA84" s="53" t="str">
        <f t="shared" si="11"/>
        <v/>
      </c>
    </row>
    <row r="85" spans="2:27" x14ac:dyDescent="0.25">
      <c r="B85" s="21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22"/>
      <c r="V85" s="91" t="str">
        <f t="shared" si="7"/>
        <v/>
      </c>
      <c r="W85" s="17" t="str">
        <f t="shared" si="8"/>
        <v/>
      </c>
      <c r="X85" s="17" t="str">
        <f t="shared" si="9"/>
        <v/>
      </c>
      <c r="Y85" s="17" t="str">
        <f t="shared" si="10"/>
        <v/>
      </c>
      <c r="Z85" s="17" t="str">
        <f t="shared" si="6"/>
        <v/>
      </c>
      <c r="AA85" s="53" t="str">
        <f t="shared" si="11"/>
        <v/>
      </c>
    </row>
    <row r="86" spans="2:27" x14ac:dyDescent="0.25">
      <c r="B86" s="21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22"/>
      <c r="V86" s="91" t="str">
        <f t="shared" si="7"/>
        <v/>
      </c>
      <c r="W86" s="17" t="str">
        <f t="shared" si="8"/>
        <v/>
      </c>
      <c r="X86" s="17" t="str">
        <f t="shared" si="9"/>
        <v/>
      </c>
      <c r="Y86" s="17" t="str">
        <f t="shared" si="10"/>
        <v/>
      </c>
      <c r="Z86" s="17" t="str">
        <f t="shared" si="6"/>
        <v/>
      </c>
      <c r="AA86" s="53" t="str">
        <f t="shared" si="11"/>
        <v/>
      </c>
    </row>
    <row r="87" spans="2:27" x14ac:dyDescent="0.25">
      <c r="B87" s="21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22"/>
      <c r="V87" s="91" t="str">
        <f t="shared" si="7"/>
        <v/>
      </c>
      <c r="W87" s="17" t="str">
        <f t="shared" si="8"/>
        <v/>
      </c>
      <c r="X87" s="17" t="str">
        <f t="shared" si="9"/>
        <v/>
      </c>
      <c r="Y87" s="17" t="str">
        <f t="shared" si="10"/>
        <v/>
      </c>
      <c r="Z87" s="17" t="str">
        <f t="shared" si="6"/>
        <v/>
      </c>
      <c r="AA87" s="53" t="str">
        <f t="shared" si="11"/>
        <v/>
      </c>
    </row>
    <row r="88" spans="2:27" x14ac:dyDescent="0.25">
      <c r="B88" s="21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22"/>
      <c r="V88" s="91" t="str">
        <f t="shared" si="7"/>
        <v/>
      </c>
      <c r="W88" s="17" t="str">
        <f t="shared" si="8"/>
        <v/>
      </c>
      <c r="X88" s="17" t="str">
        <f t="shared" si="9"/>
        <v/>
      </c>
      <c r="Y88" s="17" t="str">
        <f t="shared" si="10"/>
        <v/>
      </c>
      <c r="Z88" s="17" t="str">
        <f t="shared" si="6"/>
        <v/>
      </c>
      <c r="AA88" s="53" t="str">
        <f t="shared" si="11"/>
        <v/>
      </c>
    </row>
    <row r="89" spans="2:27" x14ac:dyDescent="0.25">
      <c r="B89" s="21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22"/>
      <c r="V89" s="91" t="str">
        <f t="shared" si="7"/>
        <v/>
      </c>
      <c r="W89" s="17" t="str">
        <f t="shared" si="8"/>
        <v/>
      </c>
      <c r="X89" s="17" t="str">
        <f t="shared" si="9"/>
        <v/>
      </c>
      <c r="Y89" s="17" t="str">
        <f t="shared" si="10"/>
        <v/>
      </c>
      <c r="Z89" s="17" t="str">
        <f t="shared" si="6"/>
        <v/>
      </c>
      <c r="AA89" s="53" t="str">
        <f t="shared" si="11"/>
        <v/>
      </c>
    </row>
    <row r="90" spans="2:27" x14ac:dyDescent="0.25">
      <c r="B90" s="21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22"/>
      <c r="V90" s="91" t="str">
        <f t="shared" si="7"/>
        <v/>
      </c>
      <c r="W90" s="17" t="str">
        <f t="shared" si="8"/>
        <v/>
      </c>
      <c r="X90" s="17" t="str">
        <f t="shared" si="9"/>
        <v/>
      </c>
      <c r="Y90" s="17" t="str">
        <f t="shared" si="10"/>
        <v/>
      </c>
      <c r="Z90" s="17" t="str">
        <f t="shared" si="6"/>
        <v/>
      </c>
      <c r="AA90" s="53" t="str">
        <f t="shared" si="11"/>
        <v/>
      </c>
    </row>
    <row r="91" spans="2:27" x14ac:dyDescent="0.25">
      <c r="B91" s="21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22"/>
      <c r="V91" s="91" t="str">
        <f t="shared" si="7"/>
        <v/>
      </c>
      <c r="W91" s="17" t="str">
        <f t="shared" si="8"/>
        <v/>
      </c>
      <c r="X91" s="17" t="str">
        <f t="shared" si="9"/>
        <v/>
      </c>
      <c r="Y91" s="17" t="str">
        <f t="shared" si="10"/>
        <v/>
      </c>
      <c r="Z91" s="17" t="str">
        <f t="shared" si="6"/>
        <v/>
      </c>
      <c r="AA91" s="53" t="str">
        <f t="shared" si="11"/>
        <v/>
      </c>
    </row>
    <row r="92" spans="2:27" x14ac:dyDescent="0.25">
      <c r="B92" s="21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22"/>
      <c r="V92" s="91" t="str">
        <f t="shared" si="7"/>
        <v/>
      </c>
      <c r="W92" s="17" t="str">
        <f t="shared" si="8"/>
        <v/>
      </c>
      <c r="X92" s="17" t="str">
        <f t="shared" si="9"/>
        <v/>
      </c>
      <c r="Y92" s="17" t="str">
        <f t="shared" si="10"/>
        <v/>
      </c>
      <c r="Z92" s="17" t="str">
        <f t="shared" si="6"/>
        <v/>
      </c>
      <c r="AA92" s="53" t="str">
        <f t="shared" si="11"/>
        <v/>
      </c>
    </row>
    <row r="93" spans="2:27" x14ac:dyDescent="0.25">
      <c r="B93" s="21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22"/>
      <c r="V93" s="91" t="str">
        <f t="shared" si="7"/>
        <v/>
      </c>
      <c r="W93" s="17" t="str">
        <f t="shared" si="8"/>
        <v/>
      </c>
      <c r="X93" s="17" t="str">
        <f t="shared" si="9"/>
        <v/>
      </c>
      <c r="Y93" s="17" t="str">
        <f t="shared" si="10"/>
        <v/>
      </c>
      <c r="Z93" s="17" t="str">
        <f t="shared" si="6"/>
        <v/>
      </c>
      <c r="AA93" s="53" t="str">
        <f t="shared" si="11"/>
        <v/>
      </c>
    </row>
    <row r="94" spans="2:27" x14ac:dyDescent="0.25">
      <c r="B94" s="21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22"/>
      <c r="V94" s="91" t="str">
        <f t="shared" si="7"/>
        <v/>
      </c>
      <c r="W94" s="17" t="str">
        <f t="shared" si="8"/>
        <v/>
      </c>
      <c r="X94" s="17" t="str">
        <f t="shared" si="9"/>
        <v/>
      </c>
      <c r="Y94" s="17" t="str">
        <f t="shared" si="10"/>
        <v/>
      </c>
      <c r="Z94" s="17" t="str">
        <f t="shared" si="6"/>
        <v/>
      </c>
      <c r="AA94" s="53" t="str">
        <f t="shared" si="11"/>
        <v/>
      </c>
    </row>
    <row r="95" spans="2:27" x14ac:dyDescent="0.25">
      <c r="B95" s="21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22"/>
      <c r="V95" s="91" t="str">
        <f t="shared" si="7"/>
        <v/>
      </c>
      <c r="W95" s="17" t="str">
        <f t="shared" si="8"/>
        <v/>
      </c>
      <c r="X95" s="17" t="str">
        <f t="shared" si="9"/>
        <v/>
      </c>
      <c r="Y95" s="17" t="str">
        <f t="shared" si="10"/>
        <v/>
      </c>
      <c r="Z95" s="17" t="str">
        <f t="shared" si="6"/>
        <v/>
      </c>
      <c r="AA95" s="53" t="str">
        <f t="shared" si="11"/>
        <v/>
      </c>
    </row>
    <row r="96" spans="2:27" x14ac:dyDescent="0.25">
      <c r="B96" s="21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22"/>
      <c r="V96" s="91" t="str">
        <f t="shared" si="7"/>
        <v/>
      </c>
      <c r="W96" s="17" t="str">
        <f t="shared" si="8"/>
        <v/>
      </c>
      <c r="X96" s="17" t="str">
        <f t="shared" si="9"/>
        <v/>
      </c>
      <c r="Y96" s="17" t="str">
        <f t="shared" si="10"/>
        <v/>
      </c>
      <c r="Z96" s="17" t="str">
        <f t="shared" si="6"/>
        <v/>
      </c>
      <c r="AA96" s="53" t="str">
        <f t="shared" si="11"/>
        <v/>
      </c>
    </row>
    <row r="97" spans="2:27" x14ac:dyDescent="0.25">
      <c r="B97" s="21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22"/>
      <c r="V97" s="91" t="str">
        <f t="shared" si="7"/>
        <v/>
      </c>
      <c r="W97" s="17" t="str">
        <f t="shared" si="8"/>
        <v/>
      </c>
      <c r="X97" s="17" t="str">
        <f t="shared" si="9"/>
        <v/>
      </c>
      <c r="Y97" s="17" t="str">
        <f t="shared" si="10"/>
        <v/>
      </c>
      <c r="Z97" s="17" t="str">
        <f t="shared" si="6"/>
        <v/>
      </c>
      <c r="AA97" s="53" t="str">
        <f t="shared" si="11"/>
        <v/>
      </c>
    </row>
    <row r="98" spans="2:27" x14ac:dyDescent="0.25">
      <c r="B98" s="21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22"/>
      <c r="V98" s="91" t="str">
        <f t="shared" si="7"/>
        <v/>
      </c>
      <c r="W98" s="17" t="str">
        <f t="shared" si="8"/>
        <v/>
      </c>
      <c r="X98" s="17" t="str">
        <f t="shared" si="9"/>
        <v/>
      </c>
      <c r="Y98" s="17" t="str">
        <f t="shared" si="10"/>
        <v/>
      </c>
      <c r="Z98" s="17" t="str">
        <f t="shared" si="6"/>
        <v/>
      </c>
      <c r="AA98" s="53" t="str">
        <f t="shared" si="11"/>
        <v/>
      </c>
    </row>
    <row r="99" spans="2:27" x14ac:dyDescent="0.25">
      <c r="B99" s="21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22"/>
      <c r="V99" s="91" t="str">
        <f t="shared" si="7"/>
        <v/>
      </c>
      <c r="W99" s="17" t="str">
        <f t="shared" si="8"/>
        <v/>
      </c>
      <c r="X99" s="17" t="str">
        <f t="shared" si="9"/>
        <v/>
      </c>
      <c r="Y99" s="17" t="str">
        <f t="shared" si="10"/>
        <v/>
      </c>
      <c r="Z99" s="17" t="str">
        <f t="shared" si="6"/>
        <v/>
      </c>
      <c r="AA99" s="53" t="str">
        <f t="shared" si="11"/>
        <v/>
      </c>
    </row>
    <row r="100" spans="2:27" ht="15.75" thickBot="1" x14ac:dyDescent="0.3">
      <c r="B100" s="2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3"/>
      <c r="V100" s="92" t="str">
        <f t="shared" si="7"/>
        <v/>
      </c>
      <c r="W100" s="23" t="str">
        <f t="shared" si="8"/>
        <v/>
      </c>
      <c r="X100" s="23" t="str">
        <f t="shared" si="9"/>
        <v/>
      </c>
      <c r="Y100" s="23" t="str">
        <f t="shared" si="10"/>
        <v/>
      </c>
      <c r="Z100" s="23" t="str">
        <f t="shared" si="6"/>
        <v/>
      </c>
      <c r="AA100" s="40" t="str">
        <f t="shared" si="11"/>
        <v/>
      </c>
    </row>
  </sheetData>
  <mergeCells count="3">
    <mergeCell ref="AF15:AH15"/>
    <mergeCell ref="AF30:AH30"/>
    <mergeCell ref="AF45:AH4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1C803-3311-4F15-A931-1C4202CBA0A0}">
  <dimension ref="B2:AJ100"/>
  <sheetViews>
    <sheetView workbookViewId="0">
      <selection activeCell="E25" sqref="E25"/>
    </sheetView>
  </sheetViews>
  <sheetFormatPr defaultRowHeight="15" x14ac:dyDescent="0.25"/>
  <cols>
    <col min="1" max="1" width="4.28515625" customWidth="1"/>
    <col min="2" max="2" width="14.42578125" bestFit="1" customWidth="1"/>
    <col min="3" max="3" width="27.28515625" bestFit="1" customWidth="1"/>
    <col min="4" max="4" width="15.28515625" bestFit="1" customWidth="1"/>
    <col min="5" max="5" width="6.85546875" bestFit="1" customWidth="1"/>
    <col min="6" max="6" width="11.7109375" bestFit="1" customWidth="1"/>
    <col min="7" max="7" width="14.85546875" bestFit="1" customWidth="1"/>
    <col min="9" max="9" width="7.42578125" bestFit="1" customWidth="1"/>
    <col min="10" max="10" width="14.85546875" bestFit="1" customWidth="1"/>
    <col min="12" max="12" width="7.42578125" bestFit="1" customWidth="1"/>
    <col min="13" max="13" width="14.7109375" bestFit="1" customWidth="1"/>
    <col min="14" max="14" width="9.140625" bestFit="1" customWidth="1"/>
    <col min="15" max="15" width="7.42578125" bestFit="1" customWidth="1"/>
    <col min="16" max="16" width="10.7109375" bestFit="1" customWidth="1"/>
    <col min="17" max="17" width="24.140625" bestFit="1" customWidth="1"/>
    <col min="18" max="18" width="14.28515625" bestFit="1" customWidth="1"/>
    <col min="19" max="19" width="30.28515625" bestFit="1" customWidth="1"/>
    <col min="20" max="20" width="16.140625" customWidth="1"/>
    <col min="21" max="21" width="4.28515625" customWidth="1"/>
    <col min="22" max="22" width="6.85546875" style="1" bestFit="1" customWidth="1"/>
    <col min="23" max="23" width="7" bestFit="1" customWidth="1"/>
    <col min="24" max="24" width="30.42578125" bestFit="1" customWidth="1"/>
    <col min="25" max="25" width="15.28515625" bestFit="1" customWidth="1"/>
    <col min="26" max="26" width="6" bestFit="1" customWidth="1"/>
    <col min="27" max="27" width="7" bestFit="1" customWidth="1"/>
    <col min="28" max="28" width="4.28515625" customWidth="1"/>
    <col min="29" max="29" width="32" bestFit="1" customWidth="1"/>
    <col min="31" max="31" width="4.28515625" customWidth="1"/>
    <col min="32" max="32" width="7" bestFit="1" customWidth="1"/>
    <col min="33" max="33" width="23" bestFit="1" customWidth="1"/>
    <col min="34" max="34" width="15.28515625" bestFit="1" customWidth="1"/>
    <col min="35" max="35" width="6" bestFit="1" customWidth="1"/>
    <col min="36" max="36" width="7" bestFit="1" customWidth="1"/>
  </cols>
  <sheetData>
    <row r="2" spans="2:36" ht="15.75" thickBot="1" x14ac:dyDescent="0.3">
      <c r="B2" t="s">
        <v>52</v>
      </c>
      <c r="C2" t="s">
        <v>73</v>
      </c>
      <c r="H2" s="35"/>
      <c r="K2" s="35"/>
      <c r="AC2" t="s">
        <v>58</v>
      </c>
      <c r="AF2" s="6" t="s">
        <v>8</v>
      </c>
      <c r="AG2" s="6">
        <f>Dashboard!E32</f>
        <v>9</v>
      </c>
    </row>
    <row r="3" spans="2:36" ht="15.75" thickBot="1" x14ac:dyDescent="0.3">
      <c r="B3" s="28" t="s">
        <v>5</v>
      </c>
      <c r="C3" s="29" t="s">
        <v>6</v>
      </c>
      <c r="D3" s="29" t="s">
        <v>7</v>
      </c>
      <c r="E3" s="29" t="s">
        <v>8</v>
      </c>
      <c r="F3" s="29" t="s">
        <v>9</v>
      </c>
      <c r="G3" s="29" t="s">
        <v>10</v>
      </c>
      <c r="H3" s="36" t="s">
        <v>11</v>
      </c>
      <c r="I3" s="29" t="s">
        <v>12</v>
      </c>
      <c r="J3" s="29" t="s">
        <v>13</v>
      </c>
      <c r="K3" s="36" t="s">
        <v>14</v>
      </c>
      <c r="L3" s="29" t="s">
        <v>15</v>
      </c>
      <c r="M3" s="29" t="s">
        <v>68</v>
      </c>
      <c r="N3" s="29" t="s">
        <v>69</v>
      </c>
      <c r="O3" s="29" t="s">
        <v>70</v>
      </c>
      <c r="P3" s="29" t="s">
        <v>76</v>
      </c>
      <c r="Q3" s="29" t="s">
        <v>67</v>
      </c>
      <c r="R3" s="29" t="s">
        <v>66</v>
      </c>
      <c r="S3" s="29" t="s">
        <v>16</v>
      </c>
      <c r="T3" s="30" t="s">
        <v>17</v>
      </c>
      <c r="V3" s="95" t="s">
        <v>8</v>
      </c>
      <c r="W3" s="29" t="s">
        <v>59</v>
      </c>
      <c r="X3" s="29" t="s">
        <v>35</v>
      </c>
      <c r="Y3" s="29" t="s">
        <v>7</v>
      </c>
      <c r="Z3" s="29" t="s">
        <v>60</v>
      </c>
      <c r="AA3" s="30" t="s">
        <v>16</v>
      </c>
      <c r="AC3" s="26" t="s">
        <v>16</v>
      </c>
      <c r="AD3" s="27" t="s">
        <v>61</v>
      </c>
      <c r="AF3" s="26" t="s">
        <v>59</v>
      </c>
      <c r="AG3" s="79" t="s">
        <v>35</v>
      </c>
      <c r="AH3" s="79" t="s">
        <v>7</v>
      </c>
      <c r="AI3" s="79" t="s">
        <v>60</v>
      </c>
      <c r="AJ3" s="27" t="s">
        <v>16</v>
      </c>
    </row>
    <row r="4" spans="2:36" x14ac:dyDescent="0.25">
      <c r="B4" s="18" t="e" cm="1" vm="1">
        <f t="array" ref="B4">_xlfn._xlws.FILTER('Ber. Planning Totaal'!B4:T1000,('Ber. Planning Totaal'!G4:G1000=C2)+('Ber. Planning Totaal'!J4:J1000=C2)+('Ber. Planning Totaal'!M4:M1000=C2))</f>
        <v>#VALUE!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20"/>
      <c r="V4" s="76" t="str">
        <f>IF(E4="","",E4)</f>
        <v/>
      </c>
      <c r="W4" s="19" t="e" vm="2">
        <f>IF(B4="","",B4)</f>
        <v>#VALUE!</v>
      </c>
      <c r="X4" s="19" t="e" vm="2">
        <f>IF(B4="","",C4)</f>
        <v>#VALUE!</v>
      </c>
      <c r="Y4" s="19" t="e" vm="2">
        <f>IF(B4="","",D4)</f>
        <v>#VALUE!</v>
      </c>
      <c r="Z4" s="82" t="e" vm="2">
        <f t="shared" ref="Z4:Z67" si="0">IF(B4="","",IF(G4=$C$2,I4,L4))</f>
        <v>#VALUE!</v>
      </c>
      <c r="AA4" s="52" t="e" vm="2">
        <f>IF(B4="","",VLOOKUP(S4,$AC$3:$AD$14,2,FALSE))</f>
        <v>#VALUE!</v>
      </c>
      <c r="AC4" s="24" t="s">
        <v>29</v>
      </c>
      <c r="AD4" s="25">
        <v>1</v>
      </c>
      <c r="AF4" s="18" t="str" cm="1">
        <f t="array" ref="AF4">_xlfn._xlws.FILTER($W$4:$AA$100,$V$4:$V$100=AG2,"")</f>
        <v/>
      </c>
      <c r="AG4" s="19"/>
      <c r="AH4" s="19"/>
      <c r="AI4" s="82"/>
      <c r="AJ4" s="52"/>
    </row>
    <row r="5" spans="2:36" x14ac:dyDescent="0.25">
      <c r="B5" s="21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22"/>
      <c r="V5" s="91" t="str">
        <f t="shared" ref="V5:V68" si="1">IF(E5="","",E5)</f>
        <v/>
      </c>
      <c r="W5" s="17" t="str">
        <f t="shared" ref="W5:W68" si="2">IF(B5="","",B5)</f>
        <v/>
      </c>
      <c r="X5" s="17" t="str">
        <f t="shared" ref="X5:X68" si="3">IF(B5="","",C5)</f>
        <v/>
      </c>
      <c r="Y5" s="17" t="str">
        <f t="shared" ref="Y5:Y68" si="4">IF(B5="","",D5)</f>
        <v/>
      </c>
      <c r="Z5" s="77" t="str">
        <f t="shared" si="0"/>
        <v/>
      </c>
      <c r="AA5" s="53" t="str">
        <f t="shared" ref="AA5:AA68" si="5">IF(B5="","",VLOOKUP(S5,$AC$3:$AD$14,2,FALSE))</f>
        <v/>
      </c>
      <c r="AC5" s="21" t="s">
        <v>39</v>
      </c>
      <c r="AD5" s="22">
        <v>2</v>
      </c>
      <c r="AF5" s="21"/>
      <c r="AG5" s="17"/>
      <c r="AH5" s="17"/>
      <c r="AI5" s="77"/>
      <c r="AJ5" s="53"/>
    </row>
    <row r="6" spans="2:36" x14ac:dyDescent="0.25">
      <c r="B6" s="21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22"/>
      <c r="V6" s="91" t="str">
        <f t="shared" si="1"/>
        <v/>
      </c>
      <c r="W6" s="17" t="str">
        <f t="shared" si="2"/>
        <v/>
      </c>
      <c r="X6" s="17" t="str">
        <f t="shared" si="3"/>
        <v/>
      </c>
      <c r="Y6" s="17" t="str">
        <f t="shared" si="4"/>
        <v/>
      </c>
      <c r="Z6" s="77" t="str">
        <f t="shared" si="0"/>
        <v/>
      </c>
      <c r="AA6" s="53" t="str">
        <f t="shared" si="5"/>
        <v/>
      </c>
      <c r="AC6" s="21" t="s">
        <v>28</v>
      </c>
      <c r="AD6" s="22">
        <v>3</v>
      </c>
      <c r="AF6" s="21"/>
      <c r="AG6" s="17"/>
      <c r="AH6" s="17"/>
      <c r="AI6" s="77"/>
      <c r="AJ6" s="53"/>
    </row>
    <row r="7" spans="2:36" x14ac:dyDescent="0.25">
      <c r="B7" s="21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22"/>
      <c r="V7" s="91" t="str">
        <f t="shared" si="1"/>
        <v/>
      </c>
      <c r="W7" s="17" t="str">
        <f t="shared" si="2"/>
        <v/>
      </c>
      <c r="X7" s="17" t="str">
        <f t="shared" si="3"/>
        <v/>
      </c>
      <c r="Y7" s="17" t="str">
        <f t="shared" si="4"/>
        <v/>
      </c>
      <c r="Z7" s="77" t="str">
        <f t="shared" si="0"/>
        <v/>
      </c>
      <c r="AA7" s="53" t="str">
        <f t="shared" si="5"/>
        <v/>
      </c>
      <c r="AC7" s="21" t="s">
        <v>26</v>
      </c>
      <c r="AD7" s="22">
        <v>4</v>
      </c>
      <c r="AF7" s="21"/>
      <c r="AG7" s="17"/>
      <c r="AH7" s="17"/>
      <c r="AI7" s="77"/>
      <c r="AJ7" s="53"/>
    </row>
    <row r="8" spans="2:36" x14ac:dyDescent="0.25">
      <c r="B8" s="21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22"/>
      <c r="V8" s="91" t="str">
        <f t="shared" si="1"/>
        <v/>
      </c>
      <c r="W8" s="17" t="str">
        <f t="shared" si="2"/>
        <v/>
      </c>
      <c r="X8" s="17" t="str">
        <f t="shared" si="3"/>
        <v/>
      </c>
      <c r="Y8" s="17" t="str">
        <f t="shared" si="4"/>
        <v/>
      </c>
      <c r="Z8" s="77" t="str">
        <f t="shared" si="0"/>
        <v/>
      </c>
      <c r="AA8" s="53" t="str">
        <f t="shared" si="5"/>
        <v/>
      </c>
      <c r="AC8" s="21" t="s">
        <v>40</v>
      </c>
      <c r="AD8" s="22">
        <v>5</v>
      </c>
      <c r="AF8" s="21"/>
      <c r="AG8" s="17"/>
      <c r="AH8" s="17"/>
      <c r="AI8" s="77"/>
      <c r="AJ8" s="53"/>
    </row>
    <row r="9" spans="2:36" x14ac:dyDescent="0.25">
      <c r="B9" s="21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22"/>
      <c r="V9" s="91" t="str">
        <f t="shared" si="1"/>
        <v/>
      </c>
      <c r="W9" s="17" t="str">
        <f t="shared" si="2"/>
        <v/>
      </c>
      <c r="X9" s="17" t="str">
        <f t="shared" si="3"/>
        <v/>
      </c>
      <c r="Y9" s="17" t="str">
        <f t="shared" si="4"/>
        <v/>
      </c>
      <c r="Z9" s="77" t="str">
        <f t="shared" si="0"/>
        <v/>
      </c>
      <c r="AA9" s="53" t="str">
        <f t="shared" si="5"/>
        <v/>
      </c>
      <c r="AC9" s="21" t="s">
        <v>27</v>
      </c>
      <c r="AD9" s="22">
        <v>6</v>
      </c>
      <c r="AF9" s="21"/>
      <c r="AG9" s="17"/>
      <c r="AH9" s="17"/>
      <c r="AI9" s="77"/>
      <c r="AJ9" s="53"/>
    </row>
    <row r="10" spans="2:36" x14ac:dyDescent="0.25">
      <c r="B10" s="21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22"/>
      <c r="V10" s="91" t="str">
        <f t="shared" si="1"/>
        <v/>
      </c>
      <c r="W10" s="17" t="str">
        <f t="shared" si="2"/>
        <v/>
      </c>
      <c r="X10" s="17" t="str">
        <f t="shared" si="3"/>
        <v/>
      </c>
      <c r="Y10" s="17" t="str">
        <f t="shared" si="4"/>
        <v/>
      </c>
      <c r="Z10" s="77" t="str">
        <f t="shared" si="0"/>
        <v/>
      </c>
      <c r="AA10" s="53" t="str">
        <f t="shared" si="5"/>
        <v/>
      </c>
      <c r="AC10" s="21" t="s">
        <v>32</v>
      </c>
      <c r="AD10" s="22">
        <v>7</v>
      </c>
      <c r="AF10" s="21"/>
      <c r="AG10" s="17"/>
      <c r="AH10" s="17"/>
      <c r="AI10" s="77"/>
      <c r="AJ10" s="53"/>
    </row>
    <row r="11" spans="2:36" x14ac:dyDescent="0.25">
      <c r="B11" s="21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22"/>
      <c r="V11" s="91" t="str">
        <f t="shared" si="1"/>
        <v/>
      </c>
      <c r="W11" s="17" t="str">
        <f t="shared" si="2"/>
        <v/>
      </c>
      <c r="X11" s="17" t="str">
        <f t="shared" si="3"/>
        <v/>
      </c>
      <c r="Y11" s="17" t="str">
        <f t="shared" si="4"/>
        <v/>
      </c>
      <c r="Z11" s="77" t="str">
        <f t="shared" si="0"/>
        <v/>
      </c>
      <c r="AA11" s="53" t="str">
        <f t="shared" si="5"/>
        <v/>
      </c>
      <c r="AC11" s="21" t="s">
        <v>41</v>
      </c>
      <c r="AD11" s="22">
        <v>8</v>
      </c>
      <c r="AF11" s="21"/>
      <c r="AG11" s="17"/>
      <c r="AH11" s="17"/>
      <c r="AI11" s="77"/>
      <c r="AJ11" s="53"/>
    </row>
    <row r="12" spans="2:36" x14ac:dyDescent="0.25">
      <c r="B12" s="21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22"/>
      <c r="V12" s="91" t="str">
        <f t="shared" si="1"/>
        <v/>
      </c>
      <c r="W12" s="17" t="str">
        <f t="shared" si="2"/>
        <v/>
      </c>
      <c r="X12" s="17" t="str">
        <f t="shared" si="3"/>
        <v/>
      </c>
      <c r="Y12" s="17" t="str">
        <f t="shared" si="4"/>
        <v/>
      </c>
      <c r="Z12" s="77" t="str">
        <f t="shared" si="0"/>
        <v/>
      </c>
      <c r="AA12" s="53" t="str">
        <f t="shared" si="5"/>
        <v/>
      </c>
      <c r="AC12" s="21" t="s">
        <v>43</v>
      </c>
      <c r="AD12" s="22">
        <v>9</v>
      </c>
      <c r="AF12" s="21"/>
      <c r="AG12" s="17"/>
      <c r="AH12" s="17"/>
      <c r="AI12" s="77"/>
      <c r="AJ12" s="53"/>
    </row>
    <row r="13" spans="2:36" x14ac:dyDescent="0.25">
      <c r="B13" s="21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22"/>
      <c r="V13" s="91" t="str">
        <f t="shared" si="1"/>
        <v/>
      </c>
      <c r="W13" s="17" t="str">
        <f t="shared" si="2"/>
        <v/>
      </c>
      <c r="X13" s="17" t="str">
        <f t="shared" si="3"/>
        <v/>
      </c>
      <c r="Y13" s="17" t="str">
        <f t="shared" si="4"/>
        <v/>
      </c>
      <c r="Z13" s="77" t="str">
        <f t="shared" si="0"/>
        <v/>
      </c>
      <c r="AA13" s="53" t="str">
        <f t="shared" si="5"/>
        <v/>
      </c>
      <c r="AC13" s="21" t="s">
        <v>19</v>
      </c>
      <c r="AD13" s="22">
        <v>10</v>
      </c>
      <c r="AF13" s="21"/>
      <c r="AG13" s="17"/>
      <c r="AH13" s="17"/>
      <c r="AI13" s="77"/>
      <c r="AJ13" s="53"/>
    </row>
    <row r="14" spans="2:36" ht="15.75" thickBot="1" x14ac:dyDescent="0.3">
      <c r="B14" s="21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22"/>
      <c r="V14" s="91" t="str">
        <f t="shared" si="1"/>
        <v/>
      </c>
      <c r="W14" s="17" t="str">
        <f t="shared" si="2"/>
        <v/>
      </c>
      <c r="X14" s="17" t="str">
        <f t="shared" si="3"/>
        <v/>
      </c>
      <c r="Y14" s="17" t="str">
        <f t="shared" si="4"/>
        <v/>
      </c>
      <c r="Z14" s="77" t="str">
        <f t="shared" si="0"/>
        <v/>
      </c>
      <c r="AA14" s="53" t="str">
        <f t="shared" si="5"/>
        <v/>
      </c>
      <c r="AC14" s="2" t="s">
        <v>49</v>
      </c>
      <c r="AD14" s="96" t="s">
        <v>62</v>
      </c>
      <c r="AF14" s="45"/>
      <c r="AG14" s="75"/>
      <c r="AH14" s="75"/>
      <c r="AI14" s="94"/>
      <c r="AJ14" s="54"/>
    </row>
    <row r="15" spans="2:36" ht="15.75" thickBot="1" x14ac:dyDescent="0.3">
      <c r="B15" s="21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22"/>
      <c r="V15" s="91" t="str">
        <f t="shared" si="1"/>
        <v/>
      </c>
      <c r="W15" s="17" t="str">
        <f t="shared" si="2"/>
        <v/>
      </c>
      <c r="X15" s="17" t="str">
        <f t="shared" si="3"/>
        <v/>
      </c>
      <c r="Y15" s="17" t="str">
        <f t="shared" si="4"/>
        <v/>
      </c>
      <c r="Z15" s="77" t="str">
        <f t="shared" si="0"/>
        <v/>
      </c>
      <c r="AA15" s="53" t="str">
        <f t="shared" si="5"/>
        <v/>
      </c>
      <c r="AF15" s="303" t="s">
        <v>63</v>
      </c>
      <c r="AG15" s="304"/>
      <c r="AH15" s="304"/>
      <c r="AI15" s="93">
        <f>SUM(AI4:AI14)</f>
        <v>0</v>
      </c>
      <c r="AJ15" s="46"/>
    </row>
    <row r="16" spans="2:36" x14ac:dyDescent="0.25">
      <c r="B16" s="21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22"/>
      <c r="V16" s="91" t="str">
        <f t="shared" si="1"/>
        <v/>
      </c>
      <c r="W16" s="17" t="str">
        <f t="shared" si="2"/>
        <v/>
      </c>
      <c r="X16" s="17" t="str">
        <f t="shared" si="3"/>
        <v/>
      </c>
      <c r="Y16" s="17" t="str">
        <f t="shared" si="4"/>
        <v/>
      </c>
      <c r="Z16" s="77" t="str">
        <f t="shared" si="0"/>
        <v/>
      </c>
      <c r="AA16" s="53" t="str">
        <f t="shared" si="5"/>
        <v/>
      </c>
    </row>
    <row r="17" spans="2:36" ht="15.75" thickBot="1" x14ac:dyDescent="0.3">
      <c r="B17" s="21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22"/>
      <c r="V17" s="91" t="str">
        <f t="shared" si="1"/>
        <v/>
      </c>
      <c r="W17" s="17" t="str">
        <f t="shared" si="2"/>
        <v/>
      </c>
      <c r="X17" s="17" t="str">
        <f t="shared" si="3"/>
        <v/>
      </c>
      <c r="Y17" s="17" t="str">
        <f t="shared" si="4"/>
        <v/>
      </c>
      <c r="Z17" s="77" t="str">
        <f t="shared" si="0"/>
        <v/>
      </c>
      <c r="AA17" s="53" t="str">
        <f t="shared" si="5"/>
        <v/>
      </c>
      <c r="AF17" t="s">
        <v>8</v>
      </c>
      <c r="AG17" s="6">
        <f>Dashboard!U32</f>
        <v>10</v>
      </c>
    </row>
    <row r="18" spans="2:36" ht="15.75" thickBot="1" x14ac:dyDescent="0.3">
      <c r="B18" s="21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22"/>
      <c r="V18" s="91" t="str">
        <f t="shared" si="1"/>
        <v/>
      </c>
      <c r="W18" s="17" t="str">
        <f t="shared" si="2"/>
        <v/>
      </c>
      <c r="X18" s="17" t="str">
        <f t="shared" si="3"/>
        <v/>
      </c>
      <c r="Y18" s="17" t="str">
        <f t="shared" si="4"/>
        <v/>
      </c>
      <c r="Z18" s="77" t="str">
        <f t="shared" si="0"/>
        <v/>
      </c>
      <c r="AA18" s="53" t="str">
        <f t="shared" si="5"/>
        <v/>
      </c>
      <c r="AF18" s="26" t="s">
        <v>59</v>
      </c>
      <c r="AG18" s="79" t="s">
        <v>35</v>
      </c>
      <c r="AH18" s="79" t="s">
        <v>7</v>
      </c>
      <c r="AI18" s="79" t="s">
        <v>60</v>
      </c>
      <c r="AJ18" s="27" t="s">
        <v>16</v>
      </c>
    </row>
    <row r="19" spans="2:36" x14ac:dyDescent="0.25">
      <c r="B19" s="21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22"/>
      <c r="V19" s="91" t="str">
        <f t="shared" si="1"/>
        <v/>
      </c>
      <c r="W19" s="17" t="str">
        <f t="shared" si="2"/>
        <v/>
      </c>
      <c r="X19" s="17" t="str">
        <f t="shared" si="3"/>
        <v/>
      </c>
      <c r="Y19" s="17" t="str">
        <f t="shared" si="4"/>
        <v/>
      </c>
      <c r="Z19" s="77" t="str">
        <f t="shared" si="0"/>
        <v/>
      </c>
      <c r="AA19" s="53" t="str">
        <f t="shared" si="5"/>
        <v/>
      </c>
      <c r="AF19" s="18" t="str" cm="1">
        <f t="array" ref="AF19">_xlfn._xlws.FILTER($W$4:$AA$100,$V$4:$V$100=AG17,"")</f>
        <v/>
      </c>
      <c r="AG19" s="19"/>
      <c r="AH19" s="19"/>
      <c r="AI19" s="82"/>
      <c r="AJ19" s="52"/>
    </row>
    <row r="20" spans="2:36" x14ac:dyDescent="0.25">
      <c r="B20" s="21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22"/>
      <c r="V20" s="91" t="str">
        <f t="shared" si="1"/>
        <v/>
      </c>
      <c r="W20" s="17" t="str">
        <f t="shared" si="2"/>
        <v/>
      </c>
      <c r="X20" s="17" t="str">
        <f t="shared" si="3"/>
        <v/>
      </c>
      <c r="Y20" s="17" t="str">
        <f t="shared" si="4"/>
        <v/>
      </c>
      <c r="Z20" s="77" t="str">
        <f t="shared" si="0"/>
        <v/>
      </c>
      <c r="AA20" s="53" t="str">
        <f t="shared" si="5"/>
        <v/>
      </c>
      <c r="AF20" s="21"/>
      <c r="AG20" s="17"/>
      <c r="AH20" s="17"/>
      <c r="AI20" s="77"/>
      <c r="AJ20" s="53"/>
    </row>
    <row r="21" spans="2:36" x14ac:dyDescent="0.25">
      <c r="B21" s="21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22"/>
      <c r="V21" s="91" t="str">
        <f t="shared" si="1"/>
        <v/>
      </c>
      <c r="W21" s="17" t="str">
        <f t="shared" si="2"/>
        <v/>
      </c>
      <c r="X21" s="17" t="str">
        <f t="shared" si="3"/>
        <v/>
      </c>
      <c r="Y21" s="17" t="str">
        <f t="shared" si="4"/>
        <v/>
      </c>
      <c r="Z21" s="77" t="str">
        <f t="shared" si="0"/>
        <v/>
      </c>
      <c r="AA21" s="53" t="str">
        <f t="shared" si="5"/>
        <v/>
      </c>
      <c r="AF21" s="21"/>
      <c r="AG21" s="17"/>
      <c r="AH21" s="17"/>
      <c r="AI21" s="77"/>
      <c r="AJ21" s="53"/>
    </row>
    <row r="22" spans="2:36" x14ac:dyDescent="0.25">
      <c r="B22" s="21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22"/>
      <c r="V22" s="91" t="str">
        <f t="shared" si="1"/>
        <v/>
      </c>
      <c r="W22" s="17" t="str">
        <f t="shared" si="2"/>
        <v/>
      </c>
      <c r="X22" s="17" t="str">
        <f t="shared" si="3"/>
        <v/>
      </c>
      <c r="Y22" s="17" t="str">
        <f t="shared" si="4"/>
        <v/>
      </c>
      <c r="Z22" s="77" t="str">
        <f t="shared" si="0"/>
        <v/>
      </c>
      <c r="AA22" s="53" t="str">
        <f t="shared" si="5"/>
        <v/>
      </c>
      <c r="AF22" s="21"/>
      <c r="AG22" s="17"/>
      <c r="AH22" s="17"/>
      <c r="AI22" s="77"/>
      <c r="AJ22" s="53"/>
    </row>
    <row r="23" spans="2:36" x14ac:dyDescent="0.25">
      <c r="B23" s="21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22"/>
      <c r="V23" s="91" t="str">
        <f t="shared" si="1"/>
        <v/>
      </c>
      <c r="W23" s="17" t="str">
        <f t="shared" si="2"/>
        <v/>
      </c>
      <c r="X23" s="17" t="str">
        <f t="shared" si="3"/>
        <v/>
      </c>
      <c r="Y23" s="17" t="str">
        <f t="shared" si="4"/>
        <v/>
      </c>
      <c r="Z23" s="77" t="str">
        <f t="shared" si="0"/>
        <v/>
      </c>
      <c r="AA23" s="53" t="str">
        <f t="shared" si="5"/>
        <v/>
      </c>
      <c r="AF23" s="21"/>
      <c r="AG23" s="17"/>
      <c r="AH23" s="17"/>
      <c r="AI23" s="77"/>
      <c r="AJ23" s="53"/>
    </row>
    <row r="24" spans="2:36" x14ac:dyDescent="0.25">
      <c r="B24" s="21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22"/>
      <c r="V24" s="91" t="str">
        <f t="shared" si="1"/>
        <v/>
      </c>
      <c r="W24" s="17" t="str">
        <f t="shared" si="2"/>
        <v/>
      </c>
      <c r="X24" s="17" t="str">
        <f t="shared" si="3"/>
        <v/>
      </c>
      <c r="Y24" s="17" t="str">
        <f t="shared" si="4"/>
        <v/>
      </c>
      <c r="Z24" s="77" t="str">
        <f t="shared" si="0"/>
        <v/>
      </c>
      <c r="AA24" s="53" t="str">
        <f t="shared" si="5"/>
        <v/>
      </c>
      <c r="AF24" s="21"/>
      <c r="AG24" s="17"/>
      <c r="AH24" s="17"/>
      <c r="AI24" s="77"/>
      <c r="AJ24" s="53"/>
    </row>
    <row r="25" spans="2:36" x14ac:dyDescent="0.25">
      <c r="B25" s="21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22"/>
      <c r="V25" s="91" t="str">
        <f t="shared" si="1"/>
        <v/>
      </c>
      <c r="W25" s="17" t="str">
        <f t="shared" si="2"/>
        <v/>
      </c>
      <c r="X25" s="17" t="str">
        <f t="shared" si="3"/>
        <v/>
      </c>
      <c r="Y25" s="17" t="str">
        <f t="shared" si="4"/>
        <v/>
      </c>
      <c r="Z25" s="77" t="str">
        <f t="shared" si="0"/>
        <v/>
      </c>
      <c r="AA25" s="53" t="str">
        <f t="shared" si="5"/>
        <v/>
      </c>
      <c r="AF25" s="21"/>
      <c r="AG25" s="17"/>
      <c r="AH25" s="17"/>
      <c r="AI25" s="77"/>
      <c r="AJ25" s="53"/>
    </row>
    <row r="26" spans="2:36" x14ac:dyDescent="0.25">
      <c r="B26" s="21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22"/>
      <c r="V26" s="91" t="str">
        <f t="shared" si="1"/>
        <v/>
      </c>
      <c r="W26" s="17" t="str">
        <f t="shared" si="2"/>
        <v/>
      </c>
      <c r="X26" s="17" t="str">
        <f t="shared" si="3"/>
        <v/>
      </c>
      <c r="Y26" s="17" t="str">
        <f t="shared" si="4"/>
        <v/>
      </c>
      <c r="Z26" s="77" t="str">
        <f t="shared" si="0"/>
        <v/>
      </c>
      <c r="AA26" s="53" t="str">
        <f t="shared" si="5"/>
        <v/>
      </c>
      <c r="AF26" s="21"/>
      <c r="AG26" s="17"/>
      <c r="AH26" s="17"/>
      <c r="AI26" s="77"/>
      <c r="AJ26" s="53"/>
    </row>
    <row r="27" spans="2:36" x14ac:dyDescent="0.25">
      <c r="B27" s="21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22"/>
      <c r="V27" s="91" t="str">
        <f t="shared" si="1"/>
        <v/>
      </c>
      <c r="W27" s="17" t="str">
        <f t="shared" si="2"/>
        <v/>
      </c>
      <c r="X27" s="17" t="str">
        <f t="shared" si="3"/>
        <v/>
      </c>
      <c r="Y27" s="17" t="str">
        <f t="shared" si="4"/>
        <v/>
      </c>
      <c r="Z27" s="77" t="str">
        <f t="shared" si="0"/>
        <v/>
      </c>
      <c r="AA27" s="53" t="str">
        <f t="shared" si="5"/>
        <v/>
      </c>
      <c r="AF27" s="21"/>
      <c r="AG27" s="17"/>
      <c r="AH27" s="17"/>
      <c r="AI27" s="77"/>
      <c r="AJ27" s="53"/>
    </row>
    <row r="28" spans="2:36" x14ac:dyDescent="0.25">
      <c r="B28" s="21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22"/>
      <c r="V28" s="91" t="str">
        <f t="shared" si="1"/>
        <v/>
      </c>
      <c r="W28" s="17" t="str">
        <f t="shared" si="2"/>
        <v/>
      </c>
      <c r="X28" s="17" t="str">
        <f t="shared" si="3"/>
        <v/>
      </c>
      <c r="Y28" s="17" t="str">
        <f t="shared" si="4"/>
        <v/>
      </c>
      <c r="Z28" s="77" t="str">
        <f t="shared" si="0"/>
        <v/>
      </c>
      <c r="AA28" s="53" t="str">
        <f t="shared" si="5"/>
        <v/>
      </c>
      <c r="AF28" s="21"/>
      <c r="AG28" s="17"/>
      <c r="AH28" s="17"/>
      <c r="AI28" s="77"/>
      <c r="AJ28" s="53"/>
    </row>
    <row r="29" spans="2:36" ht="15.75" thickBot="1" x14ac:dyDescent="0.3">
      <c r="B29" s="21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22"/>
      <c r="V29" s="91" t="str">
        <f t="shared" si="1"/>
        <v/>
      </c>
      <c r="W29" s="17" t="str">
        <f t="shared" si="2"/>
        <v/>
      </c>
      <c r="X29" s="17" t="str">
        <f t="shared" si="3"/>
        <v/>
      </c>
      <c r="Y29" s="17" t="str">
        <f t="shared" si="4"/>
        <v/>
      </c>
      <c r="Z29" s="77" t="str">
        <f t="shared" si="0"/>
        <v/>
      </c>
      <c r="AA29" s="53" t="str">
        <f t="shared" si="5"/>
        <v/>
      </c>
      <c r="AF29" s="45"/>
      <c r="AG29" s="75"/>
      <c r="AH29" s="75"/>
      <c r="AI29" s="94"/>
      <c r="AJ29" s="54"/>
    </row>
    <row r="30" spans="2:36" ht="15.75" thickBot="1" x14ac:dyDescent="0.3">
      <c r="B30" s="21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22"/>
      <c r="V30" s="91" t="str">
        <f t="shared" si="1"/>
        <v/>
      </c>
      <c r="W30" s="17" t="str">
        <f t="shared" si="2"/>
        <v/>
      </c>
      <c r="X30" s="17" t="str">
        <f t="shared" si="3"/>
        <v/>
      </c>
      <c r="Y30" s="17" t="str">
        <f t="shared" si="4"/>
        <v/>
      </c>
      <c r="Z30" s="77" t="str">
        <f t="shared" si="0"/>
        <v/>
      </c>
      <c r="AA30" s="53" t="str">
        <f t="shared" si="5"/>
        <v/>
      </c>
      <c r="AF30" s="303" t="s">
        <v>63</v>
      </c>
      <c r="AG30" s="304"/>
      <c r="AH30" s="304"/>
      <c r="AI30" s="93">
        <f>SUM(AI19:AI29)</f>
        <v>0</v>
      </c>
      <c r="AJ30" s="46"/>
    </row>
    <row r="31" spans="2:36" x14ac:dyDescent="0.25">
      <c r="B31" s="21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22"/>
      <c r="V31" s="91" t="str">
        <f t="shared" si="1"/>
        <v/>
      </c>
      <c r="W31" s="17" t="str">
        <f t="shared" si="2"/>
        <v/>
      </c>
      <c r="X31" s="17" t="str">
        <f t="shared" si="3"/>
        <v/>
      </c>
      <c r="Y31" s="17" t="str">
        <f t="shared" si="4"/>
        <v/>
      </c>
      <c r="Z31" s="77" t="str">
        <f t="shared" si="0"/>
        <v/>
      </c>
      <c r="AA31" s="53" t="str">
        <f t="shared" si="5"/>
        <v/>
      </c>
    </row>
    <row r="32" spans="2:36" ht="15.75" thickBot="1" x14ac:dyDescent="0.3">
      <c r="B32" s="21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22"/>
      <c r="V32" s="91" t="str">
        <f t="shared" si="1"/>
        <v/>
      </c>
      <c r="W32" s="17" t="str">
        <f t="shared" si="2"/>
        <v/>
      </c>
      <c r="X32" s="17" t="str">
        <f t="shared" si="3"/>
        <v/>
      </c>
      <c r="Y32" s="17" t="str">
        <f t="shared" si="4"/>
        <v/>
      </c>
      <c r="Z32" s="77" t="str">
        <f t="shared" si="0"/>
        <v/>
      </c>
      <c r="AA32" s="53" t="str">
        <f t="shared" si="5"/>
        <v/>
      </c>
      <c r="AF32" t="s">
        <v>8</v>
      </c>
      <c r="AG32" s="6">
        <f>Dashboard!AN32</f>
        <v>11</v>
      </c>
    </row>
    <row r="33" spans="2:36" ht="15.75" thickBot="1" x14ac:dyDescent="0.3">
      <c r="B33" s="21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22"/>
      <c r="V33" s="91" t="str">
        <f t="shared" si="1"/>
        <v/>
      </c>
      <c r="W33" s="17" t="str">
        <f t="shared" si="2"/>
        <v/>
      </c>
      <c r="X33" s="17" t="str">
        <f t="shared" si="3"/>
        <v/>
      </c>
      <c r="Y33" s="17" t="str">
        <f t="shared" si="4"/>
        <v/>
      </c>
      <c r="Z33" s="77" t="str">
        <f t="shared" si="0"/>
        <v/>
      </c>
      <c r="AA33" s="53" t="str">
        <f t="shared" si="5"/>
        <v/>
      </c>
      <c r="AF33" s="26" t="s">
        <v>59</v>
      </c>
      <c r="AG33" s="79" t="s">
        <v>35</v>
      </c>
      <c r="AH33" s="79" t="s">
        <v>7</v>
      </c>
      <c r="AI33" s="79" t="s">
        <v>60</v>
      </c>
      <c r="AJ33" s="27" t="s">
        <v>16</v>
      </c>
    </row>
    <row r="34" spans="2:36" x14ac:dyDescent="0.25">
      <c r="B34" s="21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22"/>
      <c r="V34" s="91" t="str">
        <f t="shared" si="1"/>
        <v/>
      </c>
      <c r="W34" s="17" t="str">
        <f t="shared" si="2"/>
        <v/>
      </c>
      <c r="X34" s="17" t="str">
        <f t="shared" si="3"/>
        <v/>
      </c>
      <c r="Y34" s="17" t="str">
        <f t="shared" si="4"/>
        <v/>
      </c>
      <c r="Z34" s="77" t="str">
        <f t="shared" si="0"/>
        <v/>
      </c>
      <c r="AA34" s="53" t="str">
        <f t="shared" si="5"/>
        <v/>
      </c>
      <c r="AF34" s="18" t="str" cm="1">
        <f t="array" ref="AF34">_xlfn._xlws.FILTER($W$4:$AA$100,$V$4:$V$100=AG32,"")</f>
        <v/>
      </c>
      <c r="AG34" s="19"/>
      <c r="AH34" s="19"/>
      <c r="AI34" s="82"/>
      <c r="AJ34" s="52"/>
    </row>
    <row r="35" spans="2:36" x14ac:dyDescent="0.25">
      <c r="B35" s="21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22"/>
      <c r="V35" s="91" t="str">
        <f t="shared" si="1"/>
        <v/>
      </c>
      <c r="W35" s="17" t="str">
        <f t="shared" si="2"/>
        <v/>
      </c>
      <c r="X35" s="17" t="str">
        <f t="shared" si="3"/>
        <v/>
      </c>
      <c r="Y35" s="17" t="str">
        <f t="shared" si="4"/>
        <v/>
      </c>
      <c r="Z35" s="77" t="str">
        <f t="shared" si="0"/>
        <v/>
      </c>
      <c r="AA35" s="53" t="str">
        <f t="shared" si="5"/>
        <v/>
      </c>
      <c r="AF35" s="21"/>
      <c r="AG35" s="17"/>
      <c r="AH35" s="17"/>
      <c r="AI35" s="77"/>
      <c r="AJ35" s="53"/>
    </row>
    <row r="36" spans="2:36" x14ac:dyDescent="0.25">
      <c r="B36" s="21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22"/>
      <c r="V36" s="91" t="str">
        <f t="shared" si="1"/>
        <v/>
      </c>
      <c r="W36" s="17" t="str">
        <f t="shared" si="2"/>
        <v/>
      </c>
      <c r="X36" s="17" t="str">
        <f t="shared" si="3"/>
        <v/>
      </c>
      <c r="Y36" s="17" t="str">
        <f t="shared" si="4"/>
        <v/>
      </c>
      <c r="Z36" s="77" t="str">
        <f t="shared" si="0"/>
        <v/>
      </c>
      <c r="AA36" s="53" t="str">
        <f t="shared" si="5"/>
        <v/>
      </c>
      <c r="AF36" s="21"/>
      <c r="AG36" s="17"/>
      <c r="AH36" s="17"/>
      <c r="AI36" s="77"/>
      <c r="AJ36" s="53"/>
    </row>
    <row r="37" spans="2:36" x14ac:dyDescent="0.25">
      <c r="B37" s="21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22"/>
      <c r="V37" s="91" t="str">
        <f t="shared" si="1"/>
        <v/>
      </c>
      <c r="W37" s="17" t="str">
        <f t="shared" si="2"/>
        <v/>
      </c>
      <c r="X37" s="17" t="str">
        <f t="shared" si="3"/>
        <v/>
      </c>
      <c r="Y37" s="17" t="str">
        <f t="shared" si="4"/>
        <v/>
      </c>
      <c r="Z37" s="77" t="str">
        <f t="shared" si="0"/>
        <v/>
      </c>
      <c r="AA37" s="53" t="str">
        <f t="shared" si="5"/>
        <v/>
      </c>
      <c r="AF37" s="21"/>
      <c r="AG37" s="17"/>
      <c r="AH37" s="17"/>
      <c r="AI37" s="77"/>
      <c r="AJ37" s="53"/>
    </row>
    <row r="38" spans="2:36" x14ac:dyDescent="0.25">
      <c r="B38" s="21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22"/>
      <c r="V38" s="91" t="str">
        <f t="shared" si="1"/>
        <v/>
      </c>
      <c r="W38" s="17" t="str">
        <f t="shared" si="2"/>
        <v/>
      </c>
      <c r="X38" s="17" t="str">
        <f t="shared" si="3"/>
        <v/>
      </c>
      <c r="Y38" s="17" t="str">
        <f t="shared" si="4"/>
        <v/>
      </c>
      <c r="Z38" s="77" t="str">
        <f t="shared" si="0"/>
        <v/>
      </c>
      <c r="AA38" s="53" t="str">
        <f t="shared" si="5"/>
        <v/>
      </c>
      <c r="AF38" s="21"/>
      <c r="AG38" s="17"/>
      <c r="AH38" s="17"/>
      <c r="AI38" s="77"/>
      <c r="AJ38" s="53"/>
    </row>
    <row r="39" spans="2:36" x14ac:dyDescent="0.25">
      <c r="B39" s="21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22"/>
      <c r="V39" s="91" t="str">
        <f t="shared" si="1"/>
        <v/>
      </c>
      <c r="W39" s="17" t="str">
        <f t="shared" si="2"/>
        <v/>
      </c>
      <c r="X39" s="17" t="str">
        <f t="shared" si="3"/>
        <v/>
      </c>
      <c r="Y39" s="17" t="str">
        <f t="shared" si="4"/>
        <v/>
      </c>
      <c r="Z39" s="17" t="str">
        <f t="shared" si="0"/>
        <v/>
      </c>
      <c r="AA39" s="53" t="str">
        <f t="shared" si="5"/>
        <v/>
      </c>
      <c r="AF39" s="21"/>
      <c r="AG39" s="17"/>
      <c r="AH39" s="17"/>
      <c r="AI39" s="77"/>
      <c r="AJ39" s="53"/>
    </row>
    <row r="40" spans="2:36" x14ac:dyDescent="0.25">
      <c r="B40" s="21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22"/>
      <c r="V40" s="91" t="str">
        <f t="shared" si="1"/>
        <v/>
      </c>
      <c r="W40" s="17" t="str">
        <f t="shared" si="2"/>
        <v/>
      </c>
      <c r="X40" s="17" t="str">
        <f t="shared" si="3"/>
        <v/>
      </c>
      <c r="Y40" s="17" t="str">
        <f t="shared" si="4"/>
        <v/>
      </c>
      <c r="Z40" s="17" t="str">
        <f t="shared" si="0"/>
        <v/>
      </c>
      <c r="AA40" s="53" t="str">
        <f t="shared" si="5"/>
        <v/>
      </c>
      <c r="AF40" s="21"/>
      <c r="AG40" s="17"/>
      <c r="AH40" s="17"/>
      <c r="AI40" s="77"/>
      <c r="AJ40" s="53"/>
    </row>
    <row r="41" spans="2:36" x14ac:dyDescent="0.25">
      <c r="B41" s="21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22"/>
      <c r="V41" s="91" t="str">
        <f t="shared" si="1"/>
        <v/>
      </c>
      <c r="W41" s="17" t="str">
        <f t="shared" si="2"/>
        <v/>
      </c>
      <c r="X41" s="17" t="str">
        <f t="shared" si="3"/>
        <v/>
      </c>
      <c r="Y41" s="17" t="str">
        <f t="shared" si="4"/>
        <v/>
      </c>
      <c r="Z41" s="17" t="str">
        <f t="shared" si="0"/>
        <v/>
      </c>
      <c r="AA41" s="53" t="str">
        <f t="shared" si="5"/>
        <v/>
      </c>
      <c r="AF41" s="21"/>
      <c r="AG41" s="17"/>
      <c r="AH41" s="17"/>
      <c r="AI41" s="77"/>
      <c r="AJ41" s="53"/>
    </row>
    <row r="42" spans="2:36" x14ac:dyDescent="0.25">
      <c r="B42" s="21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22"/>
      <c r="V42" s="91" t="str">
        <f t="shared" si="1"/>
        <v/>
      </c>
      <c r="W42" s="17" t="str">
        <f t="shared" si="2"/>
        <v/>
      </c>
      <c r="X42" s="17" t="str">
        <f t="shared" si="3"/>
        <v/>
      </c>
      <c r="Y42" s="17" t="str">
        <f t="shared" si="4"/>
        <v/>
      </c>
      <c r="Z42" s="17" t="str">
        <f t="shared" si="0"/>
        <v/>
      </c>
      <c r="AA42" s="53" t="str">
        <f t="shared" si="5"/>
        <v/>
      </c>
      <c r="AF42" s="21"/>
      <c r="AG42" s="17"/>
      <c r="AH42" s="17"/>
      <c r="AI42" s="77"/>
      <c r="AJ42" s="53"/>
    </row>
    <row r="43" spans="2:36" x14ac:dyDescent="0.25">
      <c r="B43" s="21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22"/>
      <c r="V43" s="91" t="str">
        <f t="shared" si="1"/>
        <v/>
      </c>
      <c r="W43" s="17" t="str">
        <f t="shared" si="2"/>
        <v/>
      </c>
      <c r="X43" s="17" t="str">
        <f t="shared" si="3"/>
        <v/>
      </c>
      <c r="Y43" s="17" t="str">
        <f t="shared" si="4"/>
        <v/>
      </c>
      <c r="Z43" s="17" t="str">
        <f t="shared" si="0"/>
        <v/>
      </c>
      <c r="AA43" s="53" t="str">
        <f t="shared" si="5"/>
        <v/>
      </c>
      <c r="AF43" s="21"/>
      <c r="AG43" s="17"/>
      <c r="AH43" s="17"/>
      <c r="AI43" s="77"/>
      <c r="AJ43" s="53"/>
    </row>
    <row r="44" spans="2:36" ht="15.75" thickBot="1" x14ac:dyDescent="0.3">
      <c r="B44" s="21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22"/>
      <c r="V44" s="91" t="str">
        <f t="shared" si="1"/>
        <v/>
      </c>
      <c r="W44" s="17" t="str">
        <f t="shared" si="2"/>
        <v/>
      </c>
      <c r="X44" s="17" t="str">
        <f t="shared" si="3"/>
        <v/>
      </c>
      <c r="Y44" s="17" t="str">
        <f t="shared" si="4"/>
        <v/>
      </c>
      <c r="Z44" s="17" t="str">
        <f t="shared" si="0"/>
        <v/>
      </c>
      <c r="AA44" s="53" t="str">
        <f t="shared" si="5"/>
        <v/>
      </c>
      <c r="AF44" s="45"/>
      <c r="AG44" s="75"/>
      <c r="AH44" s="75"/>
      <c r="AI44" s="94"/>
      <c r="AJ44" s="54"/>
    </row>
    <row r="45" spans="2:36" ht="15.75" thickBot="1" x14ac:dyDescent="0.3">
      <c r="B45" s="21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22"/>
      <c r="V45" s="91" t="str">
        <f t="shared" si="1"/>
        <v/>
      </c>
      <c r="W45" s="17" t="str">
        <f t="shared" si="2"/>
        <v/>
      </c>
      <c r="X45" s="17" t="str">
        <f t="shared" si="3"/>
        <v/>
      </c>
      <c r="Y45" s="17" t="str">
        <f t="shared" si="4"/>
        <v/>
      </c>
      <c r="Z45" s="17" t="str">
        <f t="shared" si="0"/>
        <v/>
      </c>
      <c r="AA45" s="53" t="str">
        <f t="shared" si="5"/>
        <v/>
      </c>
      <c r="AF45" s="303" t="s">
        <v>63</v>
      </c>
      <c r="AG45" s="304"/>
      <c r="AH45" s="304"/>
      <c r="AI45" s="93">
        <f>SUM(AI34:AI44)</f>
        <v>0</v>
      </c>
      <c r="AJ45" s="46"/>
    </row>
    <row r="46" spans="2:36" x14ac:dyDescent="0.25">
      <c r="B46" s="21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22"/>
      <c r="V46" s="91" t="str">
        <f t="shared" si="1"/>
        <v/>
      </c>
      <c r="W46" s="17" t="str">
        <f t="shared" si="2"/>
        <v/>
      </c>
      <c r="X46" s="17" t="str">
        <f t="shared" si="3"/>
        <v/>
      </c>
      <c r="Y46" s="17" t="str">
        <f t="shared" si="4"/>
        <v/>
      </c>
      <c r="Z46" s="17" t="str">
        <f t="shared" si="0"/>
        <v/>
      </c>
      <c r="AA46" s="53" t="str">
        <f t="shared" si="5"/>
        <v/>
      </c>
    </row>
    <row r="47" spans="2:36" x14ac:dyDescent="0.25">
      <c r="B47" s="21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22"/>
      <c r="V47" s="91" t="str">
        <f t="shared" si="1"/>
        <v/>
      </c>
      <c r="W47" s="17" t="str">
        <f t="shared" si="2"/>
        <v/>
      </c>
      <c r="X47" s="17" t="str">
        <f t="shared" si="3"/>
        <v/>
      </c>
      <c r="Y47" s="17" t="str">
        <f t="shared" si="4"/>
        <v/>
      </c>
      <c r="Z47" s="17" t="str">
        <f t="shared" si="0"/>
        <v/>
      </c>
      <c r="AA47" s="53" t="str">
        <f t="shared" si="5"/>
        <v/>
      </c>
    </row>
    <row r="48" spans="2:36" x14ac:dyDescent="0.25">
      <c r="B48" s="21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22"/>
      <c r="V48" s="91" t="str">
        <f t="shared" si="1"/>
        <v/>
      </c>
      <c r="W48" s="17" t="str">
        <f t="shared" si="2"/>
        <v/>
      </c>
      <c r="X48" s="17" t="str">
        <f t="shared" si="3"/>
        <v/>
      </c>
      <c r="Y48" s="17" t="str">
        <f t="shared" si="4"/>
        <v/>
      </c>
      <c r="Z48" s="17" t="str">
        <f t="shared" si="0"/>
        <v/>
      </c>
      <c r="AA48" s="53" t="str">
        <f t="shared" si="5"/>
        <v/>
      </c>
    </row>
    <row r="49" spans="2:27" x14ac:dyDescent="0.25">
      <c r="B49" s="21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22"/>
      <c r="V49" s="91" t="str">
        <f t="shared" si="1"/>
        <v/>
      </c>
      <c r="W49" s="17" t="str">
        <f t="shared" si="2"/>
        <v/>
      </c>
      <c r="X49" s="17" t="str">
        <f t="shared" si="3"/>
        <v/>
      </c>
      <c r="Y49" s="17" t="str">
        <f t="shared" si="4"/>
        <v/>
      </c>
      <c r="Z49" s="17" t="str">
        <f t="shared" si="0"/>
        <v/>
      </c>
      <c r="AA49" s="53" t="str">
        <f t="shared" si="5"/>
        <v/>
      </c>
    </row>
    <row r="50" spans="2:27" x14ac:dyDescent="0.25">
      <c r="B50" s="21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22"/>
      <c r="V50" s="91" t="str">
        <f t="shared" si="1"/>
        <v/>
      </c>
      <c r="W50" s="17" t="str">
        <f t="shared" si="2"/>
        <v/>
      </c>
      <c r="X50" s="17" t="str">
        <f t="shared" si="3"/>
        <v/>
      </c>
      <c r="Y50" s="17" t="str">
        <f t="shared" si="4"/>
        <v/>
      </c>
      <c r="Z50" s="17" t="str">
        <f t="shared" si="0"/>
        <v/>
      </c>
      <c r="AA50" s="53" t="str">
        <f t="shared" si="5"/>
        <v/>
      </c>
    </row>
    <row r="51" spans="2:27" x14ac:dyDescent="0.25">
      <c r="B51" s="21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22"/>
      <c r="V51" s="91" t="str">
        <f t="shared" si="1"/>
        <v/>
      </c>
      <c r="W51" s="17" t="str">
        <f t="shared" si="2"/>
        <v/>
      </c>
      <c r="X51" s="17" t="str">
        <f t="shared" si="3"/>
        <v/>
      </c>
      <c r="Y51" s="17" t="str">
        <f t="shared" si="4"/>
        <v/>
      </c>
      <c r="Z51" s="17" t="str">
        <f t="shared" si="0"/>
        <v/>
      </c>
      <c r="AA51" s="53" t="str">
        <f t="shared" si="5"/>
        <v/>
      </c>
    </row>
    <row r="52" spans="2:27" x14ac:dyDescent="0.25">
      <c r="B52" s="21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22"/>
      <c r="V52" s="91" t="str">
        <f t="shared" si="1"/>
        <v/>
      </c>
      <c r="W52" s="17" t="str">
        <f t="shared" si="2"/>
        <v/>
      </c>
      <c r="X52" s="17" t="str">
        <f t="shared" si="3"/>
        <v/>
      </c>
      <c r="Y52" s="17" t="str">
        <f t="shared" si="4"/>
        <v/>
      </c>
      <c r="Z52" s="17" t="str">
        <f t="shared" si="0"/>
        <v/>
      </c>
      <c r="AA52" s="53" t="str">
        <f t="shared" si="5"/>
        <v/>
      </c>
    </row>
    <row r="53" spans="2:27" x14ac:dyDescent="0.25">
      <c r="B53" s="21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22"/>
      <c r="V53" s="91" t="str">
        <f t="shared" si="1"/>
        <v/>
      </c>
      <c r="W53" s="17" t="str">
        <f t="shared" si="2"/>
        <v/>
      </c>
      <c r="X53" s="17" t="str">
        <f t="shared" si="3"/>
        <v/>
      </c>
      <c r="Y53" s="17" t="str">
        <f t="shared" si="4"/>
        <v/>
      </c>
      <c r="Z53" s="17" t="str">
        <f t="shared" si="0"/>
        <v/>
      </c>
      <c r="AA53" s="53" t="str">
        <f t="shared" si="5"/>
        <v/>
      </c>
    </row>
    <row r="54" spans="2:27" x14ac:dyDescent="0.25">
      <c r="B54" s="21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22"/>
      <c r="V54" s="91" t="str">
        <f t="shared" si="1"/>
        <v/>
      </c>
      <c r="W54" s="17" t="str">
        <f t="shared" si="2"/>
        <v/>
      </c>
      <c r="X54" s="17" t="str">
        <f t="shared" si="3"/>
        <v/>
      </c>
      <c r="Y54" s="17" t="str">
        <f t="shared" si="4"/>
        <v/>
      </c>
      <c r="Z54" s="17" t="str">
        <f t="shared" si="0"/>
        <v/>
      </c>
      <c r="AA54" s="53" t="str">
        <f t="shared" si="5"/>
        <v/>
      </c>
    </row>
    <row r="55" spans="2:27" x14ac:dyDescent="0.25">
      <c r="B55" s="21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22"/>
      <c r="V55" s="91" t="str">
        <f t="shared" si="1"/>
        <v/>
      </c>
      <c r="W55" s="17" t="str">
        <f t="shared" si="2"/>
        <v/>
      </c>
      <c r="X55" s="17" t="str">
        <f t="shared" si="3"/>
        <v/>
      </c>
      <c r="Y55" s="17" t="str">
        <f t="shared" si="4"/>
        <v/>
      </c>
      <c r="Z55" s="17" t="str">
        <f t="shared" si="0"/>
        <v/>
      </c>
      <c r="AA55" s="53" t="str">
        <f t="shared" si="5"/>
        <v/>
      </c>
    </row>
    <row r="56" spans="2:27" x14ac:dyDescent="0.25">
      <c r="B56" s="21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22"/>
      <c r="V56" s="91" t="str">
        <f t="shared" si="1"/>
        <v/>
      </c>
      <c r="W56" s="17" t="str">
        <f t="shared" si="2"/>
        <v/>
      </c>
      <c r="X56" s="17" t="str">
        <f t="shared" si="3"/>
        <v/>
      </c>
      <c r="Y56" s="17" t="str">
        <f t="shared" si="4"/>
        <v/>
      </c>
      <c r="Z56" s="17" t="str">
        <f t="shared" si="0"/>
        <v/>
      </c>
      <c r="AA56" s="53" t="str">
        <f t="shared" si="5"/>
        <v/>
      </c>
    </row>
    <row r="57" spans="2:27" x14ac:dyDescent="0.25">
      <c r="B57" s="21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22"/>
      <c r="V57" s="91" t="str">
        <f t="shared" si="1"/>
        <v/>
      </c>
      <c r="W57" s="17" t="str">
        <f t="shared" si="2"/>
        <v/>
      </c>
      <c r="X57" s="17" t="str">
        <f t="shared" si="3"/>
        <v/>
      </c>
      <c r="Y57" s="17" t="str">
        <f t="shared" si="4"/>
        <v/>
      </c>
      <c r="Z57" s="17" t="str">
        <f t="shared" si="0"/>
        <v/>
      </c>
      <c r="AA57" s="53" t="str">
        <f t="shared" si="5"/>
        <v/>
      </c>
    </row>
    <row r="58" spans="2:27" x14ac:dyDescent="0.25">
      <c r="B58" s="21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22"/>
      <c r="V58" s="91" t="str">
        <f t="shared" si="1"/>
        <v/>
      </c>
      <c r="W58" s="17" t="str">
        <f t="shared" si="2"/>
        <v/>
      </c>
      <c r="X58" s="17" t="str">
        <f t="shared" si="3"/>
        <v/>
      </c>
      <c r="Y58" s="17" t="str">
        <f t="shared" si="4"/>
        <v/>
      </c>
      <c r="Z58" s="17" t="str">
        <f t="shared" si="0"/>
        <v/>
      </c>
      <c r="AA58" s="53" t="str">
        <f t="shared" si="5"/>
        <v/>
      </c>
    </row>
    <row r="59" spans="2:27" x14ac:dyDescent="0.25">
      <c r="B59" s="21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22"/>
      <c r="V59" s="91" t="str">
        <f t="shared" si="1"/>
        <v/>
      </c>
      <c r="W59" s="17" t="str">
        <f t="shared" si="2"/>
        <v/>
      </c>
      <c r="X59" s="17" t="str">
        <f t="shared" si="3"/>
        <v/>
      </c>
      <c r="Y59" s="17" t="str">
        <f t="shared" si="4"/>
        <v/>
      </c>
      <c r="Z59" s="17" t="str">
        <f t="shared" si="0"/>
        <v/>
      </c>
      <c r="AA59" s="53" t="str">
        <f t="shared" si="5"/>
        <v/>
      </c>
    </row>
    <row r="60" spans="2:27" x14ac:dyDescent="0.25">
      <c r="B60" s="21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22"/>
      <c r="V60" s="91" t="str">
        <f t="shared" si="1"/>
        <v/>
      </c>
      <c r="W60" s="17" t="str">
        <f t="shared" si="2"/>
        <v/>
      </c>
      <c r="X60" s="17" t="str">
        <f t="shared" si="3"/>
        <v/>
      </c>
      <c r="Y60" s="17" t="str">
        <f t="shared" si="4"/>
        <v/>
      </c>
      <c r="Z60" s="17" t="str">
        <f t="shared" si="0"/>
        <v/>
      </c>
      <c r="AA60" s="53" t="str">
        <f t="shared" si="5"/>
        <v/>
      </c>
    </row>
    <row r="61" spans="2:27" x14ac:dyDescent="0.25">
      <c r="B61" s="21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22"/>
      <c r="V61" s="91" t="str">
        <f t="shared" si="1"/>
        <v/>
      </c>
      <c r="W61" s="17" t="str">
        <f t="shared" si="2"/>
        <v/>
      </c>
      <c r="X61" s="17" t="str">
        <f t="shared" si="3"/>
        <v/>
      </c>
      <c r="Y61" s="17" t="str">
        <f t="shared" si="4"/>
        <v/>
      </c>
      <c r="Z61" s="17" t="str">
        <f t="shared" si="0"/>
        <v/>
      </c>
      <c r="AA61" s="53" t="str">
        <f t="shared" si="5"/>
        <v/>
      </c>
    </row>
    <row r="62" spans="2:27" x14ac:dyDescent="0.25">
      <c r="B62" s="21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22"/>
      <c r="V62" s="91" t="str">
        <f t="shared" si="1"/>
        <v/>
      </c>
      <c r="W62" s="17" t="str">
        <f t="shared" si="2"/>
        <v/>
      </c>
      <c r="X62" s="17" t="str">
        <f t="shared" si="3"/>
        <v/>
      </c>
      <c r="Y62" s="17" t="str">
        <f t="shared" si="4"/>
        <v/>
      </c>
      <c r="Z62" s="17" t="str">
        <f t="shared" si="0"/>
        <v/>
      </c>
      <c r="AA62" s="53" t="str">
        <f t="shared" si="5"/>
        <v/>
      </c>
    </row>
    <row r="63" spans="2:27" x14ac:dyDescent="0.25">
      <c r="B63" s="21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22"/>
      <c r="V63" s="91" t="str">
        <f t="shared" si="1"/>
        <v/>
      </c>
      <c r="W63" s="17" t="str">
        <f t="shared" si="2"/>
        <v/>
      </c>
      <c r="X63" s="17" t="str">
        <f t="shared" si="3"/>
        <v/>
      </c>
      <c r="Y63" s="17" t="str">
        <f t="shared" si="4"/>
        <v/>
      </c>
      <c r="Z63" s="17" t="str">
        <f t="shared" si="0"/>
        <v/>
      </c>
      <c r="AA63" s="53" t="str">
        <f t="shared" si="5"/>
        <v/>
      </c>
    </row>
    <row r="64" spans="2:27" x14ac:dyDescent="0.25">
      <c r="B64" s="21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22"/>
      <c r="V64" s="91" t="str">
        <f t="shared" si="1"/>
        <v/>
      </c>
      <c r="W64" s="17" t="str">
        <f t="shared" si="2"/>
        <v/>
      </c>
      <c r="X64" s="17" t="str">
        <f t="shared" si="3"/>
        <v/>
      </c>
      <c r="Y64" s="17" t="str">
        <f t="shared" si="4"/>
        <v/>
      </c>
      <c r="Z64" s="17" t="str">
        <f t="shared" si="0"/>
        <v/>
      </c>
      <c r="AA64" s="53" t="str">
        <f t="shared" si="5"/>
        <v/>
      </c>
    </row>
    <row r="65" spans="2:27" x14ac:dyDescent="0.25">
      <c r="B65" s="21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22"/>
      <c r="V65" s="91" t="str">
        <f t="shared" si="1"/>
        <v/>
      </c>
      <c r="W65" s="17" t="str">
        <f t="shared" si="2"/>
        <v/>
      </c>
      <c r="X65" s="17" t="str">
        <f t="shared" si="3"/>
        <v/>
      </c>
      <c r="Y65" s="17" t="str">
        <f t="shared" si="4"/>
        <v/>
      </c>
      <c r="Z65" s="17" t="str">
        <f t="shared" si="0"/>
        <v/>
      </c>
      <c r="AA65" s="53" t="str">
        <f t="shared" si="5"/>
        <v/>
      </c>
    </row>
    <row r="66" spans="2:27" x14ac:dyDescent="0.25">
      <c r="B66" s="21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22"/>
      <c r="V66" s="91" t="str">
        <f t="shared" si="1"/>
        <v/>
      </c>
      <c r="W66" s="17" t="str">
        <f t="shared" si="2"/>
        <v/>
      </c>
      <c r="X66" s="17" t="str">
        <f t="shared" si="3"/>
        <v/>
      </c>
      <c r="Y66" s="17" t="str">
        <f t="shared" si="4"/>
        <v/>
      </c>
      <c r="Z66" s="17" t="str">
        <f t="shared" si="0"/>
        <v/>
      </c>
      <c r="AA66" s="53" t="str">
        <f t="shared" si="5"/>
        <v/>
      </c>
    </row>
    <row r="67" spans="2:27" x14ac:dyDescent="0.25">
      <c r="B67" s="21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22"/>
      <c r="V67" s="91" t="str">
        <f t="shared" si="1"/>
        <v/>
      </c>
      <c r="W67" s="17" t="str">
        <f t="shared" si="2"/>
        <v/>
      </c>
      <c r="X67" s="17" t="str">
        <f t="shared" si="3"/>
        <v/>
      </c>
      <c r="Y67" s="17" t="str">
        <f t="shared" si="4"/>
        <v/>
      </c>
      <c r="Z67" s="17" t="str">
        <f t="shared" si="0"/>
        <v/>
      </c>
      <c r="AA67" s="53" t="str">
        <f t="shared" si="5"/>
        <v/>
      </c>
    </row>
    <row r="68" spans="2:27" x14ac:dyDescent="0.25">
      <c r="B68" s="21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22"/>
      <c r="V68" s="91" t="str">
        <f t="shared" si="1"/>
        <v/>
      </c>
      <c r="W68" s="17" t="str">
        <f t="shared" si="2"/>
        <v/>
      </c>
      <c r="X68" s="17" t="str">
        <f t="shared" si="3"/>
        <v/>
      </c>
      <c r="Y68" s="17" t="str">
        <f t="shared" si="4"/>
        <v/>
      </c>
      <c r="Z68" s="17" t="str">
        <f t="shared" ref="Z68:Z100" si="6">IF(B68="","",IF(G68=$C$2,I68,L68))</f>
        <v/>
      </c>
      <c r="AA68" s="53" t="str">
        <f t="shared" si="5"/>
        <v/>
      </c>
    </row>
    <row r="69" spans="2:27" x14ac:dyDescent="0.25">
      <c r="B69" s="21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22"/>
      <c r="V69" s="91" t="str">
        <f t="shared" ref="V69:V100" si="7">IF(E69="","",E69)</f>
        <v/>
      </c>
      <c r="W69" s="17" t="str">
        <f t="shared" ref="W69:W132" si="8">IF(B69="","",B69)</f>
        <v/>
      </c>
      <c r="X69" s="17" t="str">
        <f t="shared" ref="X69:X100" si="9">IF(B69="","",C69)</f>
        <v/>
      </c>
      <c r="Y69" s="17" t="str">
        <f t="shared" ref="Y69:Y100" si="10">IF(B69="","",D69)</f>
        <v/>
      </c>
      <c r="Z69" s="17" t="str">
        <f t="shared" si="6"/>
        <v/>
      </c>
      <c r="AA69" s="53" t="str">
        <f t="shared" ref="AA69:AA100" si="11">IF(B69="","",VLOOKUP(S69,$AC$3:$AD$14,2,FALSE))</f>
        <v/>
      </c>
    </row>
    <row r="70" spans="2:27" x14ac:dyDescent="0.25">
      <c r="B70" s="21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22"/>
      <c r="V70" s="91" t="str">
        <f t="shared" si="7"/>
        <v/>
      </c>
      <c r="W70" s="17" t="str">
        <f t="shared" si="8"/>
        <v/>
      </c>
      <c r="X70" s="17" t="str">
        <f t="shared" si="9"/>
        <v/>
      </c>
      <c r="Y70" s="17" t="str">
        <f t="shared" si="10"/>
        <v/>
      </c>
      <c r="Z70" s="17" t="str">
        <f t="shared" si="6"/>
        <v/>
      </c>
      <c r="AA70" s="53" t="str">
        <f t="shared" si="11"/>
        <v/>
      </c>
    </row>
    <row r="71" spans="2:27" x14ac:dyDescent="0.25">
      <c r="B71" s="21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22"/>
      <c r="V71" s="91" t="str">
        <f t="shared" si="7"/>
        <v/>
      </c>
      <c r="W71" s="17" t="str">
        <f t="shared" si="8"/>
        <v/>
      </c>
      <c r="X71" s="17" t="str">
        <f t="shared" si="9"/>
        <v/>
      </c>
      <c r="Y71" s="17" t="str">
        <f t="shared" si="10"/>
        <v/>
      </c>
      <c r="Z71" s="17" t="str">
        <f t="shared" si="6"/>
        <v/>
      </c>
      <c r="AA71" s="53" t="str">
        <f t="shared" si="11"/>
        <v/>
      </c>
    </row>
    <row r="72" spans="2:27" x14ac:dyDescent="0.25">
      <c r="B72" s="21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22"/>
      <c r="V72" s="91" t="str">
        <f t="shared" si="7"/>
        <v/>
      </c>
      <c r="W72" s="17" t="str">
        <f t="shared" si="8"/>
        <v/>
      </c>
      <c r="X72" s="17" t="str">
        <f t="shared" si="9"/>
        <v/>
      </c>
      <c r="Y72" s="17" t="str">
        <f t="shared" si="10"/>
        <v/>
      </c>
      <c r="Z72" s="17" t="str">
        <f t="shared" si="6"/>
        <v/>
      </c>
      <c r="AA72" s="53" t="str">
        <f t="shared" si="11"/>
        <v/>
      </c>
    </row>
    <row r="73" spans="2:27" x14ac:dyDescent="0.25">
      <c r="B73" s="21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22"/>
      <c r="V73" s="91" t="str">
        <f t="shared" si="7"/>
        <v/>
      </c>
      <c r="W73" s="17" t="str">
        <f t="shared" si="8"/>
        <v/>
      </c>
      <c r="X73" s="17" t="str">
        <f t="shared" si="9"/>
        <v/>
      </c>
      <c r="Y73" s="17" t="str">
        <f t="shared" si="10"/>
        <v/>
      </c>
      <c r="Z73" s="17" t="str">
        <f t="shared" si="6"/>
        <v/>
      </c>
      <c r="AA73" s="53" t="str">
        <f t="shared" si="11"/>
        <v/>
      </c>
    </row>
    <row r="74" spans="2:27" x14ac:dyDescent="0.25">
      <c r="B74" s="21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22"/>
      <c r="V74" s="91" t="str">
        <f t="shared" si="7"/>
        <v/>
      </c>
      <c r="W74" s="17" t="str">
        <f t="shared" si="8"/>
        <v/>
      </c>
      <c r="X74" s="17" t="str">
        <f t="shared" si="9"/>
        <v/>
      </c>
      <c r="Y74" s="17" t="str">
        <f t="shared" si="10"/>
        <v/>
      </c>
      <c r="Z74" s="17" t="str">
        <f t="shared" si="6"/>
        <v/>
      </c>
      <c r="AA74" s="53" t="str">
        <f t="shared" si="11"/>
        <v/>
      </c>
    </row>
    <row r="75" spans="2:27" x14ac:dyDescent="0.25">
      <c r="B75" s="21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22"/>
      <c r="V75" s="91" t="str">
        <f t="shared" si="7"/>
        <v/>
      </c>
      <c r="W75" s="17" t="str">
        <f t="shared" si="8"/>
        <v/>
      </c>
      <c r="X75" s="17" t="str">
        <f t="shared" si="9"/>
        <v/>
      </c>
      <c r="Y75" s="17" t="str">
        <f t="shared" si="10"/>
        <v/>
      </c>
      <c r="Z75" s="17" t="str">
        <f t="shared" si="6"/>
        <v/>
      </c>
      <c r="AA75" s="53" t="str">
        <f t="shared" si="11"/>
        <v/>
      </c>
    </row>
    <row r="76" spans="2:27" x14ac:dyDescent="0.25">
      <c r="B76" s="21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22"/>
      <c r="V76" s="91" t="str">
        <f t="shared" si="7"/>
        <v/>
      </c>
      <c r="W76" s="17" t="str">
        <f t="shared" si="8"/>
        <v/>
      </c>
      <c r="X76" s="17" t="str">
        <f t="shared" si="9"/>
        <v/>
      </c>
      <c r="Y76" s="17" t="str">
        <f t="shared" si="10"/>
        <v/>
      </c>
      <c r="Z76" s="17" t="str">
        <f t="shared" si="6"/>
        <v/>
      </c>
      <c r="AA76" s="53" t="str">
        <f t="shared" si="11"/>
        <v/>
      </c>
    </row>
    <row r="77" spans="2:27" x14ac:dyDescent="0.25">
      <c r="B77" s="21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22"/>
      <c r="V77" s="91" t="str">
        <f t="shared" si="7"/>
        <v/>
      </c>
      <c r="W77" s="17" t="str">
        <f t="shared" si="8"/>
        <v/>
      </c>
      <c r="X77" s="17" t="str">
        <f t="shared" si="9"/>
        <v/>
      </c>
      <c r="Y77" s="17" t="str">
        <f t="shared" si="10"/>
        <v/>
      </c>
      <c r="Z77" s="17" t="str">
        <f t="shared" si="6"/>
        <v/>
      </c>
      <c r="AA77" s="53" t="str">
        <f t="shared" si="11"/>
        <v/>
      </c>
    </row>
    <row r="78" spans="2:27" x14ac:dyDescent="0.25">
      <c r="B78" s="21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22"/>
      <c r="V78" s="91" t="str">
        <f t="shared" si="7"/>
        <v/>
      </c>
      <c r="W78" s="17" t="str">
        <f t="shared" si="8"/>
        <v/>
      </c>
      <c r="X78" s="17" t="str">
        <f t="shared" si="9"/>
        <v/>
      </c>
      <c r="Y78" s="17" t="str">
        <f t="shared" si="10"/>
        <v/>
      </c>
      <c r="Z78" s="17" t="str">
        <f t="shared" si="6"/>
        <v/>
      </c>
      <c r="AA78" s="53" t="str">
        <f t="shared" si="11"/>
        <v/>
      </c>
    </row>
    <row r="79" spans="2:27" x14ac:dyDescent="0.25">
      <c r="B79" s="21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22"/>
      <c r="V79" s="91" t="str">
        <f t="shared" si="7"/>
        <v/>
      </c>
      <c r="W79" s="17" t="str">
        <f t="shared" si="8"/>
        <v/>
      </c>
      <c r="X79" s="17" t="str">
        <f t="shared" si="9"/>
        <v/>
      </c>
      <c r="Y79" s="17" t="str">
        <f t="shared" si="10"/>
        <v/>
      </c>
      <c r="Z79" s="17" t="str">
        <f t="shared" si="6"/>
        <v/>
      </c>
      <c r="AA79" s="53" t="str">
        <f t="shared" si="11"/>
        <v/>
      </c>
    </row>
    <row r="80" spans="2:27" x14ac:dyDescent="0.25">
      <c r="B80" s="21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22"/>
      <c r="V80" s="91" t="str">
        <f t="shared" si="7"/>
        <v/>
      </c>
      <c r="W80" s="17" t="str">
        <f t="shared" si="8"/>
        <v/>
      </c>
      <c r="X80" s="17" t="str">
        <f t="shared" si="9"/>
        <v/>
      </c>
      <c r="Y80" s="17" t="str">
        <f t="shared" si="10"/>
        <v/>
      </c>
      <c r="Z80" s="17" t="str">
        <f t="shared" si="6"/>
        <v/>
      </c>
      <c r="AA80" s="53" t="str">
        <f t="shared" si="11"/>
        <v/>
      </c>
    </row>
    <row r="81" spans="2:27" x14ac:dyDescent="0.25">
      <c r="B81" s="21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22"/>
      <c r="V81" s="91" t="str">
        <f t="shared" si="7"/>
        <v/>
      </c>
      <c r="W81" s="17" t="str">
        <f t="shared" si="8"/>
        <v/>
      </c>
      <c r="X81" s="17" t="str">
        <f t="shared" si="9"/>
        <v/>
      </c>
      <c r="Y81" s="17" t="str">
        <f t="shared" si="10"/>
        <v/>
      </c>
      <c r="Z81" s="17" t="str">
        <f t="shared" si="6"/>
        <v/>
      </c>
      <c r="AA81" s="53" t="str">
        <f t="shared" si="11"/>
        <v/>
      </c>
    </row>
    <row r="82" spans="2:27" x14ac:dyDescent="0.25">
      <c r="B82" s="21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22"/>
      <c r="V82" s="91" t="str">
        <f t="shared" si="7"/>
        <v/>
      </c>
      <c r="W82" s="17" t="str">
        <f t="shared" si="8"/>
        <v/>
      </c>
      <c r="X82" s="17" t="str">
        <f t="shared" si="9"/>
        <v/>
      </c>
      <c r="Y82" s="17" t="str">
        <f t="shared" si="10"/>
        <v/>
      </c>
      <c r="Z82" s="17" t="str">
        <f t="shared" si="6"/>
        <v/>
      </c>
      <c r="AA82" s="53" t="str">
        <f t="shared" si="11"/>
        <v/>
      </c>
    </row>
    <row r="83" spans="2:27" x14ac:dyDescent="0.25">
      <c r="B83" s="21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22"/>
      <c r="V83" s="91" t="str">
        <f t="shared" si="7"/>
        <v/>
      </c>
      <c r="W83" s="17" t="str">
        <f t="shared" si="8"/>
        <v/>
      </c>
      <c r="X83" s="17" t="str">
        <f t="shared" si="9"/>
        <v/>
      </c>
      <c r="Y83" s="17" t="str">
        <f t="shared" si="10"/>
        <v/>
      </c>
      <c r="Z83" s="17" t="str">
        <f t="shared" si="6"/>
        <v/>
      </c>
      <c r="AA83" s="53" t="str">
        <f t="shared" si="11"/>
        <v/>
      </c>
    </row>
    <row r="84" spans="2:27" x14ac:dyDescent="0.25">
      <c r="B84" s="21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22"/>
      <c r="V84" s="91" t="str">
        <f t="shared" si="7"/>
        <v/>
      </c>
      <c r="W84" s="17" t="str">
        <f t="shared" si="8"/>
        <v/>
      </c>
      <c r="X84" s="17" t="str">
        <f t="shared" si="9"/>
        <v/>
      </c>
      <c r="Y84" s="17" t="str">
        <f t="shared" si="10"/>
        <v/>
      </c>
      <c r="Z84" s="17" t="str">
        <f t="shared" si="6"/>
        <v/>
      </c>
      <c r="AA84" s="53" t="str">
        <f t="shared" si="11"/>
        <v/>
      </c>
    </row>
    <row r="85" spans="2:27" x14ac:dyDescent="0.25">
      <c r="B85" s="21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22"/>
      <c r="V85" s="91" t="str">
        <f t="shared" si="7"/>
        <v/>
      </c>
      <c r="W85" s="17" t="str">
        <f t="shared" si="8"/>
        <v/>
      </c>
      <c r="X85" s="17" t="str">
        <f t="shared" si="9"/>
        <v/>
      </c>
      <c r="Y85" s="17" t="str">
        <f t="shared" si="10"/>
        <v/>
      </c>
      <c r="Z85" s="17" t="str">
        <f t="shared" si="6"/>
        <v/>
      </c>
      <c r="AA85" s="53" t="str">
        <f t="shared" si="11"/>
        <v/>
      </c>
    </row>
    <row r="86" spans="2:27" x14ac:dyDescent="0.25">
      <c r="B86" s="21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22"/>
      <c r="V86" s="91" t="str">
        <f t="shared" si="7"/>
        <v/>
      </c>
      <c r="W86" s="17" t="str">
        <f t="shared" si="8"/>
        <v/>
      </c>
      <c r="X86" s="17" t="str">
        <f t="shared" si="9"/>
        <v/>
      </c>
      <c r="Y86" s="17" t="str">
        <f t="shared" si="10"/>
        <v/>
      </c>
      <c r="Z86" s="17" t="str">
        <f t="shared" si="6"/>
        <v/>
      </c>
      <c r="AA86" s="53" t="str">
        <f t="shared" si="11"/>
        <v/>
      </c>
    </row>
    <row r="87" spans="2:27" x14ac:dyDescent="0.25">
      <c r="B87" s="21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22"/>
      <c r="V87" s="91" t="str">
        <f t="shared" si="7"/>
        <v/>
      </c>
      <c r="W87" s="17" t="str">
        <f t="shared" si="8"/>
        <v/>
      </c>
      <c r="X87" s="17" t="str">
        <f t="shared" si="9"/>
        <v/>
      </c>
      <c r="Y87" s="17" t="str">
        <f t="shared" si="10"/>
        <v/>
      </c>
      <c r="Z87" s="17" t="str">
        <f t="shared" si="6"/>
        <v/>
      </c>
      <c r="AA87" s="53" t="str">
        <f t="shared" si="11"/>
        <v/>
      </c>
    </row>
    <row r="88" spans="2:27" x14ac:dyDescent="0.25">
      <c r="B88" s="21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22"/>
      <c r="V88" s="91" t="str">
        <f t="shared" si="7"/>
        <v/>
      </c>
      <c r="W88" s="17" t="str">
        <f t="shared" si="8"/>
        <v/>
      </c>
      <c r="X88" s="17" t="str">
        <f t="shared" si="9"/>
        <v/>
      </c>
      <c r="Y88" s="17" t="str">
        <f t="shared" si="10"/>
        <v/>
      </c>
      <c r="Z88" s="17" t="str">
        <f t="shared" si="6"/>
        <v/>
      </c>
      <c r="AA88" s="53" t="str">
        <f t="shared" si="11"/>
        <v/>
      </c>
    </row>
    <row r="89" spans="2:27" x14ac:dyDescent="0.25">
      <c r="B89" s="21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22"/>
      <c r="V89" s="91" t="str">
        <f t="shared" si="7"/>
        <v/>
      </c>
      <c r="W89" s="17" t="str">
        <f t="shared" si="8"/>
        <v/>
      </c>
      <c r="X89" s="17" t="str">
        <f t="shared" si="9"/>
        <v/>
      </c>
      <c r="Y89" s="17" t="str">
        <f t="shared" si="10"/>
        <v/>
      </c>
      <c r="Z89" s="17" t="str">
        <f t="shared" si="6"/>
        <v/>
      </c>
      <c r="AA89" s="53" t="str">
        <f t="shared" si="11"/>
        <v/>
      </c>
    </row>
    <row r="90" spans="2:27" x14ac:dyDescent="0.25">
      <c r="B90" s="21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22"/>
      <c r="V90" s="91" t="str">
        <f t="shared" si="7"/>
        <v/>
      </c>
      <c r="W90" s="17" t="str">
        <f t="shared" si="8"/>
        <v/>
      </c>
      <c r="X90" s="17" t="str">
        <f t="shared" si="9"/>
        <v/>
      </c>
      <c r="Y90" s="17" t="str">
        <f t="shared" si="10"/>
        <v/>
      </c>
      <c r="Z90" s="17" t="str">
        <f t="shared" si="6"/>
        <v/>
      </c>
      <c r="AA90" s="53" t="str">
        <f t="shared" si="11"/>
        <v/>
      </c>
    </row>
    <row r="91" spans="2:27" x14ac:dyDescent="0.25">
      <c r="B91" s="21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22"/>
      <c r="V91" s="91" t="str">
        <f t="shared" si="7"/>
        <v/>
      </c>
      <c r="W91" s="17" t="str">
        <f t="shared" si="8"/>
        <v/>
      </c>
      <c r="X91" s="17" t="str">
        <f t="shared" si="9"/>
        <v/>
      </c>
      <c r="Y91" s="17" t="str">
        <f t="shared" si="10"/>
        <v/>
      </c>
      <c r="Z91" s="17" t="str">
        <f t="shared" si="6"/>
        <v/>
      </c>
      <c r="AA91" s="53" t="str">
        <f t="shared" si="11"/>
        <v/>
      </c>
    </row>
    <row r="92" spans="2:27" x14ac:dyDescent="0.25">
      <c r="B92" s="21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22"/>
      <c r="V92" s="91" t="str">
        <f t="shared" si="7"/>
        <v/>
      </c>
      <c r="W92" s="17" t="str">
        <f t="shared" si="8"/>
        <v/>
      </c>
      <c r="X92" s="17" t="str">
        <f t="shared" si="9"/>
        <v/>
      </c>
      <c r="Y92" s="17" t="str">
        <f t="shared" si="10"/>
        <v/>
      </c>
      <c r="Z92" s="17" t="str">
        <f t="shared" si="6"/>
        <v/>
      </c>
      <c r="AA92" s="53" t="str">
        <f t="shared" si="11"/>
        <v/>
      </c>
    </row>
    <row r="93" spans="2:27" x14ac:dyDescent="0.25">
      <c r="B93" s="21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22"/>
      <c r="V93" s="91" t="str">
        <f t="shared" si="7"/>
        <v/>
      </c>
      <c r="W93" s="17" t="str">
        <f t="shared" si="8"/>
        <v/>
      </c>
      <c r="X93" s="17" t="str">
        <f t="shared" si="9"/>
        <v/>
      </c>
      <c r="Y93" s="17" t="str">
        <f t="shared" si="10"/>
        <v/>
      </c>
      <c r="Z93" s="17" t="str">
        <f t="shared" si="6"/>
        <v/>
      </c>
      <c r="AA93" s="53" t="str">
        <f t="shared" si="11"/>
        <v/>
      </c>
    </row>
    <row r="94" spans="2:27" x14ac:dyDescent="0.25">
      <c r="B94" s="21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22"/>
      <c r="V94" s="91" t="str">
        <f t="shared" si="7"/>
        <v/>
      </c>
      <c r="W94" s="17" t="str">
        <f t="shared" si="8"/>
        <v/>
      </c>
      <c r="X94" s="17" t="str">
        <f t="shared" si="9"/>
        <v/>
      </c>
      <c r="Y94" s="17" t="str">
        <f t="shared" si="10"/>
        <v/>
      </c>
      <c r="Z94" s="17" t="str">
        <f t="shared" si="6"/>
        <v/>
      </c>
      <c r="AA94" s="53" t="str">
        <f t="shared" si="11"/>
        <v/>
      </c>
    </row>
    <row r="95" spans="2:27" x14ac:dyDescent="0.25">
      <c r="B95" s="21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22"/>
      <c r="V95" s="91" t="str">
        <f t="shared" si="7"/>
        <v/>
      </c>
      <c r="W95" s="17" t="str">
        <f t="shared" si="8"/>
        <v/>
      </c>
      <c r="X95" s="17" t="str">
        <f t="shared" si="9"/>
        <v/>
      </c>
      <c r="Y95" s="17" t="str">
        <f t="shared" si="10"/>
        <v/>
      </c>
      <c r="Z95" s="17" t="str">
        <f t="shared" si="6"/>
        <v/>
      </c>
      <c r="AA95" s="53" t="str">
        <f t="shared" si="11"/>
        <v/>
      </c>
    </row>
    <row r="96" spans="2:27" x14ac:dyDescent="0.25">
      <c r="B96" s="21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22"/>
      <c r="V96" s="91" t="str">
        <f t="shared" si="7"/>
        <v/>
      </c>
      <c r="W96" s="17" t="str">
        <f t="shared" si="8"/>
        <v/>
      </c>
      <c r="X96" s="17" t="str">
        <f t="shared" si="9"/>
        <v/>
      </c>
      <c r="Y96" s="17" t="str">
        <f t="shared" si="10"/>
        <v/>
      </c>
      <c r="Z96" s="17" t="str">
        <f t="shared" si="6"/>
        <v/>
      </c>
      <c r="AA96" s="53" t="str">
        <f t="shared" si="11"/>
        <v/>
      </c>
    </row>
    <row r="97" spans="2:27" x14ac:dyDescent="0.25">
      <c r="B97" s="21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22"/>
      <c r="V97" s="91" t="str">
        <f t="shared" si="7"/>
        <v/>
      </c>
      <c r="W97" s="17" t="str">
        <f t="shared" si="8"/>
        <v/>
      </c>
      <c r="X97" s="17" t="str">
        <f t="shared" si="9"/>
        <v/>
      </c>
      <c r="Y97" s="17" t="str">
        <f t="shared" si="10"/>
        <v/>
      </c>
      <c r="Z97" s="17" t="str">
        <f t="shared" si="6"/>
        <v/>
      </c>
      <c r="AA97" s="53" t="str">
        <f t="shared" si="11"/>
        <v/>
      </c>
    </row>
    <row r="98" spans="2:27" x14ac:dyDescent="0.25">
      <c r="B98" s="21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22"/>
      <c r="V98" s="91" t="str">
        <f t="shared" si="7"/>
        <v/>
      </c>
      <c r="W98" s="17" t="str">
        <f t="shared" si="8"/>
        <v/>
      </c>
      <c r="X98" s="17" t="str">
        <f t="shared" si="9"/>
        <v/>
      </c>
      <c r="Y98" s="17" t="str">
        <f t="shared" si="10"/>
        <v/>
      </c>
      <c r="Z98" s="17" t="str">
        <f t="shared" si="6"/>
        <v/>
      </c>
      <c r="AA98" s="53" t="str">
        <f t="shared" si="11"/>
        <v/>
      </c>
    </row>
    <row r="99" spans="2:27" x14ac:dyDescent="0.25">
      <c r="B99" s="21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22"/>
      <c r="V99" s="91" t="str">
        <f t="shared" si="7"/>
        <v/>
      </c>
      <c r="W99" s="17" t="str">
        <f t="shared" si="8"/>
        <v/>
      </c>
      <c r="X99" s="17" t="str">
        <f t="shared" si="9"/>
        <v/>
      </c>
      <c r="Y99" s="17" t="str">
        <f t="shared" si="10"/>
        <v/>
      </c>
      <c r="Z99" s="17" t="str">
        <f t="shared" si="6"/>
        <v/>
      </c>
      <c r="AA99" s="53" t="str">
        <f t="shared" si="11"/>
        <v/>
      </c>
    </row>
    <row r="100" spans="2:27" ht="15.75" thickBot="1" x14ac:dyDescent="0.3">
      <c r="B100" s="2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3"/>
      <c r="V100" s="92" t="str">
        <f t="shared" si="7"/>
        <v/>
      </c>
      <c r="W100" s="23" t="str">
        <f t="shared" si="8"/>
        <v/>
      </c>
      <c r="X100" s="23" t="str">
        <f t="shared" si="9"/>
        <v/>
      </c>
      <c r="Y100" s="23" t="str">
        <f t="shared" si="10"/>
        <v/>
      </c>
      <c r="Z100" s="23" t="str">
        <f t="shared" si="6"/>
        <v/>
      </c>
      <c r="AA100" s="40" t="str">
        <f t="shared" si="11"/>
        <v/>
      </c>
    </row>
  </sheetData>
  <mergeCells count="3">
    <mergeCell ref="AF15:AH15"/>
    <mergeCell ref="AF30:AH30"/>
    <mergeCell ref="AF45:AH4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5461F-86B0-4CB8-9734-D49907E10425}">
  <dimension ref="B2:AJ100"/>
  <sheetViews>
    <sheetView workbookViewId="0">
      <selection activeCell="C3" sqref="C3"/>
    </sheetView>
  </sheetViews>
  <sheetFormatPr defaultRowHeight="15" x14ac:dyDescent="0.25"/>
  <cols>
    <col min="1" max="1" width="4.28515625" customWidth="1"/>
    <col min="2" max="2" width="14.42578125" bestFit="1" customWidth="1"/>
    <col min="3" max="3" width="27.28515625" bestFit="1" customWidth="1"/>
    <col min="4" max="4" width="15.28515625" bestFit="1" customWidth="1"/>
    <col min="5" max="5" width="6.85546875" bestFit="1" customWidth="1"/>
    <col min="6" max="6" width="11.7109375" bestFit="1" customWidth="1"/>
    <col min="7" max="7" width="14.85546875" bestFit="1" customWidth="1"/>
    <col min="9" max="9" width="7.42578125" bestFit="1" customWidth="1"/>
    <col min="10" max="10" width="14.85546875" bestFit="1" customWidth="1"/>
    <col min="12" max="12" width="7.42578125" bestFit="1" customWidth="1"/>
    <col min="13" max="13" width="14.7109375" bestFit="1" customWidth="1"/>
    <col min="14" max="14" width="9.140625" bestFit="1" customWidth="1"/>
    <col min="15" max="15" width="7.42578125" bestFit="1" customWidth="1"/>
    <col min="16" max="16" width="10.7109375" bestFit="1" customWidth="1"/>
    <col min="17" max="17" width="24.140625" bestFit="1" customWidth="1"/>
    <col min="18" max="18" width="14.28515625" bestFit="1" customWidth="1"/>
    <col min="19" max="19" width="30.28515625" bestFit="1" customWidth="1"/>
    <col min="20" max="20" width="16.140625" customWidth="1"/>
    <col min="21" max="21" width="4.28515625" customWidth="1"/>
    <col min="22" max="22" width="6.85546875" style="1" bestFit="1" customWidth="1"/>
    <col min="23" max="23" width="7" bestFit="1" customWidth="1"/>
    <col min="24" max="24" width="30.42578125" bestFit="1" customWidth="1"/>
    <col min="25" max="25" width="15.28515625" bestFit="1" customWidth="1"/>
    <col min="26" max="26" width="6" bestFit="1" customWidth="1"/>
    <col min="27" max="27" width="7" bestFit="1" customWidth="1"/>
    <col min="28" max="28" width="4.28515625" customWidth="1"/>
    <col min="29" max="29" width="32" bestFit="1" customWidth="1"/>
    <col min="31" max="31" width="4.28515625" customWidth="1"/>
    <col min="32" max="32" width="7" bestFit="1" customWidth="1"/>
    <col min="33" max="33" width="23" bestFit="1" customWidth="1"/>
    <col min="34" max="34" width="15.28515625" bestFit="1" customWidth="1"/>
    <col min="35" max="35" width="6" bestFit="1" customWidth="1"/>
    <col min="36" max="36" width="7" bestFit="1" customWidth="1"/>
  </cols>
  <sheetData>
    <row r="2" spans="2:36" ht="15.75" thickBot="1" x14ac:dyDescent="0.3">
      <c r="B2" t="s">
        <v>52</v>
      </c>
      <c r="C2" t="s">
        <v>74</v>
      </c>
      <c r="H2" s="35"/>
      <c r="K2" s="35"/>
      <c r="AC2" t="s">
        <v>58</v>
      </c>
      <c r="AF2" s="6" t="s">
        <v>8</v>
      </c>
      <c r="AG2" s="6">
        <f>Dashboard!E32</f>
        <v>9</v>
      </c>
    </row>
    <row r="3" spans="2:36" ht="15.75" thickBot="1" x14ac:dyDescent="0.3">
      <c r="B3" s="28" t="s">
        <v>5</v>
      </c>
      <c r="C3" s="29" t="s">
        <v>6</v>
      </c>
      <c r="D3" s="29" t="s">
        <v>7</v>
      </c>
      <c r="E3" s="29" t="s">
        <v>8</v>
      </c>
      <c r="F3" s="29" t="s">
        <v>9</v>
      </c>
      <c r="G3" s="29" t="s">
        <v>10</v>
      </c>
      <c r="H3" s="36" t="s">
        <v>11</v>
      </c>
      <c r="I3" s="29" t="s">
        <v>12</v>
      </c>
      <c r="J3" s="29" t="s">
        <v>13</v>
      </c>
      <c r="K3" s="36" t="s">
        <v>14</v>
      </c>
      <c r="L3" s="29" t="s">
        <v>15</v>
      </c>
      <c r="M3" s="29" t="s">
        <v>68</v>
      </c>
      <c r="N3" s="29" t="s">
        <v>69</v>
      </c>
      <c r="O3" s="29" t="s">
        <v>70</v>
      </c>
      <c r="P3" s="29" t="s">
        <v>76</v>
      </c>
      <c r="Q3" s="29" t="s">
        <v>67</v>
      </c>
      <c r="R3" s="29" t="s">
        <v>66</v>
      </c>
      <c r="S3" s="29" t="s">
        <v>16</v>
      </c>
      <c r="T3" s="30" t="s">
        <v>17</v>
      </c>
      <c r="V3" s="95" t="s">
        <v>8</v>
      </c>
      <c r="W3" s="29" t="s">
        <v>59</v>
      </c>
      <c r="X3" s="29" t="s">
        <v>35</v>
      </c>
      <c r="Y3" s="29" t="s">
        <v>7</v>
      </c>
      <c r="Z3" s="29" t="s">
        <v>60</v>
      </c>
      <c r="AA3" s="30" t="s">
        <v>16</v>
      </c>
      <c r="AC3" s="26" t="s">
        <v>16</v>
      </c>
      <c r="AD3" s="27" t="s">
        <v>61</v>
      </c>
      <c r="AF3" s="26" t="s">
        <v>59</v>
      </c>
      <c r="AG3" s="79" t="s">
        <v>35</v>
      </c>
      <c r="AH3" s="79" t="s">
        <v>7</v>
      </c>
      <c r="AI3" s="79" t="s">
        <v>60</v>
      </c>
      <c r="AJ3" s="27" t="s">
        <v>16</v>
      </c>
    </row>
    <row r="4" spans="2:36" x14ac:dyDescent="0.25">
      <c r="B4" s="18" t="e" cm="1" vm="1">
        <f t="array" ref="B4">_xlfn._xlws.FILTER('Ber. Planning Totaal'!B4:T1000,('Ber. Planning Totaal'!G4:G1000=C2)+('Ber. Planning Totaal'!J4:J1000=C2)+('Ber. Planning Totaal'!M4:M1000=C2))</f>
        <v>#VALUE!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20"/>
      <c r="V4" s="76" t="str">
        <f>IF(E4="","",E4)</f>
        <v/>
      </c>
      <c r="W4" s="19" t="e" vm="2">
        <f>IF(B4="","",B4)</f>
        <v>#VALUE!</v>
      </c>
      <c r="X4" s="19" t="e" vm="2">
        <f>IF(B4="","",C4)</f>
        <v>#VALUE!</v>
      </c>
      <c r="Y4" s="19" t="e" vm="2">
        <f>IF(B4="","",D4)</f>
        <v>#VALUE!</v>
      </c>
      <c r="Z4" s="82" t="e" vm="2">
        <f t="shared" ref="Z4:Z67" si="0">IF(B4="","",IF(G4=$C$2,I4,L4))</f>
        <v>#VALUE!</v>
      </c>
      <c r="AA4" s="52" t="e" vm="2">
        <f>IF(B4="","",VLOOKUP(S4,$AC$3:$AD$14,2,FALSE))</f>
        <v>#VALUE!</v>
      </c>
      <c r="AC4" s="24" t="s">
        <v>29</v>
      </c>
      <c r="AD4" s="25">
        <v>1</v>
      </c>
      <c r="AF4" s="18" t="str" cm="1">
        <f t="array" ref="AF4">_xlfn._xlws.FILTER($W$4:$AA$100,$V$4:$V$100=AG2,"")</f>
        <v/>
      </c>
      <c r="AG4" s="19"/>
      <c r="AH4" s="19"/>
      <c r="AI4" s="82"/>
      <c r="AJ4" s="52"/>
    </row>
    <row r="5" spans="2:36" x14ac:dyDescent="0.25">
      <c r="B5" s="21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22"/>
      <c r="V5" s="91" t="str">
        <f t="shared" ref="V5:V68" si="1">IF(E5="","",E5)</f>
        <v/>
      </c>
      <c r="W5" s="17" t="str">
        <f t="shared" ref="W5:W68" si="2">IF(B5="","",B5)</f>
        <v/>
      </c>
      <c r="X5" s="17" t="str">
        <f t="shared" ref="X5:X68" si="3">IF(B5="","",C5)</f>
        <v/>
      </c>
      <c r="Y5" s="17" t="str">
        <f t="shared" ref="Y5:Y68" si="4">IF(B5="","",D5)</f>
        <v/>
      </c>
      <c r="Z5" s="77" t="str">
        <f t="shared" si="0"/>
        <v/>
      </c>
      <c r="AA5" s="53" t="str">
        <f t="shared" ref="AA5:AA68" si="5">IF(B5="","",VLOOKUP(S5,$AC$3:$AD$14,2,FALSE))</f>
        <v/>
      </c>
      <c r="AC5" s="21" t="s">
        <v>39</v>
      </c>
      <c r="AD5" s="22">
        <v>2</v>
      </c>
      <c r="AF5" s="21"/>
      <c r="AG5" s="17"/>
      <c r="AH5" s="17"/>
      <c r="AI5" s="77"/>
      <c r="AJ5" s="53"/>
    </row>
    <row r="6" spans="2:36" x14ac:dyDescent="0.25">
      <c r="B6" s="21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22"/>
      <c r="V6" s="91" t="str">
        <f t="shared" si="1"/>
        <v/>
      </c>
      <c r="W6" s="17" t="str">
        <f t="shared" si="2"/>
        <v/>
      </c>
      <c r="X6" s="17" t="str">
        <f t="shared" si="3"/>
        <v/>
      </c>
      <c r="Y6" s="17" t="str">
        <f t="shared" si="4"/>
        <v/>
      </c>
      <c r="Z6" s="77" t="str">
        <f t="shared" si="0"/>
        <v/>
      </c>
      <c r="AA6" s="53" t="str">
        <f t="shared" si="5"/>
        <v/>
      </c>
      <c r="AC6" s="21" t="s">
        <v>28</v>
      </c>
      <c r="AD6" s="22">
        <v>3</v>
      </c>
      <c r="AF6" s="21"/>
      <c r="AG6" s="17"/>
      <c r="AH6" s="17"/>
      <c r="AI6" s="77"/>
      <c r="AJ6" s="53"/>
    </row>
    <row r="7" spans="2:36" x14ac:dyDescent="0.25">
      <c r="B7" s="21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22"/>
      <c r="V7" s="91" t="str">
        <f t="shared" si="1"/>
        <v/>
      </c>
      <c r="W7" s="17" t="str">
        <f t="shared" si="2"/>
        <v/>
      </c>
      <c r="X7" s="17" t="str">
        <f t="shared" si="3"/>
        <v/>
      </c>
      <c r="Y7" s="17" t="str">
        <f t="shared" si="4"/>
        <v/>
      </c>
      <c r="Z7" s="77" t="str">
        <f t="shared" si="0"/>
        <v/>
      </c>
      <c r="AA7" s="53" t="str">
        <f t="shared" si="5"/>
        <v/>
      </c>
      <c r="AC7" s="21" t="s">
        <v>26</v>
      </c>
      <c r="AD7" s="22">
        <v>4</v>
      </c>
      <c r="AF7" s="21"/>
      <c r="AG7" s="17"/>
      <c r="AH7" s="17"/>
      <c r="AI7" s="77"/>
      <c r="AJ7" s="53"/>
    </row>
    <row r="8" spans="2:36" x14ac:dyDescent="0.25">
      <c r="B8" s="21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22"/>
      <c r="V8" s="91" t="str">
        <f t="shared" si="1"/>
        <v/>
      </c>
      <c r="W8" s="17" t="str">
        <f t="shared" si="2"/>
        <v/>
      </c>
      <c r="X8" s="17" t="str">
        <f t="shared" si="3"/>
        <v/>
      </c>
      <c r="Y8" s="17" t="str">
        <f t="shared" si="4"/>
        <v/>
      </c>
      <c r="Z8" s="77" t="str">
        <f t="shared" si="0"/>
        <v/>
      </c>
      <c r="AA8" s="53" t="str">
        <f t="shared" si="5"/>
        <v/>
      </c>
      <c r="AC8" s="21" t="s">
        <v>40</v>
      </c>
      <c r="AD8" s="22">
        <v>5</v>
      </c>
      <c r="AF8" s="21"/>
      <c r="AG8" s="17"/>
      <c r="AH8" s="17"/>
      <c r="AI8" s="77"/>
      <c r="AJ8" s="53"/>
    </row>
    <row r="9" spans="2:36" x14ac:dyDescent="0.25">
      <c r="B9" s="21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22"/>
      <c r="V9" s="91" t="str">
        <f t="shared" si="1"/>
        <v/>
      </c>
      <c r="W9" s="17" t="str">
        <f t="shared" si="2"/>
        <v/>
      </c>
      <c r="X9" s="17" t="str">
        <f t="shared" si="3"/>
        <v/>
      </c>
      <c r="Y9" s="17" t="str">
        <f t="shared" si="4"/>
        <v/>
      </c>
      <c r="Z9" s="77" t="str">
        <f t="shared" si="0"/>
        <v/>
      </c>
      <c r="AA9" s="53" t="str">
        <f t="shared" si="5"/>
        <v/>
      </c>
      <c r="AC9" s="21" t="s">
        <v>27</v>
      </c>
      <c r="AD9" s="22">
        <v>6</v>
      </c>
      <c r="AF9" s="21"/>
      <c r="AG9" s="17"/>
      <c r="AH9" s="17"/>
      <c r="AI9" s="77"/>
      <c r="AJ9" s="53"/>
    </row>
    <row r="10" spans="2:36" x14ac:dyDescent="0.25">
      <c r="B10" s="21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22"/>
      <c r="V10" s="91" t="str">
        <f t="shared" si="1"/>
        <v/>
      </c>
      <c r="W10" s="17" t="str">
        <f t="shared" si="2"/>
        <v/>
      </c>
      <c r="X10" s="17" t="str">
        <f t="shared" si="3"/>
        <v/>
      </c>
      <c r="Y10" s="17" t="str">
        <f t="shared" si="4"/>
        <v/>
      </c>
      <c r="Z10" s="77" t="str">
        <f t="shared" si="0"/>
        <v/>
      </c>
      <c r="AA10" s="53" t="str">
        <f t="shared" si="5"/>
        <v/>
      </c>
      <c r="AC10" s="21" t="s">
        <v>32</v>
      </c>
      <c r="AD10" s="22">
        <v>7</v>
      </c>
      <c r="AF10" s="21"/>
      <c r="AG10" s="17"/>
      <c r="AH10" s="17"/>
      <c r="AI10" s="77"/>
      <c r="AJ10" s="53"/>
    </row>
    <row r="11" spans="2:36" x14ac:dyDescent="0.25">
      <c r="B11" s="21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22"/>
      <c r="V11" s="91" t="str">
        <f t="shared" si="1"/>
        <v/>
      </c>
      <c r="W11" s="17" t="str">
        <f t="shared" si="2"/>
        <v/>
      </c>
      <c r="X11" s="17" t="str">
        <f t="shared" si="3"/>
        <v/>
      </c>
      <c r="Y11" s="17" t="str">
        <f t="shared" si="4"/>
        <v/>
      </c>
      <c r="Z11" s="77" t="str">
        <f t="shared" si="0"/>
        <v/>
      </c>
      <c r="AA11" s="53" t="str">
        <f t="shared" si="5"/>
        <v/>
      </c>
      <c r="AC11" s="21" t="s">
        <v>41</v>
      </c>
      <c r="AD11" s="22">
        <v>8</v>
      </c>
      <c r="AF11" s="21"/>
      <c r="AG11" s="17"/>
      <c r="AH11" s="17"/>
      <c r="AI11" s="77"/>
      <c r="AJ11" s="53"/>
    </row>
    <row r="12" spans="2:36" x14ac:dyDescent="0.25">
      <c r="B12" s="21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22"/>
      <c r="V12" s="91" t="str">
        <f t="shared" si="1"/>
        <v/>
      </c>
      <c r="W12" s="17" t="str">
        <f t="shared" si="2"/>
        <v/>
      </c>
      <c r="X12" s="17" t="str">
        <f t="shared" si="3"/>
        <v/>
      </c>
      <c r="Y12" s="17" t="str">
        <f t="shared" si="4"/>
        <v/>
      </c>
      <c r="Z12" s="77" t="str">
        <f t="shared" si="0"/>
        <v/>
      </c>
      <c r="AA12" s="53" t="str">
        <f t="shared" si="5"/>
        <v/>
      </c>
      <c r="AC12" s="21" t="s">
        <v>43</v>
      </c>
      <c r="AD12" s="22">
        <v>9</v>
      </c>
      <c r="AF12" s="21"/>
      <c r="AG12" s="17"/>
      <c r="AH12" s="17"/>
      <c r="AI12" s="77"/>
      <c r="AJ12" s="53"/>
    </row>
    <row r="13" spans="2:36" x14ac:dyDescent="0.25">
      <c r="B13" s="21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22"/>
      <c r="V13" s="91" t="str">
        <f t="shared" si="1"/>
        <v/>
      </c>
      <c r="W13" s="17" t="str">
        <f t="shared" si="2"/>
        <v/>
      </c>
      <c r="X13" s="17" t="str">
        <f t="shared" si="3"/>
        <v/>
      </c>
      <c r="Y13" s="17" t="str">
        <f t="shared" si="4"/>
        <v/>
      </c>
      <c r="Z13" s="77" t="str">
        <f t="shared" si="0"/>
        <v/>
      </c>
      <c r="AA13" s="53" t="str">
        <f t="shared" si="5"/>
        <v/>
      </c>
      <c r="AC13" s="21" t="s">
        <v>19</v>
      </c>
      <c r="AD13" s="22">
        <v>10</v>
      </c>
      <c r="AF13" s="21"/>
      <c r="AG13" s="17"/>
      <c r="AH13" s="17"/>
      <c r="AI13" s="77"/>
      <c r="AJ13" s="53"/>
    </row>
    <row r="14" spans="2:36" ht="15.75" thickBot="1" x14ac:dyDescent="0.3">
      <c r="B14" s="21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22"/>
      <c r="V14" s="91" t="str">
        <f t="shared" si="1"/>
        <v/>
      </c>
      <c r="W14" s="17" t="str">
        <f t="shared" si="2"/>
        <v/>
      </c>
      <c r="X14" s="17" t="str">
        <f t="shared" si="3"/>
        <v/>
      </c>
      <c r="Y14" s="17" t="str">
        <f t="shared" si="4"/>
        <v/>
      </c>
      <c r="Z14" s="77" t="str">
        <f t="shared" si="0"/>
        <v/>
      </c>
      <c r="AA14" s="53" t="str">
        <f t="shared" si="5"/>
        <v/>
      </c>
      <c r="AC14" s="2" t="s">
        <v>49</v>
      </c>
      <c r="AD14" s="96" t="s">
        <v>62</v>
      </c>
      <c r="AF14" s="45"/>
      <c r="AG14" s="75"/>
      <c r="AH14" s="75"/>
      <c r="AI14" s="94"/>
      <c r="AJ14" s="54"/>
    </row>
    <row r="15" spans="2:36" ht="15.75" thickBot="1" x14ac:dyDescent="0.3">
      <c r="B15" s="21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22"/>
      <c r="V15" s="91" t="str">
        <f t="shared" si="1"/>
        <v/>
      </c>
      <c r="W15" s="17" t="str">
        <f t="shared" si="2"/>
        <v/>
      </c>
      <c r="X15" s="17" t="str">
        <f t="shared" si="3"/>
        <v/>
      </c>
      <c r="Y15" s="17" t="str">
        <f t="shared" si="4"/>
        <v/>
      </c>
      <c r="Z15" s="77" t="str">
        <f t="shared" si="0"/>
        <v/>
      </c>
      <c r="AA15" s="53" t="str">
        <f t="shared" si="5"/>
        <v/>
      </c>
      <c r="AF15" s="303" t="s">
        <v>63</v>
      </c>
      <c r="AG15" s="304"/>
      <c r="AH15" s="304"/>
      <c r="AI15" s="93">
        <f>SUM(AI4:AI14)</f>
        <v>0</v>
      </c>
      <c r="AJ15" s="46"/>
    </row>
    <row r="16" spans="2:36" x14ac:dyDescent="0.25">
      <c r="B16" s="21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22"/>
      <c r="V16" s="91" t="str">
        <f t="shared" si="1"/>
        <v/>
      </c>
      <c r="W16" s="17" t="str">
        <f t="shared" si="2"/>
        <v/>
      </c>
      <c r="X16" s="17" t="str">
        <f t="shared" si="3"/>
        <v/>
      </c>
      <c r="Y16" s="17" t="str">
        <f t="shared" si="4"/>
        <v/>
      </c>
      <c r="Z16" s="77" t="str">
        <f t="shared" si="0"/>
        <v/>
      </c>
      <c r="AA16" s="53" t="str">
        <f t="shared" si="5"/>
        <v/>
      </c>
    </row>
    <row r="17" spans="2:36" ht="15.75" thickBot="1" x14ac:dyDescent="0.3">
      <c r="B17" s="21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22"/>
      <c r="V17" s="91" t="str">
        <f t="shared" si="1"/>
        <v/>
      </c>
      <c r="W17" s="17" t="str">
        <f t="shared" si="2"/>
        <v/>
      </c>
      <c r="X17" s="17" t="str">
        <f t="shared" si="3"/>
        <v/>
      </c>
      <c r="Y17" s="17" t="str">
        <f t="shared" si="4"/>
        <v/>
      </c>
      <c r="Z17" s="77" t="str">
        <f t="shared" si="0"/>
        <v/>
      </c>
      <c r="AA17" s="53" t="str">
        <f t="shared" si="5"/>
        <v/>
      </c>
      <c r="AF17" t="s">
        <v>8</v>
      </c>
      <c r="AG17" s="6">
        <f>Dashboard!U32</f>
        <v>10</v>
      </c>
    </row>
    <row r="18" spans="2:36" ht="15.75" thickBot="1" x14ac:dyDescent="0.3">
      <c r="B18" s="21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22"/>
      <c r="V18" s="91" t="str">
        <f t="shared" si="1"/>
        <v/>
      </c>
      <c r="W18" s="17" t="str">
        <f t="shared" si="2"/>
        <v/>
      </c>
      <c r="X18" s="17" t="str">
        <f t="shared" si="3"/>
        <v/>
      </c>
      <c r="Y18" s="17" t="str">
        <f t="shared" si="4"/>
        <v/>
      </c>
      <c r="Z18" s="77" t="str">
        <f t="shared" si="0"/>
        <v/>
      </c>
      <c r="AA18" s="53" t="str">
        <f t="shared" si="5"/>
        <v/>
      </c>
      <c r="AF18" s="26" t="s">
        <v>59</v>
      </c>
      <c r="AG18" s="79" t="s">
        <v>35</v>
      </c>
      <c r="AH18" s="79" t="s">
        <v>7</v>
      </c>
      <c r="AI18" s="79" t="s">
        <v>60</v>
      </c>
      <c r="AJ18" s="27" t="s">
        <v>16</v>
      </c>
    </row>
    <row r="19" spans="2:36" x14ac:dyDescent="0.25">
      <c r="B19" s="21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22"/>
      <c r="V19" s="91" t="str">
        <f t="shared" si="1"/>
        <v/>
      </c>
      <c r="W19" s="17" t="str">
        <f t="shared" si="2"/>
        <v/>
      </c>
      <c r="X19" s="17" t="str">
        <f t="shared" si="3"/>
        <v/>
      </c>
      <c r="Y19" s="17" t="str">
        <f t="shared" si="4"/>
        <v/>
      </c>
      <c r="Z19" s="77" t="str">
        <f t="shared" si="0"/>
        <v/>
      </c>
      <c r="AA19" s="53" t="str">
        <f t="shared" si="5"/>
        <v/>
      </c>
      <c r="AF19" s="18" t="str" cm="1">
        <f t="array" ref="AF19">_xlfn._xlws.FILTER($W$4:$AA$100,$V$4:$V$100=AG17,"")</f>
        <v/>
      </c>
      <c r="AG19" s="19"/>
      <c r="AH19" s="19"/>
      <c r="AI19" s="82"/>
      <c r="AJ19" s="52"/>
    </row>
    <row r="20" spans="2:36" x14ac:dyDescent="0.25">
      <c r="B20" s="21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22"/>
      <c r="V20" s="91" t="str">
        <f t="shared" si="1"/>
        <v/>
      </c>
      <c r="W20" s="17" t="str">
        <f t="shared" si="2"/>
        <v/>
      </c>
      <c r="X20" s="17" t="str">
        <f t="shared" si="3"/>
        <v/>
      </c>
      <c r="Y20" s="17" t="str">
        <f t="shared" si="4"/>
        <v/>
      </c>
      <c r="Z20" s="77" t="str">
        <f t="shared" si="0"/>
        <v/>
      </c>
      <c r="AA20" s="53" t="str">
        <f t="shared" si="5"/>
        <v/>
      </c>
      <c r="AF20" s="21"/>
      <c r="AG20" s="17"/>
      <c r="AH20" s="17"/>
      <c r="AI20" s="77"/>
      <c r="AJ20" s="53"/>
    </row>
    <row r="21" spans="2:36" x14ac:dyDescent="0.25">
      <c r="B21" s="21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22"/>
      <c r="V21" s="91" t="str">
        <f t="shared" si="1"/>
        <v/>
      </c>
      <c r="W21" s="17" t="str">
        <f t="shared" si="2"/>
        <v/>
      </c>
      <c r="X21" s="17" t="str">
        <f t="shared" si="3"/>
        <v/>
      </c>
      <c r="Y21" s="17" t="str">
        <f t="shared" si="4"/>
        <v/>
      </c>
      <c r="Z21" s="77" t="str">
        <f t="shared" si="0"/>
        <v/>
      </c>
      <c r="AA21" s="53" t="str">
        <f t="shared" si="5"/>
        <v/>
      </c>
      <c r="AF21" s="21"/>
      <c r="AG21" s="17"/>
      <c r="AH21" s="17"/>
      <c r="AI21" s="77"/>
      <c r="AJ21" s="53"/>
    </row>
    <row r="22" spans="2:36" x14ac:dyDescent="0.25">
      <c r="B22" s="21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22"/>
      <c r="V22" s="91" t="str">
        <f t="shared" si="1"/>
        <v/>
      </c>
      <c r="W22" s="17" t="str">
        <f t="shared" si="2"/>
        <v/>
      </c>
      <c r="X22" s="17" t="str">
        <f t="shared" si="3"/>
        <v/>
      </c>
      <c r="Y22" s="17" t="str">
        <f t="shared" si="4"/>
        <v/>
      </c>
      <c r="Z22" s="77" t="str">
        <f t="shared" si="0"/>
        <v/>
      </c>
      <c r="AA22" s="53" t="str">
        <f t="shared" si="5"/>
        <v/>
      </c>
      <c r="AF22" s="21"/>
      <c r="AG22" s="17"/>
      <c r="AH22" s="17"/>
      <c r="AI22" s="77"/>
      <c r="AJ22" s="53"/>
    </row>
    <row r="23" spans="2:36" x14ac:dyDescent="0.25">
      <c r="B23" s="21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22"/>
      <c r="V23" s="91" t="str">
        <f t="shared" si="1"/>
        <v/>
      </c>
      <c r="W23" s="17" t="str">
        <f t="shared" si="2"/>
        <v/>
      </c>
      <c r="X23" s="17" t="str">
        <f t="shared" si="3"/>
        <v/>
      </c>
      <c r="Y23" s="17" t="str">
        <f t="shared" si="4"/>
        <v/>
      </c>
      <c r="Z23" s="77" t="str">
        <f t="shared" si="0"/>
        <v/>
      </c>
      <c r="AA23" s="53" t="str">
        <f t="shared" si="5"/>
        <v/>
      </c>
      <c r="AF23" s="21"/>
      <c r="AG23" s="17"/>
      <c r="AH23" s="17"/>
      <c r="AI23" s="77"/>
      <c r="AJ23" s="53"/>
    </row>
    <row r="24" spans="2:36" x14ac:dyDescent="0.25">
      <c r="B24" s="21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22"/>
      <c r="V24" s="91" t="str">
        <f t="shared" si="1"/>
        <v/>
      </c>
      <c r="W24" s="17" t="str">
        <f t="shared" si="2"/>
        <v/>
      </c>
      <c r="X24" s="17" t="str">
        <f t="shared" si="3"/>
        <v/>
      </c>
      <c r="Y24" s="17" t="str">
        <f t="shared" si="4"/>
        <v/>
      </c>
      <c r="Z24" s="77" t="str">
        <f t="shared" si="0"/>
        <v/>
      </c>
      <c r="AA24" s="53" t="str">
        <f t="shared" si="5"/>
        <v/>
      </c>
      <c r="AF24" s="21"/>
      <c r="AG24" s="17"/>
      <c r="AH24" s="17"/>
      <c r="AI24" s="77"/>
      <c r="AJ24" s="53"/>
    </row>
    <row r="25" spans="2:36" x14ac:dyDescent="0.25">
      <c r="B25" s="21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22"/>
      <c r="V25" s="91" t="str">
        <f t="shared" si="1"/>
        <v/>
      </c>
      <c r="W25" s="17" t="str">
        <f t="shared" si="2"/>
        <v/>
      </c>
      <c r="X25" s="17" t="str">
        <f t="shared" si="3"/>
        <v/>
      </c>
      <c r="Y25" s="17" t="str">
        <f t="shared" si="4"/>
        <v/>
      </c>
      <c r="Z25" s="77" t="str">
        <f t="shared" si="0"/>
        <v/>
      </c>
      <c r="AA25" s="53" t="str">
        <f t="shared" si="5"/>
        <v/>
      </c>
      <c r="AF25" s="21"/>
      <c r="AG25" s="17"/>
      <c r="AH25" s="17"/>
      <c r="AI25" s="77"/>
      <c r="AJ25" s="53"/>
    </row>
    <row r="26" spans="2:36" x14ac:dyDescent="0.25">
      <c r="B26" s="21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22"/>
      <c r="V26" s="91" t="str">
        <f t="shared" si="1"/>
        <v/>
      </c>
      <c r="W26" s="17" t="str">
        <f t="shared" si="2"/>
        <v/>
      </c>
      <c r="X26" s="17" t="str">
        <f t="shared" si="3"/>
        <v/>
      </c>
      <c r="Y26" s="17" t="str">
        <f t="shared" si="4"/>
        <v/>
      </c>
      <c r="Z26" s="77" t="str">
        <f t="shared" si="0"/>
        <v/>
      </c>
      <c r="AA26" s="53" t="str">
        <f t="shared" si="5"/>
        <v/>
      </c>
      <c r="AF26" s="21"/>
      <c r="AG26" s="17"/>
      <c r="AH26" s="17"/>
      <c r="AI26" s="77"/>
      <c r="AJ26" s="53"/>
    </row>
    <row r="27" spans="2:36" x14ac:dyDescent="0.25">
      <c r="B27" s="21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22"/>
      <c r="V27" s="91" t="str">
        <f t="shared" si="1"/>
        <v/>
      </c>
      <c r="W27" s="17" t="str">
        <f t="shared" si="2"/>
        <v/>
      </c>
      <c r="X27" s="17" t="str">
        <f t="shared" si="3"/>
        <v/>
      </c>
      <c r="Y27" s="17" t="str">
        <f t="shared" si="4"/>
        <v/>
      </c>
      <c r="Z27" s="77" t="str">
        <f t="shared" si="0"/>
        <v/>
      </c>
      <c r="AA27" s="53" t="str">
        <f t="shared" si="5"/>
        <v/>
      </c>
      <c r="AF27" s="21"/>
      <c r="AG27" s="17"/>
      <c r="AH27" s="17"/>
      <c r="AI27" s="77"/>
      <c r="AJ27" s="53"/>
    </row>
    <row r="28" spans="2:36" x14ac:dyDescent="0.25">
      <c r="B28" s="21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22"/>
      <c r="V28" s="91" t="str">
        <f t="shared" si="1"/>
        <v/>
      </c>
      <c r="W28" s="17" t="str">
        <f t="shared" si="2"/>
        <v/>
      </c>
      <c r="X28" s="17" t="str">
        <f t="shared" si="3"/>
        <v/>
      </c>
      <c r="Y28" s="17" t="str">
        <f t="shared" si="4"/>
        <v/>
      </c>
      <c r="Z28" s="77" t="str">
        <f t="shared" si="0"/>
        <v/>
      </c>
      <c r="AA28" s="53" t="str">
        <f t="shared" si="5"/>
        <v/>
      </c>
      <c r="AF28" s="21"/>
      <c r="AG28" s="17"/>
      <c r="AH28" s="17"/>
      <c r="AI28" s="77"/>
      <c r="AJ28" s="53"/>
    </row>
    <row r="29" spans="2:36" ht="15.75" thickBot="1" x14ac:dyDescent="0.3">
      <c r="B29" s="21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22"/>
      <c r="V29" s="91" t="str">
        <f t="shared" si="1"/>
        <v/>
      </c>
      <c r="W29" s="17" t="str">
        <f t="shared" si="2"/>
        <v/>
      </c>
      <c r="X29" s="17" t="str">
        <f t="shared" si="3"/>
        <v/>
      </c>
      <c r="Y29" s="17" t="str">
        <f t="shared" si="4"/>
        <v/>
      </c>
      <c r="Z29" s="77" t="str">
        <f t="shared" si="0"/>
        <v/>
      </c>
      <c r="AA29" s="53" t="str">
        <f t="shared" si="5"/>
        <v/>
      </c>
      <c r="AF29" s="45"/>
      <c r="AG29" s="75"/>
      <c r="AH29" s="75"/>
      <c r="AI29" s="94"/>
      <c r="AJ29" s="54"/>
    </row>
    <row r="30" spans="2:36" ht="15.75" thickBot="1" x14ac:dyDescent="0.3">
      <c r="B30" s="21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22"/>
      <c r="V30" s="91" t="str">
        <f t="shared" si="1"/>
        <v/>
      </c>
      <c r="W30" s="17" t="str">
        <f t="shared" si="2"/>
        <v/>
      </c>
      <c r="X30" s="17" t="str">
        <f t="shared" si="3"/>
        <v/>
      </c>
      <c r="Y30" s="17" t="str">
        <f t="shared" si="4"/>
        <v/>
      </c>
      <c r="Z30" s="77" t="str">
        <f t="shared" si="0"/>
        <v/>
      </c>
      <c r="AA30" s="53" t="str">
        <f t="shared" si="5"/>
        <v/>
      </c>
      <c r="AF30" s="303" t="s">
        <v>63</v>
      </c>
      <c r="AG30" s="304"/>
      <c r="AH30" s="304"/>
      <c r="AI30" s="93">
        <f>SUM(AI19:AI29)</f>
        <v>0</v>
      </c>
      <c r="AJ30" s="46"/>
    </row>
    <row r="31" spans="2:36" x14ac:dyDescent="0.25">
      <c r="B31" s="21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22"/>
      <c r="V31" s="91" t="str">
        <f t="shared" si="1"/>
        <v/>
      </c>
      <c r="W31" s="17" t="str">
        <f t="shared" si="2"/>
        <v/>
      </c>
      <c r="X31" s="17" t="str">
        <f t="shared" si="3"/>
        <v/>
      </c>
      <c r="Y31" s="17" t="str">
        <f t="shared" si="4"/>
        <v/>
      </c>
      <c r="Z31" s="77" t="str">
        <f t="shared" si="0"/>
        <v/>
      </c>
      <c r="AA31" s="53" t="str">
        <f t="shared" si="5"/>
        <v/>
      </c>
    </row>
    <row r="32" spans="2:36" ht="15.75" thickBot="1" x14ac:dyDescent="0.3">
      <c r="B32" s="21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22"/>
      <c r="V32" s="91" t="str">
        <f t="shared" si="1"/>
        <v/>
      </c>
      <c r="W32" s="17" t="str">
        <f t="shared" si="2"/>
        <v/>
      </c>
      <c r="X32" s="17" t="str">
        <f t="shared" si="3"/>
        <v/>
      </c>
      <c r="Y32" s="17" t="str">
        <f t="shared" si="4"/>
        <v/>
      </c>
      <c r="Z32" s="77" t="str">
        <f t="shared" si="0"/>
        <v/>
      </c>
      <c r="AA32" s="53" t="str">
        <f t="shared" si="5"/>
        <v/>
      </c>
      <c r="AF32" t="s">
        <v>8</v>
      </c>
      <c r="AG32" s="6">
        <f>Dashboard!AN32</f>
        <v>11</v>
      </c>
    </row>
    <row r="33" spans="2:36" ht="15.75" thickBot="1" x14ac:dyDescent="0.3">
      <c r="B33" s="21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22"/>
      <c r="V33" s="91" t="str">
        <f t="shared" si="1"/>
        <v/>
      </c>
      <c r="W33" s="17" t="str">
        <f t="shared" si="2"/>
        <v/>
      </c>
      <c r="X33" s="17" t="str">
        <f t="shared" si="3"/>
        <v/>
      </c>
      <c r="Y33" s="17" t="str">
        <f t="shared" si="4"/>
        <v/>
      </c>
      <c r="Z33" s="77" t="str">
        <f t="shared" si="0"/>
        <v/>
      </c>
      <c r="AA33" s="53" t="str">
        <f t="shared" si="5"/>
        <v/>
      </c>
      <c r="AF33" s="26" t="s">
        <v>59</v>
      </c>
      <c r="AG33" s="79" t="s">
        <v>35</v>
      </c>
      <c r="AH33" s="79" t="s">
        <v>7</v>
      </c>
      <c r="AI33" s="79" t="s">
        <v>60</v>
      </c>
      <c r="AJ33" s="27" t="s">
        <v>16</v>
      </c>
    </row>
    <row r="34" spans="2:36" x14ac:dyDescent="0.25">
      <c r="B34" s="21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22"/>
      <c r="V34" s="91" t="str">
        <f t="shared" si="1"/>
        <v/>
      </c>
      <c r="W34" s="17" t="str">
        <f t="shared" si="2"/>
        <v/>
      </c>
      <c r="X34" s="17" t="str">
        <f t="shared" si="3"/>
        <v/>
      </c>
      <c r="Y34" s="17" t="str">
        <f t="shared" si="4"/>
        <v/>
      </c>
      <c r="Z34" s="77" t="str">
        <f t="shared" si="0"/>
        <v/>
      </c>
      <c r="AA34" s="53" t="str">
        <f t="shared" si="5"/>
        <v/>
      </c>
      <c r="AF34" s="18" t="str" cm="1">
        <f t="array" ref="AF34">_xlfn._xlws.FILTER($W$4:$AA$100,$V$4:$V$100=AG32,"")</f>
        <v/>
      </c>
      <c r="AG34" s="19"/>
      <c r="AH34" s="19"/>
      <c r="AI34" s="82"/>
      <c r="AJ34" s="52"/>
    </row>
    <row r="35" spans="2:36" x14ac:dyDescent="0.25">
      <c r="B35" s="21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22"/>
      <c r="V35" s="91" t="str">
        <f t="shared" si="1"/>
        <v/>
      </c>
      <c r="W35" s="17" t="str">
        <f t="shared" si="2"/>
        <v/>
      </c>
      <c r="X35" s="17" t="str">
        <f t="shared" si="3"/>
        <v/>
      </c>
      <c r="Y35" s="17" t="str">
        <f t="shared" si="4"/>
        <v/>
      </c>
      <c r="Z35" s="77" t="str">
        <f t="shared" si="0"/>
        <v/>
      </c>
      <c r="AA35" s="53" t="str">
        <f t="shared" si="5"/>
        <v/>
      </c>
      <c r="AF35" s="21"/>
      <c r="AG35" s="17"/>
      <c r="AH35" s="17"/>
      <c r="AI35" s="77"/>
      <c r="AJ35" s="53"/>
    </row>
    <row r="36" spans="2:36" x14ac:dyDescent="0.25">
      <c r="B36" s="21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22"/>
      <c r="V36" s="91" t="str">
        <f t="shared" si="1"/>
        <v/>
      </c>
      <c r="W36" s="17" t="str">
        <f t="shared" si="2"/>
        <v/>
      </c>
      <c r="X36" s="17" t="str">
        <f t="shared" si="3"/>
        <v/>
      </c>
      <c r="Y36" s="17" t="str">
        <f t="shared" si="4"/>
        <v/>
      </c>
      <c r="Z36" s="77" t="str">
        <f t="shared" si="0"/>
        <v/>
      </c>
      <c r="AA36" s="53" t="str">
        <f t="shared" si="5"/>
        <v/>
      </c>
      <c r="AF36" s="21"/>
      <c r="AG36" s="17"/>
      <c r="AH36" s="17"/>
      <c r="AI36" s="77"/>
      <c r="AJ36" s="53"/>
    </row>
    <row r="37" spans="2:36" x14ac:dyDescent="0.25">
      <c r="B37" s="21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22"/>
      <c r="V37" s="91" t="str">
        <f t="shared" si="1"/>
        <v/>
      </c>
      <c r="W37" s="17" t="str">
        <f t="shared" si="2"/>
        <v/>
      </c>
      <c r="X37" s="17" t="str">
        <f t="shared" si="3"/>
        <v/>
      </c>
      <c r="Y37" s="17" t="str">
        <f t="shared" si="4"/>
        <v/>
      </c>
      <c r="Z37" s="77" t="str">
        <f t="shared" si="0"/>
        <v/>
      </c>
      <c r="AA37" s="53" t="str">
        <f t="shared" si="5"/>
        <v/>
      </c>
      <c r="AF37" s="21"/>
      <c r="AG37" s="17"/>
      <c r="AH37" s="17"/>
      <c r="AI37" s="77"/>
      <c r="AJ37" s="53"/>
    </row>
    <row r="38" spans="2:36" x14ac:dyDescent="0.25">
      <c r="B38" s="21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22"/>
      <c r="V38" s="91" t="str">
        <f t="shared" si="1"/>
        <v/>
      </c>
      <c r="W38" s="17" t="str">
        <f t="shared" si="2"/>
        <v/>
      </c>
      <c r="X38" s="17" t="str">
        <f t="shared" si="3"/>
        <v/>
      </c>
      <c r="Y38" s="17" t="str">
        <f t="shared" si="4"/>
        <v/>
      </c>
      <c r="Z38" s="77" t="str">
        <f t="shared" si="0"/>
        <v/>
      </c>
      <c r="AA38" s="53" t="str">
        <f t="shared" si="5"/>
        <v/>
      </c>
      <c r="AF38" s="21"/>
      <c r="AG38" s="17"/>
      <c r="AH38" s="17"/>
      <c r="AI38" s="77"/>
      <c r="AJ38" s="53"/>
    </row>
    <row r="39" spans="2:36" x14ac:dyDescent="0.25">
      <c r="B39" s="21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22"/>
      <c r="V39" s="91" t="str">
        <f t="shared" si="1"/>
        <v/>
      </c>
      <c r="W39" s="17" t="str">
        <f t="shared" si="2"/>
        <v/>
      </c>
      <c r="X39" s="17" t="str">
        <f t="shared" si="3"/>
        <v/>
      </c>
      <c r="Y39" s="17" t="str">
        <f t="shared" si="4"/>
        <v/>
      </c>
      <c r="Z39" s="17" t="str">
        <f t="shared" si="0"/>
        <v/>
      </c>
      <c r="AA39" s="53" t="str">
        <f t="shared" si="5"/>
        <v/>
      </c>
      <c r="AF39" s="21"/>
      <c r="AG39" s="17"/>
      <c r="AH39" s="17"/>
      <c r="AI39" s="77"/>
      <c r="AJ39" s="53"/>
    </row>
    <row r="40" spans="2:36" x14ac:dyDescent="0.25">
      <c r="B40" s="21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22"/>
      <c r="V40" s="91" t="str">
        <f t="shared" si="1"/>
        <v/>
      </c>
      <c r="W40" s="17" t="str">
        <f t="shared" si="2"/>
        <v/>
      </c>
      <c r="X40" s="17" t="str">
        <f t="shared" si="3"/>
        <v/>
      </c>
      <c r="Y40" s="17" t="str">
        <f t="shared" si="4"/>
        <v/>
      </c>
      <c r="Z40" s="17" t="str">
        <f t="shared" si="0"/>
        <v/>
      </c>
      <c r="AA40" s="53" t="str">
        <f t="shared" si="5"/>
        <v/>
      </c>
      <c r="AF40" s="21"/>
      <c r="AG40" s="17"/>
      <c r="AH40" s="17"/>
      <c r="AI40" s="77"/>
      <c r="AJ40" s="53"/>
    </row>
    <row r="41" spans="2:36" x14ac:dyDescent="0.25">
      <c r="B41" s="21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22"/>
      <c r="V41" s="91" t="str">
        <f t="shared" si="1"/>
        <v/>
      </c>
      <c r="W41" s="17" t="str">
        <f t="shared" si="2"/>
        <v/>
      </c>
      <c r="X41" s="17" t="str">
        <f t="shared" si="3"/>
        <v/>
      </c>
      <c r="Y41" s="17" t="str">
        <f t="shared" si="4"/>
        <v/>
      </c>
      <c r="Z41" s="17" t="str">
        <f t="shared" si="0"/>
        <v/>
      </c>
      <c r="AA41" s="53" t="str">
        <f t="shared" si="5"/>
        <v/>
      </c>
      <c r="AF41" s="21"/>
      <c r="AG41" s="17"/>
      <c r="AH41" s="17"/>
      <c r="AI41" s="77"/>
      <c r="AJ41" s="53"/>
    </row>
    <row r="42" spans="2:36" x14ac:dyDescent="0.25">
      <c r="B42" s="21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22"/>
      <c r="V42" s="91" t="str">
        <f t="shared" si="1"/>
        <v/>
      </c>
      <c r="W42" s="17" t="str">
        <f t="shared" si="2"/>
        <v/>
      </c>
      <c r="X42" s="17" t="str">
        <f t="shared" si="3"/>
        <v/>
      </c>
      <c r="Y42" s="17" t="str">
        <f t="shared" si="4"/>
        <v/>
      </c>
      <c r="Z42" s="17" t="str">
        <f t="shared" si="0"/>
        <v/>
      </c>
      <c r="AA42" s="53" t="str">
        <f t="shared" si="5"/>
        <v/>
      </c>
      <c r="AF42" s="21"/>
      <c r="AG42" s="17"/>
      <c r="AH42" s="17"/>
      <c r="AI42" s="77"/>
      <c r="AJ42" s="53"/>
    </row>
    <row r="43" spans="2:36" x14ac:dyDescent="0.25">
      <c r="B43" s="21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22"/>
      <c r="V43" s="91" t="str">
        <f t="shared" si="1"/>
        <v/>
      </c>
      <c r="W43" s="17" t="str">
        <f t="shared" si="2"/>
        <v/>
      </c>
      <c r="X43" s="17" t="str">
        <f t="shared" si="3"/>
        <v/>
      </c>
      <c r="Y43" s="17" t="str">
        <f t="shared" si="4"/>
        <v/>
      </c>
      <c r="Z43" s="17" t="str">
        <f t="shared" si="0"/>
        <v/>
      </c>
      <c r="AA43" s="53" t="str">
        <f t="shared" si="5"/>
        <v/>
      </c>
      <c r="AF43" s="21"/>
      <c r="AG43" s="17"/>
      <c r="AH43" s="17"/>
      <c r="AI43" s="77"/>
      <c r="AJ43" s="53"/>
    </row>
    <row r="44" spans="2:36" ht="15.75" thickBot="1" x14ac:dyDescent="0.3">
      <c r="B44" s="21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22"/>
      <c r="V44" s="91" t="str">
        <f t="shared" si="1"/>
        <v/>
      </c>
      <c r="W44" s="17" t="str">
        <f t="shared" si="2"/>
        <v/>
      </c>
      <c r="X44" s="17" t="str">
        <f t="shared" si="3"/>
        <v/>
      </c>
      <c r="Y44" s="17" t="str">
        <f t="shared" si="4"/>
        <v/>
      </c>
      <c r="Z44" s="17" t="str">
        <f t="shared" si="0"/>
        <v/>
      </c>
      <c r="AA44" s="53" t="str">
        <f t="shared" si="5"/>
        <v/>
      </c>
      <c r="AF44" s="45"/>
      <c r="AG44" s="75"/>
      <c r="AH44" s="75"/>
      <c r="AI44" s="94"/>
      <c r="AJ44" s="54"/>
    </row>
    <row r="45" spans="2:36" ht="15.75" thickBot="1" x14ac:dyDescent="0.3">
      <c r="B45" s="21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22"/>
      <c r="V45" s="91" t="str">
        <f t="shared" si="1"/>
        <v/>
      </c>
      <c r="W45" s="17" t="str">
        <f t="shared" si="2"/>
        <v/>
      </c>
      <c r="X45" s="17" t="str">
        <f t="shared" si="3"/>
        <v/>
      </c>
      <c r="Y45" s="17" t="str">
        <f t="shared" si="4"/>
        <v/>
      </c>
      <c r="Z45" s="17" t="str">
        <f t="shared" si="0"/>
        <v/>
      </c>
      <c r="AA45" s="53" t="str">
        <f t="shared" si="5"/>
        <v/>
      </c>
      <c r="AF45" s="303" t="s">
        <v>63</v>
      </c>
      <c r="AG45" s="304"/>
      <c r="AH45" s="304"/>
      <c r="AI45" s="93">
        <f>SUM(AI34:AI44)</f>
        <v>0</v>
      </c>
      <c r="AJ45" s="46"/>
    </row>
    <row r="46" spans="2:36" x14ac:dyDescent="0.25">
      <c r="B46" s="21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22"/>
      <c r="V46" s="91" t="str">
        <f t="shared" si="1"/>
        <v/>
      </c>
      <c r="W46" s="17" t="str">
        <f t="shared" si="2"/>
        <v/>
      </c>
      <c r="X46" s="17" t="str">
        <f t="shared" si="3"/>
        <v/>
      </c>
      <c r="Y46" s="17" t="str">
        <f t="shared" si="4"/>
        <v/>
      </c>
      <c r="Z46" s="17" t="str">
        <f t="shared" si="0"/>
        <v/>
      </c>
      <c r="AA46" s="53" t="str">
        <f t="shared" si="5"/>
        <v/>
      </c>
    </row>
    <row r="47" spans="2:36" x14ac:dyDescent="0.25">
      <c r="B47" s="21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22"/>
      <c r="V47" s="91" t="str">
        <f t="shared" si="1"/>
        <v/>
      </c>
      <c r="W47" s="17" t="str">
        <f t="shared" si="2"/>
        <v/>
      </c>
      <c r="X47" s="17" t="str">
        <f t="shared" si="3"/>
        <v/>
      </c>
      <c r="Y47" s="17" t="str">
        <f t="shared" si="4"/>
        <v/>
      </c>
      <c r="Z47" s="17" t="str">
        <f t="shared" si="0"/>
        <v/>
      </c>
      <c r="AA47" s="53" t="str">
        <f t="shared" si="5"/>
        <v/>
      </c>
    </row>
    <row r="48" spans="2:36" x14ac:dyDescent="0.25">
      <c r="B48" s="21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22"/>
      <c r="V48" s="91" t="str">
        <f t="shared" si="1"/>
        <v/>
      </c>
      <c r="W48" s="17" t="str">
        <f t="shared" si="2"/>
        <v/>
      </c>
      <c r="X48" s="17" t="str">
        <f t="shared" si="3"/>
        <v/>
      </c>
      <c r="Y48" s="17" t="str">
        <f t="shared" si="4"/>
        <v/>
      </c>
      <c r="Z48" s="17" t="str">
        <f t="shared" si="0"/>
        <v/>
      </c>
      <c r="AA48" s="53" t="str">
        <f t="shared" si="5"/>
        <v/>
      </c>
    </row>
    <row r="49" spans="2:27" x14ac:dyDescent="0.25">
      <c r="B49" s="21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22"/>
      <c r="V49" s="91" t="str">
        <f t="shared" si="1"/>
        <v/>
      </c>
      <c r="W49" s="17" t="str">
        <f t="shared" si="2"/>
        <v/>
      </c>
      <c r="X49" s="17" t="str">
        <f t="shared" si="3"/>
        <v/>
      </c>
      <c r="Y49" s="17" t="str">
        <f t="shared" si="4"/>
        <v/>
      </c>
      <c r="Z49" s="17" t="str">
        <f t="shared" si="0"/>
        <v/>
      </c>
      <c r="AA49" s="53" t="str">
        <f t="shared" si="5"/>
        <v/>
      </c>
    </row>
    <row r="50" spans="2:27" x14ac:dyDescent="0.25">
      <c r="B50" s="21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22"/>
      <c r="V50" s="91" t="str">
        <f t="shared" si="1"/>
        <v/>
      </c>
      <c r="W50" s="17" t="str">
        <f t="shared" si="2"/>
        <v/>
      </c>
      <c r="X50" s="17" t="str">
        <f t="shared" si="3"/>
        <v/>
      </c>
      <c r="Y50" s="17" t="str">
        <f t="shared" si="4"/>
        <v/>
      </c>
      <c r="Z50" s="17" t="str">
        <f t="shared" si="0"/>
        <v/>
      </c>
      <c r="AA50" s="53" t="str">
        <f t="shared" si="5"/>
        <v/>
      </c>
    </row>
    <row r="51" spans="2:27" x14ac:dyDescent="0.25">
      <c r="B51" s="21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22"/>
      <c r="V51" s="91" t="str">
        <f t="shared" si="1"/>
        <v/>
      </c>
      <c r="W51" s="17" t="str">
        <f t="shared" si="2"/>
        <v/>
      </c>
      <c r="X51" s="17" t="str">
        <f t="shared" si="3"/>
        <v/>
      </c>
      <c r="Y51" s="17" t="str">
        <f t="shared" si="4"/>
        <v/>
      </c>
      <c r="Z51" s="17" t="str">
        <f t="shared" si="0"/>
        <v/>
      </c>
      <c r="AA51" s="53" t="str">
        <f t="shared" si="5"/>
        <v/>
      </c>
    </row>
    <row r="52" spans="2:27" x14ac:dyDescent="0.25">
      <c r="B52" s="21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22"/>
      <c r="V52" s="91" t="str">
        <f t="shared" si="1"/>
        <v/>
      </c>
      <c r="W52" s="17" t="str">
        <f t="shared" si="2"/>
        <v/>
      </c>
      <c r="X52" s="17" t="str">
        <f t="shared" si="3"/>
        <v/>
      </c>
      <c r="Y52" s="17" t="str">
        <f t="shared" si="4"/>
        <v/>
      </c>
      <c r="Z52" s="17" t="str">
        <f t="shared" si="0"/>
        <v/>
      </c>
      <c r="AA52" s="53" t="str">
        <f t="shared" si="5"/>
        <v/>
      </c>
    </row>
    <row r="53" spans="2:27" x14ac:dyDescent="0.25">
      <c r="B53" s="21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22"/>
      <c r="V53" s="91" t="str">
        <f t="shared" si="1"/>
        <v/>
      </c>
      <c r="W53" s="17" t="str">
        <f t="shared" si="2"/>
        <v/>
      </c>
      <c r="X53" s="17" t="str">
        <f t="shared" si="3"/>
        <v/>
      </c>
      <c r="Y53" s="17" t="str">
        <f t="shared" si="4"/>
        <v/>
      </c>
      <c r="Z53" s="17" t="str">
        <f t="shared" si="0"/>
        <v/>
      </c>
      <c r="AA53" s="53" t="str">
        <f t="shared" si="5"/>
        <v/>
      </c>
    </row>
    <row r="54" spans="2:27" x14ac:dyDescent="0.25">
      <c r="B54" s="21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22"/>
      <c r="V54" s="91" t="str">
        <f t="shared" si="1"/>
        <v/>
      </c>
      <c r="W54" s="17" t="str">
        <f t="shared" si="2"/>
        <v/>
      </c>
      <c r="X54" s="17" t="str">
        <f t="shared" si="3"/>
        <v/>
      </c>
      <c r="Y54" s="17" t="str">
        <f t="shared" si="4"/>
        <v/>
      </c>
      <c r="Z54" s="17" t="str">
        <f t="shared" si="0"/>
        <v/>
      </c>
      <c r="AA54" s="53" t="str">
        <f t="shared" si="5"/>
        <v/>
      </c>
    </row>
    <row r="55" spans="2:27" x14ac:dyDescent="0.25">
      <c r="B55" s="21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22"/>
      <c r="V55" s="91" t="str">
        <f t="shared" si="1"/>
        <v/>
      </c>
      <c r="W55" s="17" t="str">
        <f t="shared" si="2"/>
        <v/>
      </c>
      <c r="X55" s="17" t="str">
        <f t="shared" si="3"/>
        <v/>
      </c>
      <c r="Y55" s="17" t="str">
        <f t="shared" si="4"/>
        <v/>
      </c>
      <c r="Z55" s="17" t="str">
        <f t="shared" si="0"/>
        <v/>
      </c>
      <c r="AA55" s="53" t="str">
        <f t="shared" si="5"/>
        <v/>
      </c>
    </row>
    <row r="56" spans="2:27" x14ac:dyDescent="0.25">
      <c r="B56" s="21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22"/>
      <c r="V56" s="91" t="str">
        <f t="shared" si="1"/>
        <v/>
      </c>
      <c r="W56" s="17" t="str">
        <f t="shared" si="2"/>
        <v/>
      </c>
      <c r="X56" s="17" t="str">
        <f t="shared" si="3"/>
        <v/>
      </c>
      <c r="Y56" s="17" t="str">
        <f t="shared" si="4"/>
        <v/>
      </c>
      <c r="Z56" s="17" t="str">
        <f t="shared" si="0"/>
        <v/>
      </c>
      <c r="AA56" s="53" t="str">
        <f t="shared" si="5"/>
        <v/>
      </c>
    </row>
    <row r="57" spans="2:27" x14ac:dyDescent="0.25">
      <c r="B57" s="21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22"/>
      <c r="V57" s="91" t="str">
        <f t="shared" si="1"/>
        <v/>
      </c>
      <c r="W57" s="17" t="str">
        <f t="shared" si="2"/>
        <v/>
      </c>
      <c r="X57" s="17" t="str">
        <f t="shared" si="3"/>
        <v/>
      </c>
      <c r="Y57" s="17" t="str">
        <f t="shared" si="4"/>
        <v/>
      </c>
      <c r="Z57" s="17" t="str">
        <f t="shared" si="0"/>
        <v/>
      </c>
      <c r="AA57" s="53" t="str">
        <f t="shared" si="5"/>
        <v/>
      </c>
    </row>
    <row r="58" spans="2:27" x14ac:dyDescent="0.25">
      <c r="B58" s="21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22"/>
      <c r="V58" s="91" t="str">
        <f t="shared" si="1"/>
        <v/>
      </c>
      <c r="W58" s="17" t="str">
        <f t="shared" si="2"/>
        <v/>
      </c>
      <c r="X58" s="17" t="str">
        <f t="shared" si="3"/>
        <v/>
      </c>
      <c r="Y58" s="17" t="str">
        <f t="shared" si="4"/>
        <v/>
      </c>
      <c r="Z58" s="17" t="str">
        <f t="shared" si="0"/>
        <v/>
      </c>
      <c r="AA58" s="53" t="str">
        <f t="shared" si="5"/>
        <v/>
      </c>
    </row>
    <row r="59" spans="2:27" x14ac:dyDescent="0.25">
      <c r="B59" s="21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22"/>
      <c r="V59" s="91" t="str">
        <f t="shared" si="1"/>
        <v/>
      </c>
      <c r="W59" s="17" t="str">
        <f t="shared" si="2"/>
        <v/>
      </c>
      <c r="X59" s="17" t="str">
        <f t="shared" si="3"/>
        <v/>
      </c>
      <c r="Y59" s="17" t="str">
        <f t="shared" si="4"/>
        <v/>
      </c>
      <c r="Z59" s="17" t="str">
        <f t="shared" si="0"/>
        <v/>
      </c>
      <c r="AA59" s="53" t="str">
        <f t="shared" si="5"/>
        <v/>
      </c>
    </row>
    <row r="60" spans="2:27" x14ac:dyDescent="0.25">
      <c r="B60" s="21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22"/>
      <c r="V60" s="91" t="str">
        <f t="shared" si="1"/>
        <v/>
      </c>
      <c r="W60" s="17" t="str">
        <f t="shared" si="2"/>
        <v/>
      </c>
      <c r="X60" s="17" t="str">
        <f t="shared" si="3"/>
        <v/>
      </c>
      <c r="Y60" s="17" t="str">
        <f t="shared" si="4"/>
        <v/>
      </c>
      <c r="Z60" s="17" t="str">
        <f t="shared" si="0"/>
        <v/>
      </c>
      <c r="AA60" s="53" t="str">
        <f t="shared" si="5"/>
        <v/>
      </c>
    </row>
    <row r="61" spans="2:27" x14ac:dyDescent="0.25">
      <c r="B61" s="21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22"/>
      <c r="V61" s="91" t="str">
        <f t="shared" si="1"/>
        <v/>
      </c>
      <c r="W61" s="17" t="str">
        <f t="shared" si="2"/>
        <v/>
      </c>
      <c r="X61" s="17" t="str">
        <f t="shared" si="3"/>
        <v/>
      </c>
      <c r="Y61" s="17" t="str">
        <f t="shared" si="4"/>
        <v/>
      </c>
      <c r="Z61" s="17" t="str">
        <f t="shared" si="0"/>
        <v/>
      </c>
      <c r="AA61" s="53" t="str">
        <f t="shared" si="5"/>
        <v/>
      </c>
    </row>
    <row r="62" spans="2:27" x14ac:dyDescent="0.25">
      <c r="B62" s="21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22"/>
      <c r="V62" s="91" t="str">
        <f t="shared" si="1"/>
        <v/>
      </c>
      <c r="W62" s="17" t="str">
        <f t="shared" si="2"/>
        <v/>
      </c>
      <c r="X62" s="17" t="str">
        <f t="shared" si="3"/>
        <v/>
      </c>
      <c r="Y62" s="17" t="str">
        <f t="shared" si="4"/>
        <v/>
      </c>
      <c r="Z62" s="17" t="str">
        <f t="shared" si="0"/>
        <v/>
      </c>
      <c r="AA62" s="53" t="str">
        <f t="shared" si="5"/>
        <v/>
      </c>
    </row>
    <row r="63" spans="2:27" x14ac:dyDescent="0.25">
      <c r="B63" s="21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22"/>
      <c r="V63" s="91" t="str">
        <f t="shared" si="1"/>
        <v/>
      </c>
      <c r="W63" s="17" t="str">
        <f t="shared" si="2"/>
        <v/>
      </c>
      <c r="X63" s="17" t="str">
        <f t="shared" si="3"/>
        <v/>
      </c>
      <c r="Y63" s="17" t="str">
        <f t="shared" si="4"/>
        <v/>
      </c>
      <c r="Z63" s="17" t="str">
        <f t="shared" si="0"/>
        <v/>
      </c>
      <c r="AA63" s="53" t="str">
        <f t="shared" si="5"/>
        <v/>
      </c>
    </row>
    <row r="64" spans="2:27" x14ac:dyDescent="0.25">
      <c r="B64" s="21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22"/>
      <c r="V64" s="91" t="str">
        <f t="shared" si="1"/>
        <v/>
      </c>
      <c r="W64" s="17" t="str">
        <f t="shared" si="2"/>
        <v/>
      </c>
      <c r="X64" s="17" t="str">
        <f t="shared" si="3"/>
        <v/>
      </c>
      <c r="Y64" s="17" t="str">
        <f t="shared" si="4"/>
        <v/>
      </c>
      <c r="Z64" s="17" t="str">
        <f t="shared" si="0"/>
        <v/>
      </c>
      <c r="AA64" s="53" t="str">
        <f t="shared" si="5"/>
        <v/>
      </c>
    </row>
    <row r="65" spans="2:27" x14ac:dyDescent="0.25">
      <c r="B65" s="21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22"/>
      <c r="V65" s="91" t="str">
        <f t="shared" si="1"/>
        <v/>
      </c>
      <c r="W65" s="17" t="str">
        <f t="shared" si="2"/>
        <v/>
      </c>
      <c r="X65" s="17" t="str">
        <f t="shared" si="3"/>
        <v/>
      </c>
      <c r="Y65" s="17" t="str">
        <f t="shared" si="4"/>
        <v/>
      </c>
      <c r="Z65" s="17" t="str">
        <f t="shared" si="0"/>
        <v/>
      </c>
      <c r="AA65" s="53" t="str">
        <f t="shared" si="5"/>
        <v/>
      </c>
    </row>
    <row r="66" spans="2:27" x14ac:dyDescent="0.25">
      <c r="B66" s="21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22"/>
      <c r="V66" s="91" t="str">
        <f t="shared" si="1"/>
        <v/>
      </c>
      <c r="W66" s="17" t="str">
        <f t="shared" si="2"/>
        <v/>
      </c>
      <c r="X66" s="17" t="str">
        <f t="shared" si="3"/>
        <v/>
      </c>
      <c r="Y66" s="17" t="str">
        <f t="shared" si="4"/>
        <v/>
      </c>
      <c r="Z66" s="17" t="str">
        <f t="shared" si="0"/>
        <v/>
      </c>
      <c r="AA66" s="53" t="str">
        <f t="shared" si="5"/>
        <v/>
      </c>
    </row>
    <row r="67" spans="2:27" x14ac:dyDescent="0.25">
      <c r="B67" s="21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22"/>
      <c r="V67" s="91" t="str">
        <f t="shared" si="1"/>
        <v/>
      </c>
      <c r="W67" s="17" t="str">
        <f t="shared" si="2"/>
        <v/>
      </c>
      <c r="X67" s="17" t="str">
        <f t="shared" si="3"/>
        <v/>
      </c>
      <c r="Y67" s="17" t="str">
        <f t="shared" si="4"/>
        <v/>
      </c>
      <c r="Z67" s="17" t="str">
        <f t="shared" si="0"/>
        <v/>
      </c>
      <c r="AA67" s="53" t="str">
        <f t="shared" si="5"/>
        <v/>
      </c>
    </row>
    <row r="68" spans="2:27" x14ac:dyDescent="0.25">
      <c r="B68" s="21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22"/>
      <c r="V68" s="91" t="str">
        <f t="shared" si="1"/>
        <v/>
      </c>
      <c r="W68" s="17" t="str">
        <f t="shared" si="2"/>
        <v/>
      </c>
      <c r="X68" s="17" t="str">
        <f t="shared" si="3"/>
        <v/>
      </c>
      <c r="Y68" s="17" t="str">
        <f t="shared" si="4"/>
        <v/>
      </c>
      <c r="Z68" s="17" t="str">
        <f t="shared" ref="Z68:Z100" si="6">IF(B68="","",IF(G68=$C$2,I68,L68))</f>
        <v/>
      </c>
      <c r="AA68" s="53" t="str">
        <f t="shared" si="5"/>
        <v/>
      </c>
    </row>
    <row r="69" spans="2:27" x14ac:dyDescent="0.25">
      <c r="B69" s="21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22"/>
      <c r="V69" s="91" t="str">
        <f t="shared" ref="V69:V100" si="7">IF(E69="","",E69)</f>
        <v/>
      </c>
      <c r="W69" s="17" t="str">
        <f t="shared" ref="W69:W132" si="8">IF(B69="","",B69)</f>
        <v/>
      </c>
      <c r="X69" s="17" t="str">
        <f t="shared" ref="X69:X100" si="9">IF(B69="","",C69)</f>
        <v/>
      </c>
      <c r="Y69" s="17" t="str">
        <f t="shared" ref="Y69:Y100" si="10">IF(B69="","",D69)</f>
        <v/>
      </c>
      <c r="Z69" s="17" t="str">
        <f t="shared" si="6"/>
        <v/>
      </c>
      <c r="AA69" s="53" t="str">
        <f t="shared" ref="AA69:AA100" si="11">IF(B69="","",VLOOKUP(S69,$AC$3:$AD$14,2,FALSE))</f>
        <v/>
      </c>
    </row>
    <row r="70" spans="2:27" x14ac:dyDescent="0.25">
      <c r="B70" s="21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22"/>
      <c r="V70" s="91" t="str">
        <f t="shared" si="7"/>
        <v/>
      </c>
      <c r="W70" s="17" t="str">
        <f t="shared" si="8"/>
        <v/>
      </c>
      <c r="X70" s="17" t="str">
        <f t="shared" si="9"/>
        <v/>
      </c>
      <c r="Y70" s="17" t="str">
        <f t="shared" si="10"/>
        <v/>
      </c>
      <c r="Z70" s="17" t="str">
        <f t="shared" si="6"/>
        <v/>
      </c>
      <c r="AA70" s="53" t="str">
        <f t="shared" si="11"/>
        <v/>
      </c>
    </row>
    <row r="71" spans="2:27" x14ac:dyDescent="0.25">
      <c r="B71" s="21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22"/>
      <c r="V71" s="91" t="str">
        <f t="shared" si="7"/>
        <v/>
      </c>
      <c r="W71" s="17" t="str">
        <f t="shared" si="8"/>
        <v/>
      </c>
      <c r="X71" s="17" t="str">
        <f t="shared" si="9"/>
        <v/>
      </c>
      <c r="Y71" s="17" t="str">
        <f t="shared" si="10"/>
        <v/>
      </c>
      <c r="Z71" s="17" t="str">
        <f t="shared" si="6"/>
        <v/>
      </c>
      <c r="AA71" s="53" t="str">
        <f t="shared" si="11"/>
        <v/>
      </c>
    </row>
    <row r="72" spans="2:27" x14ac:dyDescent="0.25">
      <c r="B72" s="21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22"/>
      <c r="V72" s="91" t="str">
        <f t="shared" si="7"/>
        <v/>
      </c>
      <c r="W72" s="17" t="str">
        <f t="shared" si="8"/>
        <v/>
      </c>
      <c r="X72" s="17" t="str">
        <f t="shared" si="9"/>
        <v/>
      </c>
      <c r="Y72" s="17" t="str">
        <f t="shared" si="10"/>
        <v/>
      </c>
      <c r="Z72" s="17" t="str">
        <f t="shared" si="6"/>
        <v/>
      </c>
      <c r="AA72" s="53" t="str">
        <f t="shared" si="11"/>
        <v/>
      </c>
    </row>
    <row r="73" spans="2:27" x14ac:dyDescent="0.25">
      <c r="B73" s="21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22"/>
      <c r="V73" s="91" t="str">
        <f t="shared" si="7"/>
        <v/>
      </c>
      <c r="W73" s="17" t="str">
        <f t="shared" si="8"/>
        <v/>
      </c>
      <c r="X73" s="17" t="str">
        <f t="shared" si="9"/>
        <v/>
      </c>
      <c r="Y73" s="17" t="str">
        <f t="shared" si="10"/>
        <v/>
      </c>
      <c r="Z73" s="17" t="str">
        <f t="shared" si="6"/>
        <v/>
      </c>
      <c r="AA73" s="53" t="str">
        <f t="shared" si="11"/>
        <v/>
      </c>
    </row>
    <row r="74" spans="2:27" x14ac:dyDescent="0.25">
      <c r="B74" s="21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22"/>
      <c r="V74" s="91" t="str">
        <f t="shared" si="7"/>
        <v/>
      </c>
      <c r="W74" s="17" t="str">
        <f t="shared" si="8"/>
        <v/>
      </c>
      <c r="X74" s="17" t="str">
        <f t="shared" si="9"/>
        <v/>
      </c>
      <c r="Y74" s="17" t="str">
        <f t="shared" si="10"/>
        <v/>
      </c>
      <c r="Z74" s="17" t="str">
        <f t="shared" si="6"/>
        <v/>
      </c>
      <c r="AA74" s="53" t="str">
        <f t="shared" si="11"/>
        <v/>
      </c>
    </row>
    <row r="75" spans="2:27" x14ac:dyDescent="0.25">
      <c r="B75" s="21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22"/>
      <c r="V75" s="91" t="str">
        <f t="shared" si="7"/>
        <v/>
      </c>
      <c r="W75" s="17" t="str">
        <f t="shared" si="8"/>
        <v/>
      </c>
      <c r="X75" s="17" t="str">
        <f t="shared" si="9"/>
        <v/>
      </c>
      <c r="Y75" s="17" t="str">
        <f t="shared" si="10"/>
        <v/>
      </c>
      <c r="Z75" s="17" t="str">
        <f t="shared" si="6"/>
        <v/>
      </c>
      <c r="AA75" s="53" t="str">
        <f t="shared" si="11"/>
        <v/>
      </c>
    </row>
    <row r="76" spans="2:27" x14ac:dyDescent="0.25">
      <c r="B76" s="21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22"/>
      <c r="V76" s="91" t="str">
        <f t="shared" si="7"/>
        <v/>
      </c>
      <c r="W76" s="17" t="str">
        <f t="shared" si="8"/>
        <v/>
      </c>
      <c r="X76" s="17" t="str">
        <f t="shared" si="9"/>
        <v/>
      </c>
      <c r="Y76" s="17" t="str">
        <f t="shared" si="10"/>
        <v/>
      </c>
      <c r="Z76" s="17" t="str">
        <f t="shared" si="6"/>
        <v/>
      </c>
      <c r="AA76" s="53" t="str">
        <f t="shared" si="11"/>
        <v/>
      </c>
    </row>
    <row r="77" spans="2:27" x14ac:dyDescent="0.25">
      <c r="B77" s="21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22"/>
      <c r="V77" s="91" t="str">
        <f t="shared" si="7"/>
        <v/>
      </c>
      <c r="W77" s="17" t="str">
        <f t="shared" si="8"/>
        <v/>
      </c>
      <c r="X77" s="17" t="str">
        <f t="shared" si="9"/>
        <v/>
      </c>
      <c r="Y77" s="17" t="str">
        <f t="shared" si="10"/>
        <v/>
      </c>
      <c r="Z77" s="17" t="str">
        <f t="shared" si="6"/>
        <v/>
      </c>
      <c r="AA77" s="53" t="str">
        <f t="shared" si="11"/>
        <v/>
      </c>
    </row>
    <row r="78" spans="2:27" x14ac:dyDescent="0.25">
      <c r="B78" s="21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22"/>
      <c r="V78" s="91" t="str">
        <f t="shared" si="7"/>
        <v/>
      </c>
      <c r="W78" s="17" t="str">
        <f t="shared" si="8"/>
        <v/>
      </c>
      <c r="X78" s="17" t="str">
        <f t="shared" si="9"/>
        <v/>
      </c>
      <c r="Y78" s="17" t="str">
        <f t="shared" si="10"/>
        <v/>
      </c>
      <c r="Z78" s="17" t="str">
        <f t="shared" si="6"/>
        <v/>
      </c>
      <c r="AA78" s="53" t="str">
        <f t="shared" si="11"/>
        <v/>
      </c>
    </row>
    <row r="79" spans="2:27" x14ac:dyDescent="0.25">
      <c r="B79" s="21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22"/>
      <c r="V79" s="91" t="str">
        <f t="shared" si="7"/>
        <v/>
      </c>
      <c r="W79" s="17" t="str">
        <f t="shared" si="8"/>
        <v/>
      </c>
      <c r="X79" s="17" t="str">
        <f t="shared" si="9"/>
        <v/>
      </c>
      <c r="Y79" s="17" t="str">
        <f t="shared" si="10"/>
        <v/>
      </c>
      <c r="Z79" s="17" t="str">
        <f t="shared" si="6"/>
        <v/>
      </c>
      <c r="AA79" s="53" t="str">
        <f t="shared" si="11"/>
        <v/>
      </c>
    </row>
    <row r="80" spans="2:27" x14ac:dyDescent="0.25">
      <c r="B80" s="21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22"/>
      <c r="V80" s="91" t="str">
        <f t="shared" si="7"/>
        <v/>
      </c>
      <c r="W80" s="17" t="str">
        <f t="shared" si="8"/>
        <v/>
      </c>
      <c r="X80" s="17" t="str">
        <f t="shared" si="9"/>
        <v/>
      </c>
      <c r="Y80" s="17" t="str">
        <f t="shared" si="10"/>
        <v/>
      </c>
      <c r="Z80" s="17" t="str">
        <f t="shared" si="6"/>
        <v/>
      </c>
      <c r="AA80" s="53" t="str">
        <f t="shared" si="11"/>
        <v/>
      </c>
    </row>
    <row r="81" spans="2:27" x14ac:dyDescent="0.25">
      <c r="B81" s="21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22"/>
      <c r="V81" s="91" t="str">
        <f t="shared" si="7"/>
        <v/>
      </c>
      <c r="W81" s="17" t="str">
        <f t="shared" si="8"/>
        <v/>
      </c>
      <c r="X81" s="17" t="str">
        <f t="shared" si="9"/>
        <v/>
      </c>
      <c r="Y81" s="17" t="str">
        <f t="shared" si="10"/>
        <v/>
      </c>
      <c r="Z81" s="17" t="str">
        <f t="shared" si="6"/>
        <v/>
      </c>
      <c r="AA81" s="53" t="str">
        <f t="shared" si="11"/>
        <v/>
      </c>
    </row>
    <row r="82" spans="2:27" x14ac:dyDescent="0.25">
      <c r="B82" s="21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22"/>
      <c r="V82" s="91" t="str">
        <f t="shared" si="7"/>
        <v/>
      </c>
      <c r="W82" s="17" t="str">
        <f t="shared" si="8"/>
        <v/>
      </c>
      <c r="X82" s="17" t="str">
        <f t="shared" si="9"/>
        <v/>
      </c>
      <c r="Y82" s="17" t="str">
        <f t="shared" si="10"/>
        <v/>
      </c>
      <c r="Z82" s="17" t="str">
        <f t="shared" si="6"/>
        <v/>
      </c>
      <c r="AA82" s="53" t="str">
        <f t="shared" si="11"/>
        <v/>
      </c>
    </row>
    <row r="83" spans="2:27" x14ac:dyDescent="0.25">
      <c r="B83" s="21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22"/>
      <c r="V83" s="91" t="str">
        <f t="shared" si="7"/>
        <v/>
      </c>
      <c r="W83" s="17" t="str">
        <f t="shared" si="8"/>
        <v/>
      </c>
      <c r="X83" s="17" t="str">
        <f t="shared" si="9"/>
        <v/>
      </c>
      <c r="Y83" s="17" t="str">
        <f t="shared" si="10"/>
        <v/>
      </c>
      <c r="Z83" s="17" t="str">
        <f t="shared" si="6"/>
        <v/>
      </c>
      <c r="AA83" s="53" t="str">
        <f t="shared" si="11"/>
        <v/>
      </c>
    </row>
    <row r="84" spans="2:27" x14ac:dyDescent="0.25">
      <c r="B84" s="21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22"/>
      <c r="V84" s="91" t="str">
        <f t="shared" si="7"/>
        <v/>
      </c>
      <c r="W84" s="17" t="str">
        <f t="shared" si="8"/>
        <v/>
      </c>
      <c r="X84" s="17" t="str">
        <f t="shared" si="9"/>
        <v/>
      </c>
      <c r="Y84" s="17" t="str">
        <f t="shared" si="10"/>
        <v/>
      </c>
      <c r="Z84" s="17" t="str">
        <f t="shared" si="6"/>
        <v/>
      </c>
      <c r="AA84" s="53" t="str">
        <f t="shared" si="11"/>
        <v/>
      </c>
    </row>
    <row r="85" spans="2:27" x14ac:dyDescent="0.25">
      <c r="B85" s="21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22"/>
      <c r="V85" s="91" t="str">
        <f t="shared" si="7"/>
        <v/>
      </c>
      <c r="W85" s="17" t="str">
        <f t="shared" si="8"/>
        <v/>
      </c>
      <c r="X85" s="17" t="str">
        <f t="shared" si="9"/>
        <v/>
      </c>
      <c r="Y85" s="17" t="str">
        <f t="shared" si="10"/>
        <v/>
      </c>
      <c r="Z85" s="17" t="str">
        <f t="shared" si="6"/>
        <v/>
      </c>
      <c r="AA85" s="53" t="str">
        <f t="shared" si="11"/>
        <v/>
      </c>
    </row>
    <row r="86" spans="2:27" x14ac:dyDescent="0.25">
      <c r="B86" s="21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22"/>
      <c r="V86" s="91" t="str">
        <f t="shared" si="7"/>
        <v/>
      </c>
      <c r="W86" s="17" t="str">
        <f t="shared" si="8"/>
        <v/>
      </c>
      <c r="X86" s="17" t="str">
        <f t="shared" si="9"/>
        <v/>
      </c>
      <c r="Y86" s="17" t="str">
        <f t="shared" si="10"/>
        <v/>
      </c>
      <c r="Z86" s="17" t="str">
        <f t="shared" si="6"/>
        <v/>
      </c>
      <c r="AA86" s="53" t="str">
        <f t="shared" si="11"/>
        <v/>
      </c>
    </row>
    <row r="87" spans="2:27" x14ac:dyDescent="0.25">
      <c r="B87" s="21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22"/>
      <c r="V87" s="91" t="str">
        <f t="shared" si="7"/>
        <v/>
      </c>
      <c r="W87" s="17" t="str">
        <f t="shared" si="8"/>
        <v/>
      </c>
      <c r="X87" s="17" t="str">
        <f t="shared" si="9"/>
        <v/>
      </c>
      <c r="Y87" s="17" t="str">
        <f t="shared" si="10"/>
        <v/>
      </c>
      <c r="Z87" s="17" t="str">
        <f t="shared" si="6"/>
        <v/>
      </c>
      <c r="AA87" s="53" t="str">
        <f t="shared" si="11"/>
        <v/>
      </c>
    </row>
    <row r="88" spans="2:27" x14ac:dyDescent="0.25">
      <c r="B88" s="21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22"/>
      <c r="V88" s="91" t="str">
        <f t="shared" si="7"/>
        <v/>
      </c>
      <c r="W88" s="17" t="str">
        <f t="shared" si="8"/>
        <v/>
      </c>
      <c r="X88" s="17" t="str">
        <f t="shared" si="9"/>
        <v/>
      </c>
      <c r="Y88" s="17" t="str">
        <f t="shared" si="10"/>
        <v/>
      </c>
      <c r="Z88" s="17" t="str">
        <f t="shared" si="6"/>
        <v/>
      </c>
      <c r="AA88" s="53" t="str">
        <f t="shared" si="11"/>
        <v/>
      </c>
    </row>
    <row r="89" spans="2:27" x14ac:dyDescent="0.25">
      <c r="B89" s="21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22"/>
      <c r="V89" s="91" t="str">
        <f t="shared" si="7"/>
        <v/>
      </c>
      <c r="W89" s="17" t="str">
        <f t="shared" si="8"/>
        <v/>
      </c>
      <c r="X89" s="17" t="str">
        <f t="shared" si="9"/>
        <v/>
      </c>
      <c r="Y89" s="17" t="str">
        <f t="shared" si="10"/>
        <v/>
      </c>
      <c r="Z89" s="17" t="str">
        <f t="shared" si="6"/>
        <v/>
      </c>
      <c r="AA89" s="53" t="str">
        <f t="shared" si="11"/>
        <v/>
      </c>
    </row>
    <row r="90" spans="2:27" x14ac:dyDescent="0.25">
      <c r="B90" s="21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22"/>
      <c r="V90" s="91" t="str">
        <f t="shared" si="7"/>
        <v/>
      </c>
      <c r="W90" s="17" t="str">
        <f t="shared" si="8"/>
        <v/>
      </c>
      <c r="X90" s="17" t="str">
        <f t="shared" si="9"/>
        <v/>
      </c>
      <c r="Y90" s="17" t="str">
        <f t="shared" si="10"/>
        <v/>
      </c>
      <c r="Z90" s="17" t="str">
        <f t="shared" si="6"/>
        <v/>
      </c>
      <c r="AA90" s="53" t="str">
        <f t="shared" si="11"/>
        <v/>
      </c>
    </row>
    <row r="91" spans="2:27" x14ac:dyDescent="0.25">
      <c r="B91" s="21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22"/>
      <c r="V91" s="91" t="str">
        <f t="shared" si="7"/>
        <v/>
      </c>
      <c r="W91" s="17" t="str">
        <f t="shared" si="8"/>
        <v/>
      </c>
      <c r="X91" s="17" t="str">
        <f t="shared" si="9"/>
        <v/>
      </c>
      <c r="Y91" s="17" t="str">
        <f t="shared" si="10"/>
        <v/>
      </c>
      <c r="Z91" s="17" t="str">
        <f t="shared" si="6"/>
        <v/>
      </c>
      <c r="AA91" s="53" t="str">
        <f t="shared" si="11"/>
        <v/>
      </c>
    </row>
    <row r="92" spans="2:27" x14ac:dyDescent="0.25">
      <c r="B92" s="21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22"/>
      <c r="V92" s="91" t="str">
        <f t="shared" si="7"/>
        <v/>
      </c>
      <c r="W92" s="17" t="str">
        <f t="shared" si="8"/>
        <v/>
      </c>
      <c r="X92" s="17" t="str">
        <f t="shared" si="9"/>
        <v/>
      </c>
      <c r="Y92" s="17" t="str">
        <f t="shared" si="10"/>
        <v/>
      </c>
      <c r="Z92" s="17" t="str">
        <f t="shared" si="6"/>
        <v/>
      </c>
      <c r="AA92" s="53" t="str">
        <f t="shared" si="11"/>
        <v/>
      </c>
    </row>
    <row r="93" spans="2:27" x14ac:dyDescent="0.25">
      <c r="B93" s="21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22"/>
      <c r="V93" s="91" t="str">
        <f t="shared" si="7"/>
        <v/>
      </c>
      <c r="W93" s="17" t="str">
        <f t="shared" si="8"/>
        <v/>
      </c>
      <c r="X93" s="17" t="str">
        <f t="shared" si="9"/>
        <v/>
      </c>
      <c r="Y93" s="17" t="str">
        <f t="shared" si="10"/>
        <v/>
      </c>
      <c r="Z93" s="17" t="str">
        <f t="shared" si="6"/>
        <v/>
      </c>
      <c r="AA93" s="53" t="str">
        <f t="shared" si="11"/>
        <v/>
      </c>
    </row>
    <row r="94" spans="2:27" x14ac:dyDescent="0.25">
      <c r="B94" s="21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22"/>
      <c r="V94" s="91" t="str">
        <f t="shared" si="7"/>
        <v/>
      </c>
      <c r="W94" s="17" t="str">
        <f t="shared" si="8"/>
        <v/>
      </c>
      <c r="X94" s="17" t="str">
        <f t="shared" si="9"/>
        <v/>
      </c>
      <c r="Y94" s="17" t="str">
        <f t="shared" si="10"/>
        <v/>
      </c>
      <c r="Z94" s="17" t="str">
        <f t="shared" si="6"/>
        <v/>
      </c>
      <c r="AA94" s="53" t="str">
        <f t="shared" si="11"/>
        <v/>
      </c>
    </row>
    <row r="95" spans="2:27" x14ac:dyDescent="0.25">
      <c r="B95" s="21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22"/>
      <c r="V95" s="91" t="str">
        <f t="shared" si="7"/>
        <v/>
      </c>
      <c r="W95" s="17" t="str">
        <f t="shared" si="8"/>
        <v/>
      </c>
      <c r="X95" s="17" t="str">
        <f t="shared" si="9"/>
        <v/>
      </c>
      <c r="Y95" s="17" t="str">
        <f t="shared" si="10"/>
        <v/>
      </c>
      <c r="Z95" s="17" t="str">
        <f t="shared" si="6"/>
        <v/>
      </c>
      <c r="AA95" s="53" t="str">
        <f t="shared" si="11"/>
        <v/>
      </c>
    </row>
    <row r="96" spans="2:27" x14ac:dyDescent="0.25">
      <c r="B96" s="21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22"/>
      <c r="V96" s="91" t="str">
        <f t="shared" si="7"/>
        <v/>
      </c>
      <c r="W96" s="17" t="str">
        <f t="shared" si="8"/>
        <v/>
      </c>
      <c r="X96" s="17" t="str">
        <f t="shared" si="9"/>
        <v/>
      </c>
      <c r="Y96" s="17" t="str">
        <f t="shared" si="10"/>
        <v/>
      </c>
      <c r="Z96" s="17" t="str">
        <f t="shared" si="6"/>
        <v/>
      </c>
      <c r="AA96" s="53" t="str">
        <f t="shared" si="11"/>
        <v/>
      </c>
    </row>
    <row r="97" spans="2:27" x14ac:dyDescent="0.25">
      <c r="B97" s="21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22"/>
      <c r="V97" s="91" t="str">
        <f t="shared" si="7"/>
        <v/>
      </c>
      <c r="W97" s="17" t="str">
        <f t="shared" si="8"/>
        <v/>
      </c>
      <c r="X97" s="17" t="str">
        <f t="shared" si="9"/>
        <v/>
      </c>
      <c r="Y97" s="17" t="str">
        <f t="shared" si="10"/>
        <v/>
      </c>
      <c r="Z97" s="17" t="str">
        <f t="shared" si="6"/>
        <v/>
      </c>
      <c r="AA97" s="53" t="str">
        <f t="shared" si="11"/>
        <v/>
      </c>
    </row>
    <row r="98" spans="2:27" x14ac:dyDescent="0.25">
      <c r="B98" s="21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22"/>
      <c r="V98" s="91" t="str">
        <f t="shared" si="7"/>
        <v/>
      </c>
      <c r="W98" s="17" t="str">
        <f t="shared" si="8"/>
        <v/>
      </c>
      <c r="X98" s="17" t="str">
        <f t="shared" si="9"/>
        <v/>
      </c>
      <c r="Y98" s="17" t="str">
        <f t="shared" si="10"/>
        <v/>
      </c>
      <c r="Z98" s="17" t="str">
        <f t="shared" si="6"/>
        <v/>
      </c>
      <c r="AA98" s="53" t="str">
        <f t="shared" si="11"/>
        <v/>
      </c>
    </row>
    <row r="99" spans="2:27" x14ac:dyDescent="0.25">
      <c r="B99" s="21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22"/>
      <c r="V99" s="91" t="str">
        <f t="shared" si="7"/>
        <v/>
      </c>
      <c r="W99" s="17" t="str">
        <f t="shared" si="8"/>
        <v/>
      </c>
      <c r="X99" s="17" t="str">
        <f t="shared" si="9"/>
        <v/>
      </c>
      <c r="Y99" s="17" t="str">
        <f t="shared" si="10"/>
        <v/>
      </c>
      <c r="Z99" s="17" t="str">
        <f t="shared" si="6"/>
        <v/>
      </c>
      <c r="AA99" s="53" t="str">
        <f t="shared" si="11"/>
        <v/>
      </c>
    </row>
    <row r="100" spans="2:27" ht="15.75" thickBot="1" x14ac:dyDescent="0.3">
      <c r="B100" s="2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3"/>
      <c r="V100" s="92" t="str">
        <f t="shared" si="7"/>
        <v/>
      </c>
      <c r="W100" s="23" t="str">
        <f t="shared" si="8"/>
        <v/>
      </c>
      <c r="X100" s="23" t="str">
        <f t="shared" si="9"/>
        <v/>
      </c>
      <c r="Y100" s="23" t="str">
        <f t="shared" si="10"/>
        <v/>
      </c>
      <c r="Z100" s="23" t="str">
        <f t="shared" si="6"/>
        <v/>
      </c>
      <c r="AA100" s="40" t="str">
        <f t="shared" si="11"/>
        <v/>
      </c>
    </row>
  </sheetData>
  <mergeCells count="3">
    <mergeCell ref="AF15:AH15"/>
    <mergeCell ref="AF30:AH30"/>
    <mergeCell ref="AF45:AH4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D591D-B034-4B9A-8E42-7F14D3AEAE91}">
  <dimension ref="B2:AJ100"/>
  <sheetViews>
    <sheetView workbookViewId="0">
      <selection activeCell="G31" sqref="G31"/>
    </sheetView>
  </sheetViews>
  <sheetFormatPr defaultRowHeight="15" x14ac:dyDescent="0.25"/>
  <cols>
    <col min="1" max="1" width="4.28515625" customWidth="1"/>
    <col min="2" max="2" width="14.42578125" bestFit="1" customWidth="1"/>
    <col min="3" max="3" width="27.28515625" bestFit="1" customWidth="1"/>
    <col min="4" max="4" width="15.28515625" bestFit="1" customWidth="1"/>
    <col min="5" max="5" width="6.85546875" bestFit="1" customWidth="1"/>
    <col min="6" max="6" width="11.7109375" bestFit="1" customWidth="1"/>
    <col min="7" max="7" width="14.85546875" bestFit="1" customWidth="1"/>
    <col min="9" max="9" width="7.42578125" bestFit="1" customWidth="1"/>
    <col min="10" max="10" width="14.85546875" bestFit="1" customWidth="1"/>
    <col min="12" max="12" width="7.42578125" bestFit="1" customWidth="1"/>
    <col min="13" max="13" width="14.7109375" bestFit="1" customWidth="1"/>
    <col min="14" max="14" width="9.140625" bestFit="1" customWidth="1"/>
    <col min="15" max="15" width="7.42578125" bestFit="1" customWidth="1"/>
    <col min="16" max="16" width="10.7109375" bestFit="1" customWidth="1"/>
    <col min="17" max="17" width="24.140625" bestFit="1" customWidth="1"/>
    <col min="18" max="18" width="14.28515625" bestFit="1" customWidth="1"/>
    <col min="19" max="19" width="30.28515625" bestFit="1" customWidth="1"/>
    <col min="20" max="20" width="16.140625" customWidth="1"/>
    <col min="21" max="21" width="4.28515625" customWidth="1"/>
    <col min="22" max="22" width="6.85546875" style="1" bestFit="1" customWidth="1"/>
    <col min="23" max="23" width="7" bestFit="1" customWidth="1"/>
    <col min="24" max="24" width="30.42578125" bestFit="1" customWidth="1"/>
    <col min="25" max="25" width="15.28515625" bestFit="1" customWidth="1"/>
    <col min="26" max="26" width="6" bestFit="1" customWidth="1"/>
    <col min="27" max="27" width="7" bestFit="1" customWidth="1"/>
    <col min="28" max="28" width="4.28515625" customWidth="1"/>
    <col min="29" max="29" width="32" bestFit="1" customWidth="1"/>
    <col min="31" max="31" width="4.28515625" customWidth="1"/>
    <col min="32" max="32" width="7" bestFit="1" customWidth="1"/>
    <col min="33" max="33" width="23" bestFit="1" customWidth="1"/>
    <col min="34" max="34" width="15.28515625" bestFit="1" customWidth="1"/>
    <col min="35" max="35" width="6" bestFit="1" customWidth="1"/>
    <col min="36" max="36" width="7" bestFit="1" customWidth="1"/>
  </cols>
  <sheetData>
    <row r="2" spans="2:36" ht="15.75" thickBot="1" x14ac:dyDescent="0.3">
      <c r="B2" t="s">
        <v>52</v>
      </c>
      <c r="C2" t="s">
        <v>75</v>
      </c>
      <c r="H2" s="35"/>
      <c r="K2" s="35"/>
      <c r="AC2" t="s">
        <v>58</v>
      </c>
      <c r="AF2" s="6" t="s">
        <v>8</v>
      </c>
      <c r="AG2" s="6">
        <f>Dashboard!E32</f>
        <v>9</v>
      </c>
    </row>
    <row r="3" spans="2:36" ht="15.75" thickBot="1" x14ac:dyDescent="0.3">
      <c r="B3" s="28" t="s">
        <v>5</v>
      </c>
      <c r="C3" s="29" t="s">
        <v>6</v>
      </c>
      <c r="D3" s="29" t="s">
        <v>7</v>
      </c>
      <c r="E3" s="29" t="s">
        <v>8</v>
      </c>
      <c r="F3" s="29" t="s">
        <v>9</v>
      </c>
      <c r="G3" s="29" t="s">
        <v>10</v>
      </c>
      <c r="H3" s="36" t="s">
        <v>11</v>
      </c>
      <c r="I3" s="29" t="s">
        <v>12</v>
      </c>
      <c r="J3" s="29" t="s">
        <v>13</v>
      </c>
      <c r="K3" s="36" t="s">
        <v>14</v>
      </c>
      <c r="L3" s="29" t="s">
        <v>15</v>
      </c>
      <c r="M3" s="29" t="s">
        <v>68</v>
      </c>
      <c r="N3" s="29" t="s">
        <v>69</v>
      </c>
      <c r="O3" s="29" t="s">
        <v>70</v>
      </c>
      <c r="P3" s="29" t="s">
        <v>76</v>
      </c>
      <c r="Q3" s="29" t="s">
        <v>67</v>
      </c>
      <c r="R3" s="29" t="s">
        <v>66</v>
      </c>
      <c r="S3" s="29" t="s">
        <v>16</v>
      </c>
      <c r="T3" s="30" t="s">
        <v>17</v>
      </c>
      <c r="V3" s="95" t="s">
        <v>8</v>
      </c>
      <c r="W3" s="29" t="s">
        <v>59</v>
      </c>
      <c r="X3" s="29" t="s">
        <v>35</v>
      </c>
      <c r="Y3" s="29" t="s">
        <v>7</v>
      </c>
      <c r="Z3" s="29" t="s">
        <v>60</v>
      </c>
      <c r="AA3" s="30" t="s">
        <v>16</v>
      </c>
      <c r="AC3" s="26" t="s">
        <v>16</v>
      </c>
      <c r="AD3" s="27" t="s">
        <v>61</v>
      </c>
      <c r="AF3" s="26" t="s">
        <v>59</v>
      </c>
      <c r="AG3" s="79" t="s">
        <v>35</v>
      </c>
      <c r="AH3" s="79" t="s">
        <v>7</v>
      </c>
      <c r="AI3" s="79" t="s">
        <v>60</v>
      </c>
      <c r="AJ3" s="27" t="s">
        <v>16</v>
      </c>
    </row>
    <row r="4" spans="2:36" x14ac:dyDescent="0.25">
      <c r="B4" s="18" t="e" cm="1" vm="1">
        <f t="array" ref="B4">_xlfn._xlws.FILTER('Ber. Planning Totaal'!B4:T1000,('Ber. Planning Totaal'!G4:G1000=C2)+('Ber. Planning Totaal'!J4:J1000=C2)+('Ber. Planning Totaal'!M4:M1000=C2))</f>
        <v>#VALUE!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20"/>
      <c r="V4" s="76" t="str">
        <f>IF(E4="","",E4)</f>
        <v/>
      </c>
      <c r="W4" s="19" t="e" vm="2">
        <f>IF(B4="","",B4)</f>
        <v>#VALUE!</v>
      </c>
      <c r="X4" s="19" t="e" vm="2">
        <f>IF(B4="","",C4)</f>
        <v>#VALUE!</v>
      </c>
      <c r="Y4" s="19" t="e" vm="2">
        <f>IF(B4="","",D4)</f>
        <v>#VALUE!</v>
      </c>
      <c r="Z4" s="82" t="e" vm="2">
        <f t="shared" ref="Z4:Z67" si="0">IF(B4="","",IF(G4=$C$2,I4,L4))</f>
        <v>#VALUE!</v>
      </c>
      <c r="AA4" s="52" t="e" vm="2">
        <f>IF(B4="","",VLOOKUP(S4,$AC$3:$AD$14,2,FALSE))</f>
        <v>#VALUE!</v>
      </c>
      <c r="AC4" s="24" t="s">
        <v>29</v>
      </c>
      <c r="AD4" s="25">
        <v>1</v>
      </c>
      <c r="AF4" s="18" t="str" cm="1">
        <f t="array" ref="AF4">_xlfn._xlws.FILTER($W$4:$AA$100,$V$4:$V$100=AG2,"")</f>
        <v/>
      </c>
      <c r="AG4" s="19"/>
      <c r="AH4" s="19"/>
      <c r="AI4" s="82"/>
      <c r="AJ4" s="52"/>
    </row>
    <row r="5" spans="2:36" x14ac:dyDescent="0.25">
      <c r="B5" s="21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22"/>
      <c r="V5" s="91" t="str">
        <f t="shared" ref="V5:V68" si="1">IF(E5="","",E5)</f>
        <v/>
      </c>
      <c r="W5" s="17" t="str">
        <f t="shared" ref="W5:W68" si="2">IF(B5="","",B5)</f>
        <v/>
      </c>
      <c r="X5" s="17" t="str">
        <f t="shared" ref="X5:X68" si="3">IF(B5="","",C5)</f>
        <v/>
      </c>
      <c r="Y5" s="17" t="str">
        <f t="shared" ref="Y5:Y68" si="4">IF(B5="","",D5)</f>
        <v/>
      </c>
      <c r="Z5" s="77" t="str">
        <f t="shared" si="0"/>
        <v/>
      </c>
      <c r="AA5" s="53" t="str">
        <f t="shared" ref="AA5:AA68" si="5">IF(B5="","",VLOOKUP(S5,$AC$3:$AD$14,2,FALSE))</f>
        <v/>
      </c>
      <c r="AC5" s="21" t="s">
        <v>39</v>
      </c>
      <c r="AD5" s="22">
        <v>2</v>
      </c>
      <c r="AF5" s="21"/>
      <c r="AG5" s="17"/>
      <c r="AH5" s="17"/>
      <c r="AI5" s="77"/>
      <c r="AJ5" s="53"/>
    </row>
    <row r="6" spans="2:36" x14ac:dyDescent="0.25">
      <c r="B6" s="21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22"/>
      <c r="V6" s="91" t="str">
        <f t="shared" si="1"/>
        <v/>
      </c>
      <c r="W6" s="17" t="str">
        <f t="shared" si="2"/>
        <v/>
      </c>
      <c r="X6" s="17" t="str">
        <f t="shared" si="3"/>
        <v/>
      </c>
      <c r="Y6" s="17" t="str">
        <f t="shared" si="4"/>
        <v/>
      </c>
      <c r="Z6" s="77" t="str">
        <f t="shared" si="0"/>
        <v/>
      </c>
      <c r="AA6" s="53" t="str">
        <f t="shared" si="5"/>
        <v/>
      </c>
      <c r="AC6" s="21" t="s">
        <v>28</v>
      </c>
      <c r="AD6" s="22">
        <v>3</v>
      </c>
      <c r="AF6" s="21"/>
      <c r="AG6" s="17"/>
      <c r="AH6" s="17"/>
      <c r="AI6" s="77"/>
      <c r="AJ6" s="53"/>
    </row>
    <row r="7" spans="2:36" x14ac:dyDescent="0.25">
      <c r="B7" s="21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22"/>
      <c r="V7" s="91" t="str">
        <f t="shared" si="1"/>
        <v/>
      </c>
      <c r="W7" s="17" t="str">
        <f t="shared" si="2"/>
        <v/>
      </c>
      <c r="X7" s="17" t="str">
        <f t="shared" si="3"/>
        <v/>
      </c>
      <c r="Y7" s="17" t="str">
        <f t="shared" si="4"/>
        <v/>
      </c>
      <c r="Z7" s="77" t="str">
        <f t="shared" si="0"/>
        <v/>
      </c>
      <c r="AA7" s="53" t="str">
        <f t="shared" si="5"/>
        <v/>
      </c>
      <c r="AC7" s="21" t="s">
        <v>26</v>
      </c>
      <c r="AD7" s="22">
        <v>4</v>
      </c>
      <c r="AF7" s="21"/>
      <c r="AG7" s="17"/>
      <c r="AH7" s="17"/>
      <c r="AI7" s="77"/>
      <c r="AJ7" s="53"/>
    </row>
    <row r="8" spans="2:36" x14ac:dyDescent="0.25">
      <c r="B8" s="21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22"/>
      <c r="V8" s="91" t="str">
        <f t="shared" si="1"/>
        <v/>
      </c>
      <c r="W8" s="17" t="str">
        <f t="shared" si="2"/>
        <v/>
      </c>
      <c r="X8" s="17" t="str">
        <f t="shared" si="3"/>
        <v/>
      </c>
      <c r="Y8" s="17" t="str">
        <f t="shared" si="4"/>
        <v/>
      </c>
      <c r="Z8" s="77" t="str">
        <f t="shared" si="0"/>
        <v/>
      </c>
      <c r="AA8" s="53" t="str">
        <f t="shared" si="5"/>
        <v/>
      </c>
      <c r="AC8" s="21" t="s">
        <v>40</v>
      </c>
      <c r="AD8" s="22">
        <v>5</v>
      </c>
      <c r="AF8" s="21"/>
      <c r="AG8" s="17"/>
      <c r="AH8" s="17"/>
      <c r="AI8" s="77"/>
      <c r="AJ8" s="53"/>
    </row>
    <row r="9" spans="2:36" x14ac:dyDescent="0.25">
      <c r="B9" s="21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22"/>
      <c r="V9" s="91" t="str">
        <f t="shared" si="1"/>
        <v/>
      </c>
      <c r="W9" s="17" t="str">
        <f t="shared" si="2"/>
        <v/>
      </c>
      <c r="X9" s="17" t="str">
        <f t="shared" si="3"/>
        <v/>
      </c>
      <c r="Y9" s="17" t="str">
        <f t="shared" si="4"/>
        <v/>
      </c>
      <c r="Z9" s="77" t="str">
        <f t="shared" si="0"/>
        <v/>
      </c>
      <c r="AA9" s="53" t="str">
        <f t="shared" si="5"/>
        <v/>
      </c>
      <c r="AC9" s="21" t="s">
        <v>27</v>
      </c>
      <c r="AD9" s="22">
        <v>6</v>
      </c>
      <c r="AF9" s="21"/>
      <c r="AG9" s="17"/>
      <c r="AH9" s="17"/>
      <c r="AI9" s="77"/>
      <c r="AJ9" s="53"/>
    </row>
    <row r="10" spans="2:36" x14ac:dyDescent="0.25">
      <c r="B10" s="21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22"/>
      <c r="V10" s="91" t="str">
        <f t="shared" si="1"/>
        <v/>
      </c>
      <c r="W10" s="17" t="str">
        <f t="shared" si="2"/>
        <v/>
      </c>
      <c r="X10" s="17" t="str">
        <f t="shared" si="3"/>
        <v/>
      </c>
      <c r="Y10" s="17" t="str">
        <f t="shared" si="4"/>
        <v/>
      </c>
      <c r="Z10" s="77" t="str">
        <f t="shared" si="0"/>
        <v/>
      </c>
      <c r="AA10" s="53" t="str">
        <f t="shared" si="5"/>
        <v/>
      </c>
      <c r="AC10" s="21" t="s">
        <v>32</v>
      </c>
      <c r="AD10" s="22">
        <v>7</v>
      </c>
      <c r="AF10" s="21"/>
      <c r="AG10" s="17"/>
      <c r="AH10" s="17"/>
      <c r="AI10" s="77"/>
      <c r="AJ10" s="53"/>
    </row>
    <row r="11" spans="2:36" x14ac:dyDescent="0.25">
      <c r="B11" s="21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22"/>
      <c r="V11" s="91" t="str">
        <f t="shared" si="1"/>
        <v/>
      </c>
      <c r="W11" s="17" t="str">
        <f t="shared" si="2"/>
        <v/>
      </c>
      <c r="X11" s="17" t="str">
        <f t="shared" si="3"/>
        <v/>
      </c>
      <c r="Y11" s="17" t="str">
        <f t="shared" si="4"/>
        <v/>
      </c>
      <c r="Z11" s="77" t="str">
        <f t="shared" si="0"/>
        <v/>
      </c>
      <c r="AA11" s="53" t="str">
        <f t="shared" si="5"/>
        <v/>
      </c>
      <c r="AC11" s="21" t="s">
        <v>41</v>
      </c>
      <c r="AD11" s="22">
        <v>8</v>
      </c>
      <c r="AF11" s="21"/>
      <c r="AG11" s="17"/>
      <c r="AH11" s="17"/>
      <c r="AI11" s="77"/>
      <c r="AJ11" s="53"/>
    </row>
    <row r="12" spans="2:36" x14ac:dyDescent="0.25">
      <c r="B12" s="21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22"/>
      <c r="V12" s="91" t="str">
        <f t="shared" si="1"/>
        <v/>
      </c>
      <c r="W12" s="17" t="str">
        <f t="shared" si="2"/>
        <v/>
      </c>
      <c r="X12" s="17" t="str">
        <f t="shared" si="3"/>
        <v/>
      </c>
      <c r="Y12" s="17" t="str">
        <f t="shared" si="4"/>
        <v/>
      </c>
      <c r="Z12" s="77" t="str">
        <f t="shared" si="0"/>
        <v/>
      </c>
      <c r="AA12" s="53" t="str">
        <f t="shared" si="5"/>
        <v/>
      </c>
      <c r="AC12" s="21" t="s">
        <v>43</v>
      </c>
      <c r="AD12" s="22">
        <v>9</v>
      </c>
      <c r="AF12" s="21"/>
      <c r="AG12" s="17"/>
      <c r="AH12" s="17"/>
      <c r="AI12" s="77"/>
      <c r="AJ12" s="53"/>
    </row>
    <row r="13" spans="2:36" x14ac:dyDescent="0.25">
      <c r="B13" s="21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22"/>
      <c r="V13" s="91" t="str">
        <f t="shared" si="1"/>
        <v/>
      </c>
      <c r="W13" s="17" t="str">
        <f t="shared" si="2"/>
        <v/>
      </c>
      <c r="X13" s="17" t="str">
        <f t="shared" si="3"/>
        <v/>
      </c>
      <c r="Y13" s="17" t="str">
        <f t="shared" si="4"/>
        <v/>
      </c>
      <c r="Z13" s="77" t="str">
        <f t="shared" si="0"/>
        <v/>
      </c>
      <c r="AA13" s="53" t="str">
        <f t="shared" si="5"/>
        <v/>
      </c>
      <c r="AC13" s="21" t="s">
        <v>19</v>
      </c>
      <c r="AD13" s="22">
        <v>10</v>
      </c>
      <c r="AF13" s="21"/>
      <c r="AG13" s="17"/>
      <c r="AH13" s="17"/>
      <c r="AI13" s="77"/>
      <c r="AJ13" s="53"/>
    </row>
    <row r="14" spans="2:36" ht="15.75" thickBot="1" x14ac:dyDescent="0.3">
      <c r="B14" s="21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22"/>
      <c r="V14" s="91" t="str">
        <f t="shared" si="1"/>
        <v/>
      </c>
      <c r="W14" s="17" t="str">
        <f t="shared" si="2"/>
        <v/>
      </c>
      <c r="X14" s="17" t="str">
        <f t="shared" si="3"/>
        <v/>
      </c>
      <c r="Y14" s="17" t="str">
        <f t="shared" si="4"/>
        <v/>
      </c>
      <c r="Z14" s="77" t="str">
        <f t="shared" si="0"/>
        <v/>
      </c>
      <c r="AA14" s="53" t="str">
        <f t="shared" si="5"/>
        <v/>
      </c>
      <c r="AC14" s="2" t="s">
        <v>49</v>
      </c>
      <c r="AD14" s="96" t="s">
        <v>62</v>
      </c>
      <c r="AF14" s="45"/>
      <c r="AG14" s="75"/>
      <c r="AH14" s="75"/>
      <c r="AI14" s="94"/>
      <c r="AJ14" s="54"/>
    </row>
    <row r="15" spans="2:36" ht="15.75" thickBot="1" x14ac:dyDescent="0.3">
      <c r="B15" s="21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22"/>
      <c r="V15" s="91" t="str">
        <f t="shared" si="1"/>
        <v/>
      </c>
      <c r="W15" s="17" t="str">
        <f t="shared" si="2"/>
        <v/>
      </c>
      <c r="X15" s="17" t="str">
        <f t="shared" si="3"/>
        <v/>
      </c>
      <c r="Y15" s="17" t="str">
        <f t="shared" si="4"/>
        <v/>
      </c>
      <c r="Z15" s="77" t="str">
        <f t="shared" si="0"/>
        <v/>
      </c>
      <c r="AA15" s="53" t="str">
        <f t="shared" si="5"/>
        <v/>
      </c>
      <c r="AF15" s="303" t="s">
        <v>63</v>
      </c>
      <c r="AG15" s="304"/>
      <c r="AH15" s="304"/>
      <c r="AI15" s="93">
        <f>SUM(AI4:AI14)</f>
        <v>0</v>
      </c>
      <c r="AJ15" s="46"/>
    </row>
    <row r="16" spans="2:36" x14ac:dyDescent="0.25">
      <c r="B16" s="21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22"/>
      <c r="V16" s="91" t="str">
        <f t="shared" si="1"/>
        <v/>
      </c>
      <c r="W16" s="17" t="str">
        <f t="shared" si="2"/>
        <v/>
      </c>
      <c r="X16" s="17" t="str">
        <f t="shared" si="3"/>
        <v/>
      </c>
      <c r="Y16" s="17" t="str">
        <f t="shared" si="4"/>
        <v/>
      </c>
      <c r="Z16" s="77" t="str">
        <f t="shared" si="0"/>
        <v/>
      </c>
      <c r="AA16" s="53" t="str">
        <f t="shared" si="5"/>
        <v/>
      </c>
    </row>
    <row r="17" spans="2:36" ht="15.75" thickBot="1" x14ac:dyDescent="0.3">
      <c r="B17" s="21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22"/>
      <c r="V17" s="91" t="str">
        <f t="shared" si="1"/>
        <v/>
      </c>
      <c r="W17" s="17" t="str">
        <f t="shared" si="2"/>
        <v/>
      </c>
      <c r="X17" s="17" t="str">
        <f t="shared" si="3"/>
        <v/>
      </c>
      <c r="Y17" s="17" t="str">
        <f t="shared" si="4"/>
        <v/>
      </c>
      <c r="Z17" s="77" t="str">
        <f t="shared" si="0"/>
        <v/>
      </c>
      <c r="AA17" s="53" t="str">
        <f t="shared" si="5"/>
        <v/>
      </c>
      <c r="AF17" t="s">
        <v>8</v>
      </c>
      <c r="AG17" s="6">
        <f>Dashboard!U32</f>
        <v>10</v>
      </c>
    </row>
    <row r="18" spans="2:36" ht="15.75" thickBot="1" x14ac:dyDescent="0.3">
      <c r="B18" s="21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22"/>
      <c r="V18" s="91" t="str">
        <f t="shared" si="1"/>
        <v/>
      </c>
      <c r="W18" s="17" t="str">
        <f t="shared" si="2"/>
        <v/>
      </c>
      <c r="X18" s="17" t="str">
        <f t="shared" si="3"/>
        <v/>
      </c>
      <c r="Y18" s="17" t="str">
        <f t="shared" si="4"/>
        <v/>
      </c>
      <c r="Z18" s="77" t="str">
        <f t="shared" si="0"/>
        <v/>
      </c>
      <c r="AA18" s="53" t="str">
        <f t="shared" si="5"/>
        <v/>
      </c>
      <c r="AF18" s="26" t="s">
        <v>59</v>
      </c>
      <c r="AG18" s="79" t="s">
        <v>35</v>
      </c>
      <c r="AH18" s="79" t="s">
        <v>7</v>
      </c>
      <c r="AI18" s="79" t="s">
        <v>60</v>
      </c>
      <c r="AJ18" s="27" t="s">
        <v>16</v>
      </c>
    </row>
    <row r="19" spans="2:36" x14ac:dyDescent="0.25">
      <c r="B19" s="21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22"/>
      <c r="V19" s="91" t="str">
        <f t="shared" si="1"/>
        <v/>
      </c>
      <c r="W19" s="17" t="str">
        <f t="shared" si="2"/>
        <v/>
      </c>
      <c r="X19" s="17" t="str">
        <f t="shared" si="3"/>
        <v/>
      </c>
      <c r="Y19" s="17" t="str">
        <f t="shared" si="4"/>
        <v/>
      </c>
      <c r="Z19" s="77" t="str">
        <f t="shared" si="0"/>
        <v/>
      </c>
      <c r="AA19" s="53" t="str">
        <f t="shared" si="5"/>
        <v/>
      </c>
      <c r="AF19" s="18" t="str" cm="1">
        <f t="array" ref="AF19">_xlfn._xlws.FILTER($W$4:$AA$100,$V$4:$V$100=AG17,"")</f>
        <v/>
      </c>
      <c r="AG19" s="19"/>
      <c r="AH19" s="19"/>
      <c r="AI19" s="82"/>
      <c r="AJ19" s="52"/>
    </row>
    <row r="20" spans="2:36" x14ac:dyDescent="0.25">
      <c r="B20" s="21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22"/>
      <c r="V20" s="91" t="str">
        <f t="shared" si="1"/>
        <v/>
      </c>
      <c r="W20" s="17" t="str">
        <f t="shared" si="2"/>
        <v/>
      </c>
      <c r="X20" s="17" t="str">
        <f t="shared" si="3"/>
        <v/>
      </c>
      <c r="Y20" s="17" t="str">
        <f t="shared" si="4"/>
        <v/>
      </c>
      <c r="Z20" s="77" t="str">
        <f t="shared" si="0"/>
        <v/>
      </c>
      <c r="AA20" s="53" t="str">
        <f t="shared" si="5"/>
        <v/>
      </c>
      <c r="AF20" s="21"/>
      <c r="AG20" s="17"/>
      <c r="AH20" s="17"/>
      <c r="AI20" s="77"/>
      <c r="AJ20" s="53"/>
    </row>
    <row r="21" spans="2:36" x14ac:dyDescent="0.25">
      <c r="B21" s="21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22"/>
      <c r="V21" s="91" t="str">
        <f t="shared" si="1"/>
        <v/>
      </c>
      <c r="W21" s="17" t="str">
        <f t="shared" si="2"/>
        <v/>
      </c>
      <c r="X21" s="17" t="str">
        <f t="shared" si="3"/>
        <v/>
      </c>
      <c r="Y21" s="17" t="str">
        <f t="shared" si="4"/>
        <v/>
      </c>
      <c r="Z21" s="77" t="str">
        <f t="shared" si="0"/>
        <v/>
      </c>
      <c r="AA21" s="53" t="str">
        <f t="shared" si="5"/>
        <v/>
      </c>
      <c r="AF21" s="21"/>
      <c r="AG21" s="17"/>
      <c r="AH21" s="17"/>
      <c r="AI21" s="77"/>
      <c r="AJ21" s="53"/>
    </row>
    <row r="22" spans="2:36" x14ac:dyDescent="0.25">
      <c r="B22" s="21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22"/>
      <c r="V22" s="91" t="str">
        <f t="shared" si="1"/>
        <v/>
      </c>
      <c r="W22" s="17" t="str">
        <f t="shared" si="2"/>
        <v/>
      </c>
      <c r="X22" s="17" t="str">
        <f t="shared" si="3"/>
        <v/>
      </c>
      <c r="Y22" s="17" t="str">
        <f t="shared" si="4"/>
        <v/>
      </c>
      <c r="Z22" s="77" t="str">
        <f t="shared" si="0"/>
        <v/>
      </c>
      <c r="AA22" s="53" t="str">
        <f t="shared" si="5"/>
        <v/>
      </c>
      <c r="AF22" s="21"/>
      <c r="AG22" s="17"/>
      <c r="AH22" s="17"/>
      <c r="AI22" s="77"/>
      <c r="AJ22" s="53"/>
    </row>
    <row r="23" spans="2:36" x14ac:dyDescent="0.25">
      <c r="B23" s="21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22"/>
      <c r="V23" s="91" t="str">
        <f t="shared" si="1"/>
        <v/>
      </c>
      <c r="W23" s="17" t="str">
        <f t="shared" si="2"/>
        <v/>
      </c>
      <c r="X23" s="17" t="str">
        <f t="shared" si="3"/>
        <v/>
      </c>
      <c r="Y23" s="17" t="str">
        <f t="shared" si="4"/>
        <v/>
      </c>
      <c r="Z23" s="77" t="str">
        <f t="shared" si="0"/>
        <v/>
      </c>
      <c r="AA23" s="53" t="str">
        <f t="shared" si="5"/>
        <v/>
      </c>
      <c r="AF23" s="21"/>
      <c r="AG23" s="17"/>
      <c r="AH23" s="17"/>
      <c r="AI23" s="77"/>
      <c r="AJ23" s="53"/>
    </row>
    <row r="24" spans="2:36" x14ac:dyDescent="0.25">
      <c r="B24" s="21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22"/>
      <c r="V24" s="91" t="str">
        <f t="shared" si="1"/>
        <v/>
      </c>
      <c r="W24" s="17" t="str">
        <f t="shared" si="2"/>
        <v/>
      </c>
      <c r="X24" s="17" t="str">
        <f t="shared" si="3"/>
        <v/>
      </c>
      <c r="Y24" s="17" t="str">
        <f t="shared" si="4"/>
        <v/>
      </c>
      <c r="Z24" s="77" t="str">
        <f t="shared" si="0"/>
        <v/>
      </c>
      <c r="AA24" s="53" t="str">
        <f t="shared" si="5"/>
        <v/>
      </c>
      <c r="AF24" s="21"/>
      <c r="AG24" s="17"/>
      <c r="AH24" s="17"/>
      <c r="AI24" s="77"/>
      <c r="AJ24" s="53"/>
    </row>
    <row r="25" spans="2:36" x14ac:dyDescent="0.25">
      <c r="B25" s="21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22"/>
      <c r="V25" s="91" t="str">
        <f t="shared" si="1"/>
        <v/>
      </c>
      <c r="W25" s="17" t="str">
        <f t="shared" si="2"/>
        <v/>
      </c>
      <c r="X25" s="17" t="str">
        <f t="shared" si="3"/>
        <v/>
      </c>
      <c r="Y25" s="17" t="str">
        <f t="shared" si="4"/>
        <v/>
      </c>
      <c r="Z25" s="77" t="str">
        <f t="shared" si="0"/>
        <v/>
      </c>
      <c r="AA25" s="53" t="str">
        <f t="shared" si="5"/>
        <v/>
      </c>
      <c r="AF25" s="21"/>
      <c r="AG25" s="17"/>
      <c r="AH25" s="17"/>
      <c r="AI25" s="77"/>
      <c r="AJ25" s="53"/>
    </row>
    <row r="26" spans="2:36" x14ac:dyDescent="0.25">
      <c r="B26" s="21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22"/>
      <c r="V26" s="91" t="str">
        <f t="shared" si="1"/>
        <v/>
      </c>
      <c r="W26" s="17" t="str">
        <f t="shared" si="2"/>
        <v/>
      </c>
      <c r="X26" s="17" t="str">
        <f t="shared" si="3"/>
        <v/>
      </c>
      <c r="Y26" s="17" t="str">
        <f t="shared" si="4"/>
        <v/>
      </c>
      <c r="Z26" s="77" t="str">
        <f t="shared" si="0"/>
        <v/>
      </c>
      <c r="AA26" s="53" t="str">
        <f t="shared" si="5"/>
        <v/>
      </c>
      <c r="AF26" s="21"/>
      <c r="AG26" s="17"/>
      <c r="AH26" s="17"/>
      <c r="AI26" s="77"/>
      <c r="AJ26" s="53"/>
    </row>
    <row r="27" spans="2:36" x14ac:dyDescent="0.25">
      <c r="B27" s="21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22"/>
      <c r="V27" s="91" t="str">
        <f t="shared" si="1"/>
        <v/>
      </c>
      <c r="W27" s="17" t="str">
        <f t="shared" si="2"/>
        <v/>
      </c>
      <c r="X27" s="17" t="str">
        <f t="shared" si="3"/>
        <v/>
      </c>
      <c r="Y27" s="17" t="str">
        <f t="shared" si="4"/>
        <v/>
      </c>
      <c r="Z27" s="77" t="str">
        <f t="shared" si="0"/>
        <v/>
      </c>
      <c r="AA27" s="53" t="str">
        <f t="shared" si="5"/>
        <v/>
      </c>
      <c r="AF27" s="21"/>
      <c r="AG27" s="17"/>
      <c r="AH27" s="17"/>
      <c r="AI27" s="77"/>
      <c r="AJ27" s="53"/>
    </row>
    <row r="28" spans="2:36" x14ac:dyDescent="0.25">
      <c r="B28" s="21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22"/>
      <c r="V28" s="91" t="str">
        <f t="shared" si="1"/>
        <v/>
      </c>
      <c r="W28" s="17" t="str">
        <f t="shared" si="2"/>
        <v/>
      </c>
      <c r="X28" s="17" t="str">
        <f t="shared" si="3"/>
        <v/>
      </c>
      <c r="Y28" s="17" t="str">
        <f t="shared" si="4"/>
        <v/>
      </c>
      <c r="Z28" s="77" t="str">
        <f t="shared" si="0"/>
        <v/>
      </c>
      <c r="AA28" s="53" t="str">
        <f t="shared" si="5"/>
        <v/>
      </c>
      <c r="AF28" s="21"/>
      <c r="AG28" s="17"/>
      <c r="AH28" s="17"/>
      <c r="AI28" s="77"/>
      <c r="AJ28" s="53"/>
    </row>
    <row r="29" spans="2:36" ht="15.75" thickBot="1" x14ac:dyDescent="0.3">
      <c r="B29" s="21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22"/>
      <c r="V29" s="91" t="str">
        <f t="shared" si="1"/>
        <v/>
      </c>
      <c r="W29" s="17" t="str">
        <f t="shared" si="2"/>
        <v/>
      </c>
      <c r="X29" s="17" t="str">
        <f t="shared" si="3"/>
        <v/>
      </c>
      <c r="Y29" s="17" t="str">
        <f t="shared" si="4"/>
        <v/>
      </c>
      <c r="Z29" s="77" t="str">
        <f t="shared" si="0"/>
        <v/>
      </c>
      <c r="AA29" s="53" t="str">
        <f t="shared" si="5"/>
        <v/>
      </c>
      <c r="AF29" s="45"/>
      <c r="AG29" s="75"/>
      <c r="AH29" s="75"/>
      <c r="AI29" s="94"/>
      <c r="AJ29" s="54"/>
    </row>
    <row r="30" spans="2:36" ht="15.75" thickBot="1" x14ac:dyDescent="0.3">
      <c r="B30" s="21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22"/>
      <c r="V30" s="91" t="str">
        <f t="shared" si="1"/>
        <v/>
      </c>
      <c r="W30" s="17" t="str">
        <f t="shared" si="2"/>
        <v/>
      </c>
      <c r="X30" s="17" t="str">
        <f t="shared" si="3"/>
        <v/>
      </c>
      <c r="Y30" s="17" t="str">
        <f t="shared" si="4"/>
        <v/>
      </c>
      <c r="Z30" s="77" t="str">
        <f t="shared" si="0"/>
        <v/>
      </c>
      <c r="AA30" s="53" t="str">
        <f t="shared" si="5"/>
        <v/>
      </c>
      <c r="AF30" s="303" t="s">
        <v>63</v>
      </c>
      <c r="AG30" s="304"/>
      <c r="AH30" s="304"/>
      <c r="AI30" s="93">
        <f>SUM(AI19:AI29)</f>
        <v>0</v>
      </c>
      <c r="AJ30" s="46"/>
    </row>
    <row r="31" spans="2:36" x14ac:dyDescent="0.25">
      <c r="B31" s="21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22"/>
      <c r="V31" s="91" t="str">
        <f t="shared" si="1"/>
        <v/>
      </c>
      <c r="W31" s="17" t="str">
        <f t="shared" si="2"/>
        <v/>
      </c>
      <c r="X31" s="17" t="str">
        <f t="shared" si="3"/>
        <v/>
      </c>
      <c r="Y31" s="17" t="str">
        <f t="shared" si="4"/>
        <v/>
      </c>
      <c r="Z31" s="77" t="str">
        <f t="shared" si="0"/>
        <v/>
      </c>
      <c r="AA31" s="53" t="str">
        <f t="shared" si="5"/>
        <v/>
      </c>
    </row>
    <row r="32" spans="2:36" ht="15.75" thickBot="1" x14ac:dyDescent="0.3">
      <c r="B32" s="21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22"/>
      <c r="V32" s="91" t="str">
        <f t="shared" si="1"/>
        <v/>
      </c>
      <c r="W32" s="17" t="str">
        <f t="shared" si="2"/>
        <v/>
      </c>
      <c r="X32" s="17" t="str">
        <f t="shared" si="3"/>
        <v/>
      </c>
      <c r="Y32" s="17" t="str">
        <f t="shared" si="4"/>
        <v/>
      </c>
      <c r="Z32" s="77" t="str">
        <f t="shared" si="0"/>
        <v/>
      </c>
      <c r="AA32" s="53" t="str">
        <f t="shared" si="5"/>
        <v/>
      </c>
      <c r="AF32" t="s">
        <v>8</v>
      </c>
      <c r="AG32" s="6">
        <f>Dashboard!AN32</f>
        <v>11</v>
      </c>
    </row>
    <row r="33" spans="2:36" ht="15.75" thickBot="1" x14ac:dyDescent="0.3">
      <c r="B33" s="21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22"/>
      <c r="V33" s="91" t="str">
        <f t="shared" si="1"/>
        <v/>
      </c>
      <c r="W33" s="17" t="str">
        <f t="shared" si="2"/>
        <v/>
      </c>
      <c r="X33" s="17" t="str">
        <f t="shared" si="3"/>
        <v/>
      </c>
      <c r="Y33" s="17" t="str">
        <f t="shared" si="4"/>
        <v/>
      </c>
      <c r="Z33" s="77" t="str">
        <f t="shared" si="0"/>
        <v/>
      </c>
      <c r="AA33" s="53" t="str">
        <f t="shared" si="5"/>
        <v/>
      </c>
      <c r="AF33" s="26" t="s">
        <v>59</v>
      </c>
      <c r="AG33" s="79" t="s">
        <v>35</v>
      </c>
      <c r="AH33" s="79" t="s">
        <v>7</v>
      </c>
      <c r="AI33" s="79" t="s">
        <v>60</v>
      </c>
      <c r="AJ33" s="27" t="s">
        <v>16</v>
      </c>
    </row>
    <row r="34" spans="2:36" x14ac:dyDescent="0.25">
      <c r="B34" s="21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22"/>
      <c r="V34" s="91" t="str">
        <f t="shared" si="1"/>
        <v/>
      </c>
      <c r="W34" s="17" t="str">
        <f t="shared" si="2"/>
        <v/>
      </c>
      <c r="X34" s="17" t="str">
        <f t="shared" si="3"/>
        <v/>
      </c>
      <c r="Y34" s="17" t="str">
        <f t="shared" si="4"/>
        <v/>
      </c>
      <c r="Z34" s="77" t="str">
        <f t="shared" si="0"/>
        <v/>
      </c>
      <c r="AA34" s="53" t="str">
        <f t="shared" si="5"/>
        <v/>
      </c>
      <c r="AF34" s="18" t="str" cm="1">
        <f t="array" ref="AF34">_xlfn._xlws.FILTER($W$4:$AA$100,$V$4:$V$100=AG32,"")</f>
        <v/>
      </c>
      <c r="AG34" s="19"/>
      <c r="AH34" s="19"/>
      <c r="AI34" s="82"/>
      <c r="AJ34" s="52"/>
    </row>
    <row r="35" spans="2:36" x14ac:dyDescent="0.25">
      <c r="B35" s="21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22"/>
      <c r="V35" s="91" t="str">
        <f t="shared" si="1"/>
        <v/>
      </c>
      <c r="W35" s="17" t="str">
        <f t="shared" si="2"/>
        <v/>
      </c>
      <c r="X35" s="17" t="str">
        <f t="shared" si="3"/>
        <v/>
      </c>
      <c r="Y35" s="17" t="str">
        <f t="shared" si="4"/>
        <v/>
      </c>
      <c r="Z35" s="77" t="str">
        <f t="shared" si="0"/>
        <v/>
      </c>
      <c r="AA35" s="53" t="str">
        <f t="shared" si="5"/>
        <v/>
      </c>
      <c r="AF35" s="21"/>
      <c r="AG35" s="17"/>
      <c r="AH35" s="17"/>
      <c r="AI35" s="77"/>
      <c r="AJ35" s="53"/>
    </row>
    <row r="36" spans="2:36" x14ac:dyDescent="0.25">
      <c r="B36" s="21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22"/>
      <c r="V36" s="91" t="str">
        <f t="shared" si="1"/>
        <v/>
      </c>
      <c r="W36" s="17" t="str">
        <f t="shared" si="2"/>
        <v/>
      </c>
      <c r="X36" s="17" t="str">
        <f t="shared" si="3"/>
        <v/>
      </c>
      <c r="Y36" s="17" t="str">
        <f t="shared" si="4"/>
        <v/>
      </c>
      <c r="Z36" s="77" t="str">
        <f t="shared" si="0"/>
        <v/>
      </c>
      <c r="AA36" s="53" t="str">
        <f t="shared" si="5"/>
        <v/>
      </c>
      <c r="AF36" s="21"/>
      <c r="AG36" s="17"/>
      <c r="AH36" s="17"/>
      <c r="AI36" s="77"/>
      <c r="AJ36" s="53"/>
    </row>
    <row r="37" spans="2:36" x14ac:dyDescent="0.25">
      <c r="B37" s="21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22"/>
      <c r="V37" s="91" t="str">
        <f t="shared" si="1"/>
        <v/>
      </c>
      <c r="W37" s="17" t="str">
        <f t="shared" si="2"/>
        <v/>
      </c>
      <c r="X37" s="17" t="str">
        <f t="shared" si="3"/>
        <v/>
      </c>
      <c r="Y37" s="17" t="str">
        <f t="shared" si="4"/>
        <v/>
      </c>
      <c r="Z37" s="77" t="str">
        <f t="shared" si="0"/>
        <v/>
      </c>
      <c r="AA37" s="53" t="str">
        <f t="shared" si="5"/>
        <v/>
      </c>
      <c r="AF37" s="21"/>
      <c r="AG37" s="17"/>
      <c r="AH37" s="17"/>
      <c r="AI37" s="77"/>
      <c r="AJ37" s="53"/>
    </row>
    <row r="38" spans="2:36" x14ac:dyDescent="0.25">
      <c r="B38" s="21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22"/>
      <c r="V38" s="91" t="str">
        <f t="shared" si="1"/>
        <v/>
      </c>
      <c r="W38" s="17" t="str">
        <f t="shared" si="2"/>
        <v/>
      </c>
      <c r="X38" s="17" t="str">
        <f t="shared" si="3"/>
        <v/>
      </c>
      <c r="Y38" s="17" t="str">
        <f t="shared" si="4"/>
        <v/>
      </c>
      <c r="Z38" s="77" t="str">
        <f t="shared" si="0"/>
        <v/>
      </c>
      <c r="AA38" s="53" t="str">
        <f t="shared" si="5"/>
        <v/>
      </c>
      <c r="AF38" s="21"/>
      <c r="AG38" s="17"/>
      <c r="AH38" s="17"/>
      <c r="AI38" s="77"/>
      <c r="AJ38" s="53"/>
    </row>
    <row r="39" spans="2:36" x14ac:dyDescent="0.25">
      <c r="B39" s="21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22"/>
      <c r="V39" s="91" t="str">
        <f t="shared" si="1"/>
        <v/>
      </c>
      <c r="W39" s="17" t="str">
        <f t="shared" si="2"/>
        <v/>
      </c>
      <c r="X39" s="17" t="str">
        <f t="shared" si="3"/>
        <v/>
      </c>
      <c r="Y39" s="17" t="str">
        <f t="shared" si="4"/>
        <v/>
      </c>
      <c r="Z39" s="17" t="str">
        <f t="shared" si="0"/>
        <v/>
      </c>
      <c r="AA39" s="53" t="str">
        <f t="shared" si="5"/>
        <v/>
      </c>
      <c r="AF39" s="21"/>
      <c r="AG39" s="17"/>
      <c r="AH39" s="17"/>
      <c r="AI39" s="77"/>
      <c r="AJ39" s="53"/>
    </row>
    <row r="40" spans="2:36" x14ac:dyDescent="0.25">
      <c r="B40" s="21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22"/>
      <c r="V40" s="91" t="str">
        <f t="shared" si="1"/>
        <v/>
      </c>
      <c r="W40" s="17" t="str">
        <f t="shared" si="2"/>
        <v/>
      </c>
      <c r="X40" s="17" t="str">
        <f t="shared" si="3"/>
        <v/>
      </c>
      <c r="Y40" s="17" t="str">
        <f t="shared" si="4"/>
        <v/>
      </c>
      <c r="Z40" s="17" t="str">
        <f t="shared" si="0"/>
        <v/>
      </c>
      <c r="AA40" s="53" t="str">
        <f t="shared" si="5"/>
        <v/>
      </c>
      <c r="AF40" s="21"/>
      <c r="AG40" s="17"/>
      <c r="AH40" s="17"/>
      <c r="AI40" s="77"/>
      <c r="AJ40" s="53"/>
    </row>
    <row r="41" spans="2:36" x14ac:dyDescent="0.25">
      <c r="B41" s="21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22"/>
      <c r="V41" s="91" t="str">
        <f t="shared" si="1"/>
        <v/>
      </c>
      <c r="W41" s="17" t="str">
        <f t="shared" si="2"/>
        <v/>
      </c>
      <c r="X41" s="17" t="str">
        <f t="shared" si="3"/>
        <v/>
      </c>
      <c r="Y41" s="17" t="str">
        <f t="shared" si="4"/>
        <v/>
      </c>
      <c r="Z41" s="17" t="str">
        <f t="shared" si="0"/>
        <v/>
      </c>
      <c r="AA41" s="53" t="str">
        <f t="shared" si="5"/>
        <v/>
      </c>
      <c r="AF41" s="21"/>
      <c r="AG41" s="17"/>
      <c r="AH41" s="17"/>
      <c r="AI41" s="77"/>
      <c r="AJ41" s="53"/>
    </row>
    <row r="42" spans="2:36" x14ac:dyDescent="0.25">
      <c r="B42" s="21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22"/>
      <c r="V42" s="91" t="str">
        <f t="shared" si="1"/>
        <v/>
      </c>
      <c r="W42" s="17" t="str">
        <f t="shared" si="2"/>
        <v/>
      </c>
      <c r="X42" s="17" t="str">
        <f t="shared" si="3"/>
        <v/>
      </c>
      <c r="Y42" s="17" t="str">
        <f t="shared" si="4"/>
        <v/>
      </c>
      <c r="Z42" s="17" t="str">
        <f t="shared" si="0"/>
        <v/>
      </c>
      <c r="AA42" s="53" t="str">
        <f t="shared" si="5"/>
        <v/>
      </c>
      <c r="AF42" s="21"/>
      <c r="AG42" s="17"/>
      <c r="AH42" s="17"/>
      <c r="AI42" s="77"/>
      <c r="AJ42" s="53"/>
    </row>
    <row r="43" spans="2:36" x14ac:dyDescent="0.25">
      <c r="B43" s="21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22"/>
      <c r="V43" s="91" t="str">
        <f t="shared" si="1"/>
        <v/>
      </c>
      <c r="W43" s="17" t="str">
        <f t="shared" si="2"/>
        <v/>
      </c>
      <c r="X43" s="17" t="str">
        <f t="shared" si="3"/>
        <v/>
      </c>
      <c r="Y43" s="17" t="str">
        <f t="shared" si="4"/>
        <v/>
      </c>
      <c r="Z43" s="17" t="str">
        <f t="shared" si="0"/>
        <v/>
      </c>
      <c r="AA43" s="53" t="str">
        <f t="shared" si="5"/>
        <v/>
      </c>
      <c r="AF43" s="21"/>
      <c r="AG43" s="17"/>
      <c r="AH43" s="17"/>
      <c r="AI43" s="77"/>
      <c r="AJ43" s="53"/>
    </row>
    <row r="44" spans="2:36" ht="15.75" thickBot="1" x14ac:dyDescent="0.3">
      <c r="B44" s="21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22"/>
      <c r="V44" s="91" t="str">
        <f t="shared" si="1"/>
        <v/>
      </c>
      <c r="W44" s="17" t="str">
        <f t="shared" si="2"/>
        <v/>
      </c>
      <c r="X44" s="17" t="str">
        <f t="shared" si="3"/>
        <v/>
      </c>
      <c r="Y44" s="17" t="str">
        <f t="shared" si="4"/>
        <v/>
      </c>
      <c r="Z44" s="17" t="str">
        <f t="shared" si="0"/>
        <v/>
      </c>
      <c r="AA44" s="53" t="str">
        <f t="shared" si="5"/>
        <v/>
      </c>
      <c r="AF44" s="45"/>
      <c r="AG44" s="75"/>
      <c r="AH44" s="75"/>
      <c r="AI44" s="94"/>
      <c r="AJ44" s="54"/>
    </row>
    <row r="45" spans="2:36" ht="15.75" thickBot="1" x14ac:dyDescent="0.3">
      <c r="B45" s="21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22"/>
      <c r="V45" s="91" t="str">
        <f t="shared" si="1"/>
        <v/>
      </c>
      <c r="W45" s="17" t="str">
        <f t="shared" si="2"/>
        <v/>
      </c>
      <c r="X45" s="17" t="str">
        <f t="shared" si="3"/>
        <v/>
      </c>
      <c r="Y45" s="17" t="str">
        <f t="shared" si="4"/>
        <v/>
      </c>
      <c r="Z45" s="17" t="str">
        <f t="shared" si="0"/>
        <v/>
      </c>
      <c r="AA45" s="53" t="str">
        <f t="shared" si="5"/>
        <v/>
      </c>
      <c r="AF45" s="303" t="s">
        <v>63</v>
      </c>
      <c r="AG45" s="304"/>
      <c r="AH45" s="304"/>
      <c r="AI45" s="93">
        <f>SUM(AI34:AI44)</f>
        <v>0</v>
      </c>
      <c r="AJ45" s="46"/>
    </row>
    <row r="46" spans="2:36" x14ac:dyDescent="0.25">
      <c r="B46" s="21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22"/>
      <c r="V46" s="91" t="str">
        <f t="shared" si="1"/>
        <v/>
      </c>
      <c r="W46" s="17" t="str">
        <f t="shared" si="2"/>
        <v/>
      </c>
      <c r="X46" s="17" t="str">
        <f t="shared" si="3"/>
        <v/>
      </c>
      <c r="Y46" s="17" t="str">
        <f t="shared" si="4"/>
        <v/>
      </c>
      <c r="Z46" s="17" t="str">
        <f t="shared" si="0"/>
        <v/>
      </c>
      <c r="AA46" s="53" t="str">
        <f t="shared" si="5"/>
        <v/>
      </c>
    </row>
    <row r="47" spans="2:36" x14ac:dyDescent="0.25">
      <c r="B47" s="21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22"/>
      <c r="V47" s="91" t="str">
        <f t="shared" si="1"/>
        <v/>
      </c>
      <c r="W47" s="17" t="str">
        <f t="shared" si="2"/>
        <v/>
      </c>
      <c r="X47" s="17" t="str">
        <f t="shared" si="3"/>
        <v/>
      </c>
      <c r="Y47" s="17" t="str">
        <f t="shared" si="4"/>
        <v/>
      </c>
      <c r="Z47" s="17" t="str">
        <f t="shared" si="0"/>
        <v/>
      </c>
      <c r="AA47" s="53" t="str">
        <f t="shared" si="5"/>
        <v/>
      </c>
    </row>
    <row r="48" spans="2:36" x14ac:dyDescent="0.25">
      <c r="B48" s="21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22"/>
      <c r="V48" s="91" t="str">
        <f t="shared" si="1"/>
        <v/>
      </c>
      <c r="W48" s="17" t="str">
        <f t="shared" si="2"/>
        <v/>
      </c>
      <c r="X48" s="17" t="str">
        <f t="shared" si="3"/>
        <v/>
      </c>
      <c r="Y48" s="17" t="str">
        <f t="shared" si="4"/>
        <v/>
      </c>
      <c r="Z48" s="17" t="str">
        <f t="shared" si="0"/>
        <v/>
      </c>
      <c r="AA48" s="53" t="str">
        <f t="shared" si="5"/>
        <v/>
      </c>
    </row>
    <row r="49" spans="2:27" x14ac:dyDescent="0.25">
      <c r="B49" s="21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22"/>
      <c r="V49" s="91" t="str">
        <f t="shared" si="1"/>
        <v/>
      </c>
      <c r="W49" s="17" t="str">
        <f t="shared" si="2"/>
        <v/>
      </c>
      <c r="X49" s="17" t="str">
        <f t="shared" si="3"/>
        <v/>
      </c>
      <c r="Y49" s="17" t="str">
        <f t="shared" si="4"/>
        <v/>
      </c>
      <c r="Z49" s="17" t="str">
        <f t="shared" si="0"/>
        <v/>
      </c>
      <c r="AA49" s="53" t="str">
        <f t="shared" si="5"/>
        <v/>
      </c>
    </row>
    <row r="50" spans="2:27" x14ac:dyDescent="0.25">
      <c r="B50" s="21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22"/>
      <c r="V50" s="91" t="str">
        <f t="shared" si="1"/>
        <v/>
      </c>
      <c r="W50" s="17" t="str">
        <f t="shared" si="2"/>
        <v/>
      </c>
      <c r="X50" s="17" t="str">
        <f t="shared" si="3"/>
        <v/>
      </c>
      <c r="Y50" s="17" t="str">
        <f t="shared" si="4"/>
        <v/>
      </c>
      <c r="Z50" s="17" t="str">
        <f t="shared" si="0"/>
        <v/>
      </c>
      <c r="AA50" s="53" t="str">
        <f t="shared" si="5"/>
        <v/>
      </c>
    </row>
    <row r="51" spans="2:27" x14ac:dyDescent="0.25">
      <c r="B51" s="21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22"/>
      <c r="V51" s="91" t="str">
        <f t="shared" si="1"/>
        <v/>
      </c>
      <c r="W51" s="17" t="str">
        <f t="shared" si="2"/>
        <v/>
      </c>
      <c r="X51" s="17" t="str">
        <f t="shared" si="3"/>
        <v/>
      </c>
      <c r="Y51" s="17" t="str">
        <f t="shared" si="4"/>
        <v/>
      </c>
      <c r="Z51" s="17" t="str">
        <f t="shared" si="0"/>
        <v/>
      </c>
      <c r="AA51" s="53" t="str">
        <f t="shared" si="5"/>
        <v/>
      </c>
    </row>
    <row r="52" spans="2:27" x14ac:dyDescent="0.25">
      <c r="B52" s="21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22"/>
      <c r="V52" s="91" t="str">
        <f t="shared" si="1"/>
        <v/>
      </c>
      <c r="W52" s="17" t="str">
        <f t="shared" si="2"/>
        <v/>
      </c>
      <c r="X52" s="17" t="str">
        <f t="shared" si="3"/>
        <v/>
      </c>
      <c r="Y52" s="17" t="str">
        <f t="shared" si="4"/>
        <v/>
      </c>
      <c r="Z52" s="17" t="str">
        <f t="shared" si="0"/>
        <v/>
      </c>
      <c r="AA52" s="53" t="str">
        <f t="shared" si="5"/>
        <v/>
      </c>
    </row>
    <row r="53" spans="2:27" x14ac:dyDescent="0.25">
      <c r="B53" s="21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22"/>
      <c r="V53" s="91" t="str">
        <f t="shared" si="1"/>
        <v/>
      </c>
      <c r="W53" s="17" t="str">
        <f t="shared" si="2"/>
        <v/>
      </c>
      <c r="X53" s="17" t="str">
        <f t="shared" si="3"/>
        <v/>
      </c>
      <c r="Y53" s="17" t="str">
        <f t="shared" si="4"/>
        <v/>
      </c>
      <c r="Z53" s="17" t="str">
        <f t="shared" si="0"/>
        <v/>
      </c>
      <c r="AA53" s="53" t="str">
        <f t="shared" si="5"/>
        <v/>
      </c>
    </row>
    <row r="54" spans="2:27" x14ac:dyDescent="0.25">
      <c r="B54" s="21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22"/>
      <c r="V54" s="91" t="str">
        <f t="shared" si="1"/>
        <v/>
      </c>
      <c r="W54" s="17" t="str">
        <f t="shared" si="2"/>
        <v/>
      </c>
      <c r="X54" s="17" t="str">
        <f t="shared" si="3"/>
        <v/>
      </c>
      <c r="Y54" s="17" t="str">
        <f t="shared" si="4"/>
        <v/>
      </c>
      <c r="Z54" s="17" t="str">
        <f t="shared" si="0"/>
        <v/>
      </c>
      <c r="AA54" s="53" t="str">
        <f t="shared" si="5"/>
        <v/>
      </c>
    </row>
    <row r="55" spans="2:27" x14ac:dyDescent="0.25">
      <c r="B55" s="21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22"/>
      <c r="V55" s="91" t="str">
        <f t="shared" si="1"/>
        <v/>
      </c>
      <c r="W55" s="17" t="str">
        <f t="shared" si="2"/>
        <v/>
      </c>
      <c r="X55" s="17" t="str">
        <f t="shared" si="3"/>
        <v/>
      </c>
      <c r="Y55" s="17" t="str">
        <f t="shared" si="4"/>
        <v/>
      </c>
      <c r="Z55" s="17" t="str">
        <f t="shared" si="0"/>
        <v/>
      </c>
      <c r="AA55" s="53" t="str">
        <f t="shared" si="5"/>
        <v/>
      </c>
    </row>
    <row r="56" spans="2:27" x14ac:dyDescent="0.25">
      <c r="B56" s="21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22"/>
      <c r="V56" s="91" t="str">
        <f t="shared" si="1"/>
        <v/>
      </c>
      <c r="W56" s="17" t="str">
        <f t="shared" si="2"/>
        <v/>
      </c>
      <c r="X56" s="17" t="str">
        <f t="shared" si="3"/>
        <v/>
      </c>
      <c r="Y56" s="17" t="str">
        <f t="shared" si="4"/>
        <v/>
      </c>
      <c r="Z56" s="17" t="str">
        <f t="shared" si="0"/>
        <v/>
      </c>
      <c r="AA56" s="53" t="str">
        <f t="shared" si="5"/>
        <v/>
      </c>
    </row>
    <row r="57" spans="2:27" x14ac:dyDescent="0.25">
      <c r="B57" s="21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22"/>
      <c r="V57" s="91" t="str">
        <f t="shared" si="1"/>
        <v/>
      </c>
      <c r="W57" s="17" t="str">
        <f t="shared" si="2"/>
        <v/>
      </c>
      <c r="X57" s="17" t="str">
        <f t="shared" si="3"/>
        <v/>
      </c>
      <c r="Y57" s="17" t="str">
        <f t="shared" si="4"/>
        <v/>
      </c>
      <c r="Z57" s="17" t="str">
        <f t="shared" si="0"/>
        <v/>
      </c>
      <c r="AA57" s="53" t="str">
        <f t="shared" si="5"/>
        <v/>
      </c>
    </row>
    <row r="58" spans="2:27" x14ac:dyDescent="0.25">
      <c r="B58" s="21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22"/>
      <c r="V58" s="91" t="str">
        <f t="shared" si="1"/>
        <v/>
      </c>
      <c r="W58" s="17" t="str">
        <f t="shared" si="2"/>
        <v/>
      </c>
      <c r="X58" s="17" t="str">
        <f t="shared" si="3"/>
        <v/>
      </c>
      <c r="Y58" s="17" t="str">
        <f t="shared" si="4"/>
        <v/>
      </c>
      <c r="Z58" s="17" t="str">
        <f t="shared" si="0"/>
        <v/>
      </c>
      <c r="AA58" s="53" t="str">
        <f t="shared" si="5"/>
        <v/>
      </c>
    </row>
    <row r="59" spans="2:27" x14ac:dyDescent="0.25">
      <c r="B59" s="21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22"/>
      <c r="V59" s="91" t="str">
        <f t="shared" si="1"/>
        <v/>
      </c>
      <c r="W59" s="17" t="str">
        <f t="shared" si="2"/>
        <v/>
      </c>
      <c r="X59" s="17" t="str">
        <f t="shared" si="3"/>
        <v/>
      </c>
      <c r="Y59" s="17" t="str">
        <f t="shared" si="4"/>
        <v/>
      </c>
      <c r="Z59" s="17" t="str">
        <f t="shared" si="0"/>
        <v/>
      </c>
      <c r="AA59" s="53" t="str">
        <f t="shared" si="5"/>
        <v/>
      </c>
    </row>
    <row r="60" spans="2:27" x14ac:dyDescent="0.25">
      <c r="B60" s="21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22"/>
      <c r="V60" s="91" t="str">
        <f t="shared" si="1"/>
        <v/>
      </c>
      <c r="W60" s="17" t="str">
        <f t="shared" si="2"/>
        <v/>
      </c>
      <c r="X60" s="17" t="str">
        <f t="shared" si="3"/>
        <v/>
      </c>
      <c r="Y60" s="17" t="str">
        <f t="shared" si="4"/>
        <v/>
      </c>
      <c r="Z60" s="17" t="str">
        <f t="shared" si="0"/>
        <v/>
      </c>
      <c r="AA60" s="53" t="str">
        <f t="shared" si="5"/>
        <v/>
      </c>
    </row>
    <row r="61" spans="2:27" x14ac:dyDescent="0.25">
      <c r="B61" s="21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22"/>
      <c r="V61" s="91" t="str">
        <f t="shared" si="1"/>
        <v/>
      </c>
      <c r="W61" s="17" t="str">
        <f t="shared" si="2"/>
        <v/>
      </c>
      <c r="X61" s="17" t="str">
        <f t="shared" si="3"/>
        <v/>
      </c>
      <c r="Y61" s="17" t="str">
        <f t="shared" si="4"/>
        <v/>
      </c>
      <c r="Z61" s="17" t="str">
        <f t="shared" si="0"/>
        <v/>
      </c>
      <c r="AA61" s="53" t="str">
        <f t="shared" si="5"/>
        <v/>
      </c>
    </row>
    <row r="62" spans="2:27" x14ac:dyDescent="0.25">
      <c r="B62" s="21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22"/>
      <c r="V62" s="91" t="str">
        <f t="shared" si="1"/>
        <v/>
      </c>
      <c r="W62" s="17" t="str">
        <f t="shared" si="2"/>
        <v/>
      </c>
      <c r="X62" s="17" t="str">
        <f t="shared" si="3"/>
        <v/>
      </c>
      <c r="Y62" s="17" t="str">
        <f t="shared" si="4"/>
        <v/>
      </c>
      <c r="Z62" s="17" t="str">
        <f t="shared" si="0"/>
        <v/>
      </c>
      <c r="AA62" s="53" t="str">
        <f t="shared" si="5"/>
        <v/>
      </c>
    </row>
    <row r="63" spans="2:27" x14ac:dyDescent="0.25">
      <c r="B63" s="21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22"/>
      <c r="V63" s="91" t="str">
        <f t="shared" si="1"/>
        <v/>
      </c>
      <c r="W63" s="17" t="str">
        <f t="shared" si="2"/>
        <v/>
      </c>
      <c r="X63" s="17" t="str">
        <f t="shared" si="3"/>
        <v/>
      </c>
      <c r="Y63" s="17" t="str">
        <f t="shared" si="4"/>
        <v/>
      </c>
      <c r="Z63" s="17" t="str">
        <f t="shared" si="0"/>
        <v/>
      </c>
      <c r="AA63" s="53" t="str">
        <f t="shared" si="5"/>
        <v/>
      </c>
    </row>
    <row r="64" spans="2:27" x14ac:dyDescent="0.25">
      <c r="B64" s="21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22"/>
      <c r="V64" s="91" t="str">
        <f t="shared" si="1"/>
        <v/>
      </c>
      <c r="W64" s="17" t="str">
        <f t="shared" si="2"/>
        <v/>
      </c>
      <c r="X64" s="17" t="str">
        <f t="shared" si="3"/>
        <v/>
      </c>
      <c r="Y64" s="17" t="str">
        <f t="shared" si="4"/>
        <v/>
      </c>
      <c r="Z64" s="17" t="str">
        <f t="shared" si="0"/>
        <v/>
      </c>
      <c r="AA64" s="53" t="str">
        <f t="shared" si="5"/>
        <v/>
      </c>
    </row>
    <row r="65" spans="2:27" x14ac:dyDescent="0.25">
      <c r="B65" s="21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22"/>
      <c r="V65" s="91" t="str">
        <f t="shared" si="1"/>
        <v/>
      </c>
      <c r="W65" s="17" t="str">
        <f t="shared" si="2"/>
        <v/>
      </c>
      <c r="X65" s="17" t="str">
        <f t="shared" si="3"/>
        <v/>
      </c>
      <c r="Y65" s="17" t="str">
        <f t="shared" si="4"/>
        <v/>
      </c>
      <c r="Z65" s="17" t="str">
        <f t="shared" si="0"/>
        <v/>
      </c>
      <c r="AA65" s="53" t="str">
        <f t="shared" si="5"/>
        <v/>
      </c>
    </row>
    <row r="66" spans="2:27" x14ac:dyDescent="0.25">
      <c r="B66" s="21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22"/>
      <c r="V66" s="91" t="str">
        <f t="shared" si="1"/>
        <v/>
      </c>
      <c r="W66" s="17" t="str">
        <f t="shared" si="2"/>
        <v/>
      </c>
      <c r="X66" s="17" t="str">
        <f t="shared" si="3"/>
        <v/>
      </c>
      <c r="Y66" s="17" t="str">
        <f t="shared" si="4"/>
        <v/>
      </c>
      <c r="Z66" s="17" t="str">
        <f t="shared" si="0"/>
        <v/>
      </c>
      <c r="AA66" s="53" t="str">
        <f t="shared" si="5"/>
        <v/>
      </c>
    </row>
    <row r="67" spans="2:27" x14ac:dyDescent="0.25">
      <c r="B67" s="21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22"/>
      <c r="V67" s="91" t="str">
        <f t="shared" si="1"/>
        <v/>
      </c>
      <c r="W67" s="17" t="str">
        <f t="shared" si="2"/>
        <v/>
      </c>
      <c r="X67" s="17" t="str">
        <f t="shared" si="3"/>
        <v/>
      </c>
      <c r="Y67" s="17" t="str">
        <f t="shared" si="4"/>
        <v/>
      </c>
      <c r="Z67" s="17" t="str">
        <f t="shared" si="0"/>
        <v/>
      </c>
      <c r="AA67" s="53" t="str">
        <f t="shared" si="5"/>
        <v/>
      </c>
    </row>
    <row r="68" spans="2:27" x14ac:dyDescent="0.25">
      <c r="B68" s="21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22"/>
      <c r="V68" s="91" t="str">
        <f t="shared" si="1"/>
        <v/>
      </c>
      <c r="W68" s="17" t="str">
        <f t="shared" si="2"/>
        <v/>
      </c>
      <c r="X68" s="17" t="str">
        <f t="shared" si="3"/>
        <v/>
      </c>
      <c r="Y68" s="17" t="str">
        <f t="shared" si="4"/>
        <v/>
      </c>
      <c r="Z68" s="17" t="str">
        <f t="shared" ref="Z68:Z100" si="6">IF(B68="","",IF(G68=$C$2,I68,L68))</f>
        <v/>
      </c>
      <c r="AA68" s="53" t="str">
        <f t="shared" si="5"/>
        <v/>
      </c>
    </row>
    <row r="69" spans="2:27" x14ac:dyDescent="0.25">
      <c r="B69" s="21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22"/>
      <c r="V69" s="91" t="str">
        <f t="shared" ref="V69:V100" si="7">IF(E69="","",E69)</f>
        <v/>
      </c>
      <c r="W69" s="17" t="str">
        <f t="shared" ref="W69:W132" si="8">IF(B69="","",B69)</f>
        <v/>
      </c>
      <c r="X69" s="17" t="str">
        <f t="shared" ref="X69:X100" si="9">IF(B69="","",C69)</f>
        <v/>
      </c>
      <c r="Y69" s="17" t="str">
        <f t="shared" ref="Y69:Y100" si="10">IF(B69="","",D69)</f>
        <v/>
      </c>
      <c r="Z69" s="17" t="str">
        <f t="shared" si="6"/>
        <v/>
      </c>
      <c r="AA69" s="53" t="str">
        <f t="shared" ref="AA69:AA100" si="11">IF(B69="","",VLOOKUP(S69,$AC$3:$AD$14,2,FALSE))</f>
        <v/>
      </c>
    </row>
    <row r="70" spans="2:27" x14ac:dyDescent="0.25">
      <c r="B70" s="21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22"/>
      <c r="V70" s="91" t="str">
        <f t="shared" si="7"/>
        <v/>
      </c>
      <c r="W70" s="17" t="str">
        <f t="shared" si="8"/>
        <v/>
      </c>
      <c r="X70" s="17" t="str">
        <f t="shared" si="9"/>
        <v/>
      </c>
      <c r="Y70" s="17" t="str">
        <f t="shared" si="10"/>
        <v/>
      </c>
      <c r="Z70" s="17" t="str">
        <f t="shared" si="6"/>
        <v/>
      </c>
      <c r="AA70" s="53" t="str">
        <f t="shared" si="11"/>
        <v/>
      </c>
    </row>
    <row r="71" spans="2:27" x14ac:dyDescent="0.25">
      <c r="B71" s="21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22"/>
      <c r="V71" s="91" t="str">
        <f t="shared" si="7"/>
        <v/>
      </c>
      <c r="W71" s="17" t="str">
        <f t="shared" si="8"/>
        <v/>
      </c>
      <c r="X71" s="17" t="str">
        <f t="shared" si="9"/>
        <v/>
      </c>
      <c r="Y71" s="17" t="str">
        <f t="shared" si="10"/>
        <v/>
      </c>
      <c r="Z71" s="17" t="str">
        <f t="shared" si="6"/>
        <v/>
      </c>
      <c r="AA71" s="53" t="str">
        <f t="shared" si="11"/>
        <v/>
      </c>
    </row>
    <row r="72" spans="2:27" x14ac:dyDescent="0.25">
      <c r="B72" s="21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22"/>
      <c r="V72" s="91" t="str">
        <f t="shared" si="7"/>
        <v/>
      </c>
      <c r="W72" s="17" t="str">
        <f t="shared" si="8"/>
        <v/>
      </c>
      <c r="X72" s="17" t="str">
        <f t="shared" si="9"/>
        <v/>
      </c>
      <c r="Y72" s="17" t="str">
        <f t="shared" si="10"/>
        <v/>
      </c>
      <c r="Z72" s="17" t="str">
        <f t="shared" si="6"/>
        <v/>
      </c>
      <c r="AA72" s="53" t="str">
        <f t="shared" si="11"/>
        <v/>
      </c>
    </row>
    <row r="73" spans="2:27" x14ac:dyDescent="0.25">
      <c r="B73" s="21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22"/>
      <c r="V73" s="91" t="str">
        <f t="shared" si="7"/>
        <v/>
      </c>
      <c r="W73" s="17" t="str">
        <f t="shared" si="8"/>
        <v/>
      </c>
      <c r="X73" s="17" t="str">
        <f t="shared" si="9"/>
        <v/>
      </c>
      <c r="Y73" s="17" t="str">
        <f t="shared" si="10"/>
        <v/>
      </c>
      <c r="Z73" s="17" t="str">
        <f t="shared" si="6"/>
        <v/>
      </c>
      <c r="AA73" s="53" t="str">
        <f t="shared" si="11"/>
        <v/>
      </c>
    </row>
    <row r="74" spans="2:27" x14ac:dyDescent="0.25">
      <c r="B74" s="21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22"/>
      <c r="V74" s="91" t="str">
        <f t="shared" si="7"/>
        <v/>
      </c>
      <c r="W74" s="17" t="str">
        <f t="shared" si="8"/>
        <v/>
      </c>
      <c r="X74" s="17" t="str">
        <f t="shared" si="9"/>
        <v/>
      </c>
      <c r="Y74" s="17" t="str">
        <f t="shared" si="10"/>
        <v/>
      </c>
      <c r="Z74" s="17" t="str">
        <f t="shared" si="6"/>
        <v/>
      </c>
      <c r="AA74" s="53" t="str">
        <f t="shared" si="11"/>
        <v/>
      </c>
    </row>
    <row r="75" spans="2:27" x14ac:dyDescent="0.25">
      <c r="B75" s="21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22"/>
      <c r="V75" s="91" t="str">
        <f t="shared" si="7"/>
        <v/>
      </c>
      <c r="W75" s="17" t="str">
        <f t="shared" si="8"/>
        <v/>
      </c>
      <c r="X75" s="17" t="str">
        <f t="shared" si="9"/>
        <v/>
      </c>
      <c r="Y75" s="17" t="str">
        <f t="shared" si="10"/>
        <v/>
      </c>
      <c r="Z75" s="17" t="str">
        <f t="shared" si="6"/>
        <v/>
      </c>
      <c r="AA75" s="53" t="str">
        <f t="shared" si="11"/>
        <v/>
      </c>
    </row>
    <row r="76" spans="2:27" x14ac:dyDescent="0.25">
      <c r="B76" s="21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22"/>
      <c r="V76" s="91" t="str">
        <f t="shared" si="7"/>
        <v/>
      </c>
      <c r="W76" s="17" t="str">
        <f t="shared" si="8"/>
        <v/>
      </c>
      <c r="X76" s="17" t="str">
        <f t="shared" si="9"/>
        <v/>
      </c>
      <c r="Y76" s="17" t="str">
        <f t="shared" si="10"/>
        <v/>
      </c>
      <c r="Z76" s="17" t="str">
        <f t="shared" si="6"/>
        <v/>
      </c>
      <c r="AA76" s="53" t="str">
        <f t="shared" si="11"/>
        <v/>
      </c>
    </row>
    <row r="77" spans="2:27" x14ac:dyDescent="0.25">
      <c r="B77" s="21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22"/>
      <c r="V77" s="91" t="str">
        <f t="shared" si="7"/>
        <v/>
      </c>
      <c r="W77" s="17" t="str">
        <f t="shared" si="8"/>
        <v/>
      </c>
      <c r="X77" s="17" t="str">
        <f t="shared" si="9"/>
        <v/>
      </c>
      <c r="Y77" s="17" t="str">
        <f t="shared" si="10"/>
        <v/>
      </c>
      <c r="Z77" s="17" t="str">
        <f t="shared" si="6"/>
        <v/>
      </c>
      <c r="AA77" s="53" t="str">
        <f t="shared" si="11"/>
        <v/>
      </c>
    </row>
    <row r="78" spans="2:27" x14ac:dyDescent="0.25">
      <c r="B78" s="21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22"/>
      <c r="V78" s="91" t="str">
        <f t="shared" si="7"/>
        <v/>
      </c>
      <c r="W78" s="17" t="str">
        <f t="shared" si="8"/>
        <v/>
      </c>
      <c r="X78" s="17" t="str">
        <f t="shared" si="9"/>
        <v/>
      </c>
      <c r="Y78" s="17" t="str">
        <f t="shared" si="10"/>
        <v/>
      </c>
      <c r="Z78" s="17" t="str">
        <f t="shared" si="6"/>
        <v/>
      </c>
      <c r="AA78" s="53" t="str">
        <f t="shared" si="11"/>
        <v/>
      </c>
    </row>
    <row r="79" spans="2:27" x14ac:dyDescent="0.25">
      <c r="B79" s="21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22"/>
      <c r="V79" s="91" t="str">
        <f t="shared" si="7"/>
        <v/>
      </c>
      <c r="W79" s="17" t="str">
        <f t="shared" si="8"/>
        <v/>
      </c>
      <c r="X79" s="17" t="str">
        <f t="shared" si="9"/>
        <v/>
      </c>
      <c r="Y79" s="17" t="str">
        <f t="shared" si="10"/>
        <v/>
      </c>
      <c r="Z79" s="17" t="str">
        <f t="shared" si="6"/>
        <v/>
      </c>
      <c r="AA79" s="53" t="str">
        <f t="shared" si="11"/>
        <v/>
      </c>
    </row>
    <row r="80" spans="2:27" x14ac:dyDescent="0.25">
      <c r="B80" s="21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22"/>
      <c r="V80" s="91" t="str">
        <f t="shared" si="7"/>
        <v/>
      </c>
      <c r="W80" s="17" t="str">
        <f t="shared" si="8"/>
        <v/>
      </c>
      <c r="X80" s="17" t="str">
        <f t="shared" si="9"/>
        <v/>
      </c>
      <c r="Y80" s="17" t="str">
        <f t="shared" si="10"/>
        <v/>
      </c>
      <c r="Z80" s="17" t="str">
        <f t="shared" si="6"/>
        <v/>
      </c>
      <c r="AA80" s="53" t="str">
        <f t="shared" si="11"/>
        <v/>
      </c>
    </row>
    <row r="81" spans="2:27" x14ac:dyDescent="0.25">
      <c r="B81" s="21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22"/>
      <c r="V81" s="91" t="str">
        <f t="shared" si="7"/>
        <v/>
      </c>
      <c r="W81" s="17" t="str">
        <f t="shared" si="8"/>
        <v/>
      </c>
      <c r="X81" s="17" t="str">
        <f t="shared" si="9"/>
        <v/>
      </c>
      <c r="Y81" s="17" t="str">
        <f t="shared" si="10"/>
        <v/>
      </c>
      <c r="Z81" s="17" t="str">
        <f t="shared" si="6"/>
        <v/>
      </c>
      <c r="AA81" s="53" t="str">
        <f t="shared" si="11"/>
        <v/>
      </c>
    </row>
    <row r="82" spans="2:27" x14ac:dyDescent="0.25">
      <c r="B82" s="21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22"/>
      <c r="V82" s="91" t="str">
        <f t="shared" si="7"/>
        <v/>
      </c>
      <c r="W82" s="17" t="str">
        <f t="shared" si="8"/>
        <v/>
      </c>
      <c r="X82" s="17" t="str">
        <f t="shared" si="9"/>
        <v/>
      </c>
      <c r="Y82" s="17" t="str">
        <f t="shared" si="10"/>
        <v/>
      </c>
      <c r="Z82" s="17" t="str">
        <f t="shared" si="6"/>
        <v/>
      </c>
      <c r="AA82" s="53" t="str">
        <f t="shared" si="11"/>
        <v/>
      </c>
    </row>
    <row r="83" spans="2:27" x14ac:dyDescent="0.25">
      <c r="B83" s="21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22"/>
      <c r="V83" s="91" t="str">
        <f t="shared" si="7"/>
        <v/>
      </c>
      <c r="W83" s="17" t="str">
        <f t="shared" si="8"/>
        <v/>
      </c>
      <c r="X83" s="17" t="str">
        <f t="shared" si="9"/>
        <v/>
      </c>
      <c r="Y83" s="17" t="str">
        <f t="shared" si="10"/>
        <v/>
      </c>
      <c r="Z83" s="17" t="str">
        <f t="shared" si="6"/>
        <v/>
      </c>
      <c r="AA83" s="53" t="str">
        <f t="shared" si="11"/>
        <v/>
      </c>
    </row>
    <row r="84" spans="2:27" x14ac:dyDescent="0.25">
      <c r="B84" s="21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22"/>
      <c r="V84" s="91" t="str">
        <f t="shared" si="7"/>
        <v/>
      </c>
      <c r="W84" s="17" t="str">
        <f t="shared" si="8"/>
        <v/>
      </c>
      <c r="X84" s="17" t="str">
        <f t="shared" si="9"/>
        <v/>
      </c>
      <c r="Y84" s="17" t="str">
        <f t="shared" si="10"/>
        <v/>
      </c>
      <c r="Z84" s="17" t="str">
        <f t="shared" si="6"/>
        <v/>
      </c>
      <c r="AA84" s="53" t="str">
        <f t="shared" si="11"/>
        <v/>
      </c>
    </row>
    <row r="85" spans="2:27" x14ac:dyDescent="0.25">
      <c r="B85" s="21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22"/>
      <c r="V85" s="91" t="str">
        <f t="shared" si="7"/>
        <v/>
      </c>
      <c r="W85" s="17" t="str">
        <f t="shared" si="8"/>
        <v/>
      </c>
      <c r="X85" s="17" t="str">
        <f t="shared" si="9"/>
        <v/>
      </c>
      <c r="Y85" s="17" t="str">
        <f t="shared" si="10"/>
        <v/>
      </c>
      <c r="Z85" s="17" t="str">
        <f t="shared" si="6"/>
        <v/>
      </c>
      <c r="AA85" s="53" t="str">
        <f t="shared" si="11"/>
        <v/>
      </c>
    </row>
    <row r="86" spans="2:27" x14ac:dyDescent="0.25">
      <c r="B86" s="21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22"/>
      <c r="V86" s="91" t="str">
        <f t="shared" si="7"/>
        <v/>
      </c>
      <c r="W86" s="17" t="str">
        <f t="shared" si="8"/>
        <v/>
      </c>
      <c r="X86" s="17" t="str">
        <f t="shared" si="9"/>
        <v/>
      </c>
      <c r="Y86" s="17" t="str">
        <f t="shared" si="10"/>
        <v/>
      </c>
      <c r="Z86" s="17" t="str">
        <f t="shared" si="6"/>
        <v/>
      </c>
      <c r="AA86" s="53" t="str">
        <f t="shared" si="11"/>
        <v/>
      </c>
    </row>
    <row r="87" spans="2:27" x14ac:dyDescent="0.25">
      <c r="B87" s="21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22"/>
      <c r="V87" s="91" t="str">
        <f t="shared" si="7"/>
        <v/>
      </c>
      <c r="W87" s="17" t="str">
        <f t="shared" si="8"/>
        <v/>
      </c>
      <c r="X87" s="17" t="str">
        <f t="shared" si="9"/>
        <v/>
      </c>
      <c r="Y87" s="17" t="str">
        <f t="shared" si="10"/>
        <v/>
      </c>
      <c r="Z87" s="17" t="str">
        <f t="shared" si="6"/>
        <v/>
      </c>
      <c r="AA87" s="53" t="str">
        <f t="shared" si="11"/>
        <v/>
      </c>
    </row>
    <row r="88" spans="2:27" x14ac:dyDescent="0.25">
      <c r="B88" s="21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22"/>
      <c r="V88" s="91" t="str">
        <f t="shared" si="7"/>
        <v/>
      </c>
      <c r="W88" s="17" t="str">
        <f t="shared" si="8"/>
        <v/>
      </c>
      <c r="X88" s="17" t="str">
        <f t="shared" si="9"/>
        <v/>
      </c>
      <c r="Y88" s="17" t="str">
        <f t="shared" si="10"/>
        <v/>
      </c>
      <c r="Z88" s="17" t="str">
        <f t="shared" si="6"/>
        <v/>
      </c>
      <c r="AA88" s="53" t="str">
        <f t="shared" si="11"/>
        <v/>
      </c>
    </row>
    <row r="89" spans="2:27" x14ac:dyDescent="0.25">
      <c r="B89" s="21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22"/>
      <c r="V89" s="91" t="str">
        <f t="shared" si="7"/>
        <v/>
      </c>
      <c r="W89" s="17" t="str">
        <f t="shared" si="8"/>
        <v/>
      </c>
      <c r="X89" s="17" t="str">
        <f t="shared" si="9"/>
        <v/>
      </c>
      <c r="Y89" s="17" t="str">
        <f t="shared" si="10"/>
        <v/>
      </c>
      <c r="Z89" s="17" t="str">
        <f t="shared" si="6"/>
        <v/>
      </c>
      <c r="AA89" s="53" t="str">
        <f t="shared" si="11"/>
        <v/>
      </c>
    </row>
    <row r="90" spans="2:27" x14ac:dyDescent="0.25">
      <c r="B90" s="21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22"/>
      <c r="V90" s="91" t="str">
        <f t="shared" si="7"/>
        <v/>
      </c>
      <c r="W90" s="17" t="str">
        <f t="shared" si="8"/>
        <v/>
      </c>
      <c r="X90" s="17" t="str">
        <f t="shared" si="9"/>
        <v/>
      </c>
      <c r="Y90" s="17" t="str">
        <f t="shared" si="10"/>
        <v/>
      </c>
      <c r="Z90" s="17" t="str">
        <f t="shared" si="6"/>
        <v/>
      </c>
      <c r="AA90" s="53" t="str">
        <f t="shared" si="11"/>
        <v/>
      </c>
    </row>
    <row r="91" spans="2:27" x14ac:dyDescent="0.25">
      <c r="B91" s="21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22"/>
      <c r="V91" s="91" t="str">
        <f t="shared" si="7"/>
        <v/>
      </c>
      <c r="W91" s="17" t="str">
        <f t="shared" si="8"/>
        <v/>
      </c>
      <c r="X91" s="17" t="str">
        <f t="shared" si="9"/>
        <v/>
      </c>
      <c r="Y91" s="17" t="str">
        <f t="shared" si="10"/>
        <v/>
      </c>
      <c r="Z91" s="17" t="str">
        <f t="shared" si="6"/>
        <v/>
      </c>
      <c r="AA91" s="53" t="str">
        <f t="shared" si="11"/>
        <v/>
      </c>
    </row>
    <row r="92" spans="2:27" x14ac:dyDescent="0.25">
      <c r="B92" s="21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22"/>
      <c r="V92" s="91" t="str">
        <f t="shared" si="7"/>
        <v/>
      </c>
      <c r="W92" s="17" t="str">
        <f t="shared" si="8"/>
        <v/>
      </c>
      <c r="X92" s="17" t="str">
        <f t="shared" si="9"/>
        <v/>
      </c>
      <c r="Y92" s="17" t="str">
        <f t="shared" si="10"/>
        <v/>
      </c>
      <c r="Z92" s="17" t="str">
        <f t="shared" si="6"/>
        <v/>
      </c>
      <c r="AA92" s="53" t="str">
        <f t="shared" si="11"/>
        <v/>
      </c>
    </row>
    <row r="93" spans="2:27" x14ac:dyDescent="0.25">
      <c r="B93" s="21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22"/>
      <c r="V93" s="91" t="str">
        <f t="shared" si="7"/>
        <v/>
      </c>
      <c r="W93" s="17" t="str">
        <f t="shared" si="8"/>
        <v/>
      </c>
      <c r="X93" s="17" t="str">
        <f t="shared" si="9"/>
        <v/>
      </c>
      <c r="Y93" s="17" t="str">
        <f t="shared" si="10"/>
        <v/>
      </c>
      <c r="Z93" s="17" t="str">
        <f t="shared" si="6"/>
        <v/>
      </c>
      <c r="AA93" s="53" t="str">
        <f t="shared" si="11"/>
        <v/>
      </c>
    </row>
    <row r="94" spans="2:27" x14ac:dyDescent="0.25">
      <c r="B94" s="21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22"/>
      <c r="V94" s="91" t="str">
        <f t="shared" si="7"/>
        <v/>
      </c>
      <c r="W94" s="17" t="str">
        <f t="shared" si="8"/>
        <v/>
      </c>
      <c r="X94" s="17" t="str">
        <f t="shared" si="9"/>
        <v/>
      </c>
      <c r="Y94" s="17" t="str">
        <f t="shared" si="10"/>
        <v/>
      </c>
      <c r="Z94" s="17" t="str">
        <f t="shared" si="6"/>
        <v/>
      </c>
      <c r="AA94" s="53" t="str">
        <f t="shared" si="11"/>
        <v/>
      </c>
    </row>
    <row r="95" spans="2:27" x14ac:dyDescent="0.25">
      <c r="B95" s="21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22"/>
      <c r="V95" s="91" t="str">
        <f t="shared" si="7"/>
        <v/>
      </c>
      <c r="W95" s="17" t="str">
        <f t="shared" si="8"/>
        <v/>
      </c>
      <c r="X95" s="17" t="str">
        <f t="shared" si="9"/>
        <v/>
      </c>
      <c r="Y95" s="17" t="str">
        <f t="shared" si="10"/>
        <v/>
      </c>
      <c r="Z95" s="17" t="str">
        <f t="shared" si="6"/>
        <v/>
      </c>
      <c r="AA95" s="53" t="str">
        <f t="shared" si="11"/>
        <v/>
      </c>
    </row>
    <row r="96" spans="2:27" x14ac:dyDescent="0.25">
      <c r="B96" s="21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22"/>
      <c r="V96" s="91" t="str">
        <f t="shared" si="7"/>
        <v/>
      </c>
      <c r="W96" s="17" t="str">
        <f t="shared" si="8"/>
        <v/>
      </c>
      <c r="X96" s="17" t="str">
        <f t="shared" si="9"/>
        <v/>
      </c>
      <c r="Y96" s="17" t="str">
        <f t="shared" si="10"/>
        <v/>
      </c>
      <c r="Z96" s="17" t="str">
        <f t="shared" si="6"/>
        <v/>
      </c>
      <c r="AA96" s="53" t="str">
        <f t="shared" si="11"/>
        <v/>
      </c>
    </row>
    <row r="97" spans="2:27" x14ac:dyDescent="0.25">
      <c r="B97" s="21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22"/>
      <c r="V97" s="91" t="str">
        <f t="shared" si="7"/>
        <v/>
      </c>
      <c r="W97" s="17" t="str">
        <f t="shared" si="8"/>
        <v/>
      </c>
      <c r="X97" s="17" t="str">
        <f t="shared" si="9"/>
        <v/>
      </c>
      <c r="Y97" s="17" t="str">
        <f t="shared" si="10"/>
        <v/>
      </c>
      <c r="Z97" s="17" t="str">
        <f t="shared" si="6"/>
        <v/>
      </c>
      <c r="AA97" s="53" t="str">
        <f t="shared" si="11"/>
        <v/>
      </c>
    </row>
    <row r="98" spans="2:27" x14ac:dyDescent="0.25">
      <c r="B98" s="21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22"/>
      <c r="V98" s="91" t="str">
        <f t="shared" si="7"/>
        <v/>
      </c>
      <c r="W98" s="17" t="str">
        <f t="shared" si="8"/>
        <v/>
      </c>
      <c r="X98" s="17" t="str">
        <f t="shared" si="9"/>
        <v/>
      </c>
      <c r="Y98" s="17" t="str">
        <f t="shared" si="10"/>
        <v/>
      </c>
      <c r="Z98" s="17" t="str">
        <f t="shared" si="6"/>
        <v/>
      </c>
      <c r="AA98" s="53" t="str">
        <f t="shared" si="11"/>
        <v/>
      </c>
    </row>
    <row r="99" spans="2:27" x14ac:dyDescent="0.25">
      <c r="B99" s="21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22"/>
      <c r="V99" s="91" t="str">
        <f t="shared" si="7"/>
        <v/>
      </c>
      <c r="W99" s="17" t="str">
        <f t="shared" si="8"/>
        <v/>
      </c>
      <c r="X99" s="17" t="str">
        <f t="shared" si="9"/>
        <v/>
      </c>
      <c r="Y99" s="17" t="str">
        <f t="shared" si="10"/>
        <v/>
      </c>
      <c r="Z99" s="17" t="str">
        <f t="shared" si="6"/>
        <v/>
      </c>
      <c r="AA99" s="53" t="str">
        <f t="shared" si="11"/>
        <v/>
      </c>
    </row>
    <row r="100" spans="2:27" ht="15.75" thickBot="1" x14ac:dyDescent="0.3">
      <c r="B100" s="2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3"/>
      <c r="V100" s="92" t="str">
        <f t="shared" si="7"/>
        <v/>
      </c>
      <c r="W100" s="23" t="str">
        <f t="shared" si="8"/>
        <v/>
      </c>
      <c r="X100" s="23" t="str">
        <f t="shared" si="9"/>
        <v/>
      </c>
      <c r="Y100" s="23" t="str">
        <f t="shared" si="10"/>
        <v/>
      </c>
      <c r="Z100" s="23" t="str">
        <f t="shared" si="6"/>
        <v/>
      </c>
      <c r="AA100" s="40" t="str">
        <f t="shared" si="11"/>
        <v/>
      </c>
    </row>
  </sheetData>
  <mergeCells count="3">
    <mergeCell ref="AF15:AH15"/>
    <mergeCell ref="AF30:AH30"/>
    <mergeCell ref="AF45:AH4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50842-B6F8-41FD-8BE3-DAB7E84EBDF4}">
  <dimension ref="B2:AJ100"/>
  <sheetViews>
    <sheetView workbookViewId="0">
      <selection activeCell="O34" sqref="O34"/>
    </sheetView>
  </sheetViews>
  <sheetFormatPr defaultRowHeight="15" x14ac:dyDescent="0.25"/>
  <cols>
    <col min="1" max="1" width="4.28515625" customWidth="1"/>
    <col min="2" max="2" width="14.42578125" bestFit="1" customWidth="1"/>
    <col min="3" max="3" width="27.28515625" bestFit="1" customWidth="1"/>
    <col min="4" max="4" width="15.28515625" bestFit="1" customWidth="1"/>
    <col min="5" max="5" width="6.85546875" bestFit="1" customWidth="1"/>
    <col min="6" max="6" width="11.7109375" bestFit="1" customWidth="1"/>
    <col min="7" max="7" width="14.85546875" bestFit="1" customWidth="1"/>
    <col min="9" max="9" width="7.42578125" bestFit="1" customWidth="1"/>
    <col min="10" max="10" width="14.85546875" bestFit="1" customWidth="1"/>
    <col min="12" max="12" width="7.42578125" bestFit="1" customWidth="1"/>
    <col min="13" max="13" width="14.7109375" bestFit="1" customWidth="1"/>
    <col min="14" max="14" width="9.140625" bestFit="1" customWidth="1"/>
    <col min="15" max="15" width="7.42578125" bestFit="1" customWidth="1"/>
    <col min="16" max="16" width="10.7109375" bestFit="1" customWidth="1"/>
    <col min="17" max="17" width="24.140625" bestFit="1" customWidth="1"/>
    <col min="18" max="18" width="14.28515625" bestFit="1" customWidth="1"/>
    <col min="19" max="19" width="30.28515625" bestFit="1" customWidth="1"/>
    <col min="20" max="20" width="16.140625" customWidth="1"/>
    <col min="21" max="21" width="4.28515625" customWidth="1"/>
    <col min="22" max="22" width="6.85546875" style="1" bestFit="1" customWidth="1"/>
    <col min="23" max="23" width="7" bestFit="1" customWidth="1"/>
    <col min="24" max="24" width="30.42578125" bestFit="1" customWidth="1"/>
    <col min="25" max="25" width="15.28515625" bestFit="1" customWidth="1"/>
    <col min="26" max="26" width="6" bestFit="1" customWidth="1"/>
    <col min="27" max="27" width="7" bestFit="1" customWidth="1"/>
    <col min="28" max="28" width="4.28515625" customWidth="1"/>
    <col min="29" max="29" width="32" bestFit="1" customWidth="1"/>
    <col min="31" max="31" width="4.28515625" customWidth="1"/>
    <col min="32" max="32" width="7" bestFit="1" customWidth="1"/>
    <col min="33" max="33" width="23" bestFit="1" customWidth="1"/>
    <col min="34" max="34" width="15.28515625" bestFit="1" customWidth="1"/>
    <col min="35" max="35" width="6" bestFit="1" customWidth="1"/>
    <col min="36" max="36" width="7" bestFit="1" customWidth="1"/>
  </cols>
  <sheetData>
    <row r="2" spans="2:36" ht="15.75" thickBot="1" x14ac:dyDescent="0.3">
      <c r="B2" t="s">
        <v>52</v>
      </c>
      <c r="C2" t="s">
        <v>21</v>
      </c>
      <c r="H2" s="35"/>
      <c r="K2" s="35"/>
      <c r="AC2" t="s">
        <v>58</v>
      </c>
      <c r="AF2" s="6" t="s">
        <v>8</v>
      </c>
      <c r="AG2" s="6">
        <f>Dashboard!E32</f>
        <v>9</v>
      </c>
    </row>
    <row r="3" spans="2:36" ht="15.75" thickBot="1" x14ac:dyDescent="0.3">
      <c r="B3" s="28" t="s">
        <v>5</v>
      </c>
      <c r="C3" s="29" t="s">
        <v>6</v>
      </c>
      <c r="D3" s="29" t="s">
        <v>7</v>
      </c>
      <c r="E3" s="29" t="s">
        <v>8</v>
      </c>
      <c r="F3" s="29" t="s">
        <v>9</v>
      </c>
      <c r="G3" s="29" t="s">
        <v>10</v>
      </c>
      <c r="H3" s="36" t="s">
        <v>11</v>
      </c>
      <c r="I3" s="29" t="s">
        <v>12</v>
      </c>
      <c r="J3" s="29" t="s">
        <v>13</v>
      </c>
      <c r="K3" s="36" t="s">
        <v>14</v>
      </c>
      <c r="L3" s="29" t="s">
        <v>15</v>
      </c>
      <c r="M3" s="29" t="s">
        <v>68</v>
      </c>
      <c r="N3" s="29" t="s">
        <v>69</v>
      </c>
      <c r="O3" s="29" t="s">
        <v>70</v>
      </c>
      <c r="P3" s="29" t="s">
        <v>76</v>
      </c>
      <c r="Q3" s="29" t="s">
        <v>67</v>
      </c>
      <c r="R3" s="29" t="s">
        <v>66</v>
      </c>
      <c r="S3" s="29" t="s">
        <v>16</v>
      </c>
      <c r="T3" s="30" t="s">
        <v>17</v>
      </c>
      <c r="V3" s="95" t="s">
        <v>8</v>
      </c>
      <c r="W3" s="29" t="s">
        <v>59</v>
      </c>
      <c r="X3" s="29" t="s">
        <v>35</v>
      </c>
      <c r="Y3" s="29" t="s">
        <v>7</v>
      </c>
      <c r="Z3" s="29" t="s">
        <v>60</v>
      </c>
      <c r="AA3" s="30" t="s">
        <v>16</v>
      </c>
      <c r="AC3" s="26" t="s">
        <v>16</v>
      </c>
      <c r="AD3" s="27" t="s">
        <v>61</v>
      </c>
      <c r="AF3" s="26" t="s">
        <v>59</v>
      </c>
      <c r="AG3" s="79" t="s">
        <v>35</v>
      </c>
      <c r="AH3" s="79" t="s">
        <v>7</v>
      </c>
      <c r="AI3" s="79" t="s">
        <v>60</v>
      </c>
      <c r="AJ3" s="27" t="s">
        <v>16</v>
      </c>
    </row>
    <row r="4" spans="2:36" x14ac:dyDescent="0.25">
      <c r="B4" s="18" t="e" cm="1" vm="1">
        <f t="array" ref="B4">_xlfn._xlws.FILTER('Ber. Planning Totaal'!B4:T1000,('Ber. Planning Totaal'!G4:G1000=C2)+('Ber. Planning Totaal'!J4:J1000=C2)+('Ber. Planning Totaal'!M4:M1000=C2))</f>
        <v>#VALUE!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20"/>
      <c r="V4" s="76" t="str">
        <f>IF(E4="","",E4)</f>
        <v/>
      </c>
      <c r="W4" s="19" t="e" vm="2">
        <f>IF(B4="","",B4)</f>
        <v>#VALUE!</v>
      </c>
      <c r="X4" s="19" t="e" vm="2">
        <f>IF(B4="","",C4)</f>
        <v>#VALUE!</v>
      </c>
      <c r="Y4" s="19" t="e" vm="2">
        <f>IF(B4="","",D4)</f>
        <v>#VALUE!</v>
      </c>
      <c r="Z4" s="82" t="e" vm="2">
        <f t="shared" ref="Z4:Z67" si="0">IF(B4="","",IF(G4=$C$2,I4,L4))</f>
        <v>#VALUE!</v>
      </c>
      <c r="AA4" s="52" t="e" vm="2">
        <f>IF(B4="","",VLOOKUP(S4,$AC$3:$AD$14,2,FALSE))</f>
        <v>#VALUE!</v>
      </c>
      <c r="AC4" s="24" t="s">
        <v>29</v>
      </c>
      <c r="AD4" s="25">
        <v>1</v>
      </c>
      <c r="AF4" s="18" t="str" cm="1">
        <f t="array" ref="AF4">_xlfn._xlws.FILTER($W$4:$AA$100,$V$4:$V$100=AG2,"")</f>
        <v/>
      </c>
      <c r="AG4" s="19"/>
      <c r="AH4" s="19"/>
      <c r="AI4" s="82"/>
      <c r="AJ4" s="52"/>
    </row>
    <row r="5" spans="2:36" x14ac:dyDescent="0.25">
      <c r="B5" s="21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22"/>
      <c r="V5" s="91" t="str">
        <f t="shared" ref="V5:V68" si="1">IF(E5="","",E5)</f>
        <v/>
      </c>
      <c r="W5" s="17" t="str">
        <f t="shared" ref="W5:W68" si="2">IF(B5="","",B5)</f>
        <v/>
      </c>
      <c r="X5" s="17" t="str">
        <f t="shared" ref="X5:X68" si="3">IF(B5="","",C5)</f>
        <v/>
      </c>
      <c r="Y5" s="17" t="str">
        <f t="shared" ref="Y5:Y68" si="4">IF(B5="","",D5)</f>
        <v/>
      </c>
      <c r="Z5" s="77" t="str">
        <f t="shared" si="0"/>
        <v/>
      </c>
      <c r="AA5" s="53" t="str">
        <f t="shared" ref="AA5:AA68" si="5">IF(B5="","",VLOOKUP(S5,$AC$3:$AD$14,2,FALSE))</f>
        <v/>
      </c>
      <c r="AC5" s="21" t="s">
        <v>39</v>
      </c>
      <c r="AD5" s="22">
        <v>2</v>
      </c>
      <c r="AF5" s="21"/>
      <c r="AG5" s="17"/>
      <c r="AH5" s="17"/>
      <c r="AI5" s="77"/>
      <c r="AJ5" s="53"/>
    </row>
    <row r="6" spans="2:36" x14ac:dyDescent="0.25">
      <c r="B6" s="21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22"/>
      <c r="V6" s="91" t="str">
        <f t="shared" si="1"/>
        <v/>
      </c>
      <c r="W6" s="17" t="str">
        <f t="shared" si="2"/>
        <v/>
      </c>
      <c r="X6" s="17" t="str">
        <f t="shared" si="3"/>
        <v/>
      </c>
      <c r="Y6" s="17" t="str">
        <f t="shared" si="4"/>
        <v/>
      </c>
      <c r="Z6" s="77" t="str">
        <f t="shared" si="0"/>
        <v/>
      </c>
      <c r="AA6" s="53" t="str">
        <f t="shared" si="5"/>
        <v/>
      </c>
      <c r="AC6" s="21" t="s">
        <v>28</v>
      </c>
      <c r="AD6" s="22">
        <v>3</v>
      </c>
      <c r="AF6" s="21"/>
      <c r="AG6" s="17"/>
      <c r="AH6" s="17"/>
      <c r="AI6" s="77"/>
      <c r="AJ6" s="53"/>
    </row>
    <row r="7" spans="2:36" x14ac:dyDescent="0.25">
      <c r="B7" s="21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22"/>
      <c r="V7" s="91" t="str">
        <f t="shared" si="1"/>
        <v/>
      </c>
      <c r="W7" s="17" t="str">
        <f t="shared" si="2"/>
        <v/>
      </c>
      <c r="X7" s="17" t="str">
        <f t="shared" si="3"/>
        <v/>
      </c>
      <c r="Y7" s="17" t="str">
        <f t="shared" si="4"/>
        <v/>
      </c>
      <c r="Z7" s="77" t="str">
        <f t="shared" si="0"/>
        <v/>
      </c>
      <c r="AA7" s="53" t="str">
        <f t="shared" si="5"/>
        <v/>
      </c>
      <c r="AC7" s="21" t="s">
        <v>26</v>
      </c>
      <c r="AD7" s="22">
        <v>4</v>
      </c>
      <c r="AF7" s="21"/>
      <c r="AG7" s="17"/>
      <c r="AH7" s="17"/>
      <c r="AI7" s="77"/>
      <c r="AJ7" s="53"/>
    </row>
    <row r="8" spans="2:36" x14ac:dyDescent="0.25">
      <c r="B8" s="21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22"/>
      <c r="V8" s="91" t="str">
        <f t="shared" si="1"/>
        <v/>
      </c>
      <c r="W8" s="17" t="str">
        <f t="shared" si="2"/>
        <v/>
      </c>
      <c r="X8" s="17" t="str">
        <f t="shared" si="3"/>
        <v/>
      </c>
      <c r="Y8" s="17" t="str">
        <f t="shared" si="4"/>
        <v/>
      </c>
      <c r="Z8" s="77" t="str">
        <f t="shared" si="0"/>
        <v/>
      </c>
      <c r="AA8" s="53" t="str">
        <f t="shared" si="5"/>
        <v/>
      </c>
      <c r="AC8" s="21" t="s">
        <v>40</v>
      </c>
      <c r="AD8" s="22">
        <v>5</v>
      </c>
      <c r="AF8" s="21"/>
      <c r="AG8" s="17"/>
      <c r="AH8" s="17"/>
      <c r="AI8" s="77"/>
      <c r="AJ8" s="53"/>
    </row>
    <row r="9" spans="2:36" x14ac:dyDescent="0.25">
      <c r="B9" s="21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22"/>
      <c r="V9" s="91" t="str">
        <f t="shared" si="1"/>
        <v/>
      </c>
      <c r="W9" s="17" t="str">
        <f t="shared" si="2"/>
        <v/>
      </c>
      <c r="X9" s="17" t="str">
        <f t="shared" si="3"/>
        <v/>
      </c>
      <c r="Y9" s="17" t="str">
        <f t="shared" si="4"/>
        <v/>
      </c>
      <c r="Z9" s="77" t="str">
        <f t="shared" si="0"/>
        <v/>
      </c>
      <c r="AA9" s="53" t="str">
        <f t="shared" si="5"/>
        <v/>
      </c>
      <c r="AC9" s="21" t="s">
        <v>27</v>
      </c>
      <c r="AD9" s="22">
        <v>6</v>
      </c>
      <c r="AF9" s="21"/>
      <c r="AG9" s="17"/>
      <c r="AH9" s="17"/>
      <c r="AI9" s="77"/>
      <c r="AJ9" s="53"/>
    </row>
    <row r="10" spans="2:36" x14ac:dyDescent="0.25">
      <c r="B10" s="21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22"/>
      <c r="V10" s="91" t="str">
        <f t="shared" si="1"/>
        <v/>
      </c>
      <c r="W10" s="17" t="str">
        <f t="shared" si="2"/>
        <v/>
      </c>
      <c r="X10" s="17" t="str">
        <f t="shared" si="3"/>
        <v/>
      </c>
      <c r="Y10" s="17" t="str">
        <f t="shared" si="4"/>
        <v/>
      </c>
      <c r="Z10" s="77" t="str">
        <f t="shared" si="0"/>
        <v/>
      </c>
      <c r="AA10" s="53" t="str">
        <f t="shared" si="5"/>
        <v/>
      </c>
      <c r="AC10" s="21" t="s">
        <v>32</v>
      </c>
      <c r="AD10" s="22">
        <v>7</v>
      </c>
      <c r="AF10" s="21"/>
      <c r="AG10" s="17"/>
      <c r="AH10" s="17"/>
      <c r="AI10" s="77"/>
      <c r="AJ10" s="53"/>
    </row>
    <row r="11" spans="2:36" x14ac:dyDescent="0.25">
      <c r="B11" s="21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22"/>
      <c r="V11" s="91" t="str">
        <f t="shared" si="1"/>
        <v/>
      </c>
      <c r="W11" s="17" t="str">
        <f t="shared" si="2"/>
        <v/>
      </c>
      <c r="X11" s="17" t="str">
        <f t="shared" si="3"/>
        <v/>
      </c>
      <c r="Y11" s="17" t="str">
        <f t="shared" si="4"/>
        <v/>
      </c>
      <c r="Z11" s="77" t="str">
        <f t="shared" si="0"/>
        <v/>
      </c>
      <c r="AA11" s="53" t="str">
        <f t="shared" si="5"/>
        <v/>
      </c>
      <c r="AC11" s="21" t="s">
        <v>41</v>
      </c>
      <c r="AD11" s="22">
        <v>8</v>
      </c>
      <c r="AF11" s="21"/>
      <c r="AG11" s="17"/>
      <c r="AH11" s="17"/>
      <c r="AI11" s="77"/>
      <c r="AJ11" s="53"/>
    </row>
    <row r="12" spans="2:36" x14ac:dyDescent="0.25">
      <c r="B12" s="21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22"/>
      <c r="V12" s="91" t="str">
        <f t="shared" si="1"/>
        <v/>
      </c>
      <c r="W12" s="17" t="str">
        <f t="shared" si="2"/>
        <v/>
      </c>
      <c r="X12" s="17" t="str">
        <f t="shared" si="3"/>
        <v/>
      </c>
      <c r="Y12" s="17" t="str">
        <f t="shared" si="4"/>
        <v/>
      </c>
      <c r="Z12" s="77" t="str">
        <f t="shared" si="0"/>
        <v/>
      </c>
      <c r="AA12" s="53" t="str">
        <f t="shared" si="5"/>
        <v/>
      </c>
      <c r="AC12" s="21" t="s">
        <v>43</v>
      </c>
      <c r="AD12" s="22">
        <v>9</v>
      </c>
      <c r="AF12" s="21"/>
      <c r="AG12" s="17"/>
      <c r="AH12" s="17"/>
      <c r="AI12" s="77"/>
      <c r="AJ12" s="53"/>
    </row>
    <row r="13" spans="2:36" x14ac:dyDescent="0.25">
      <c r="B13" s="21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22"/>
      <c r="V13" s="91" t="str">
        <f t="shared" si="1"/>
        <v/>
      </c>
      <c r="W13" s="17" t="str">
        <f t="shared" si="2"/>
        <v/>
      </c>
      <c r="X13" s="17" t="str">
        <f t="shared" si="3"/>
        <v/>
      </c>
      <c r="Y13" s="17" t="str">
        <f t="shared" si="4"/>
        <v/>
      </c>
      <c r="Z13" s="77" t="str">
        <f t="shared" si="0"/>
        <v/>
      </c>
      <c r="AA13" s="53" t="str">
        <f t="shared" si="5"/>
        <v/>
      </c>
      <c r="AC13" s="21" t="s">
        <v>19</v>
      </c>
      <c r="AD13" s="22">
        <v>10</v>
      </c>
      <c r="AF13" s="21"/>
      <c r="AG13" s="17"/>
      <c r="AH13" s="17"/>
      <c r="AI13" s="77"/>
      <c r="AJ13" s="53"/>
    </row>
    <row r="14" spans="2:36" ht="15.75" thickBot="1" x14ac:dyDescent="0.3">
      <c r="B14" s="21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22"/>
      <c r="V14" s="91" t="str">
        <f t="shared" si="1"/>
        <v/>
      </c>
      <c r="W14" s="17" t="str">
        <f t="shared" si="2"/>
        <v/>
      </c>
      <c r="X14" s="17" t="str">
        <f t="shared" si="3"/>
        <v/>
      </c>
      <c r="Y14" s="17" t="str">
        <f t="shared" si="4"/>
        <v/>
      </c>
      <c r="Z14" s="77" t="str">
        <f t="shared" si="0"/>
        <v/>
      </c>
      <c r="AA14" s="53" t="str">
        <f t="shared" si="5"/>
        <v/>
      </c>
      <c r="AC14" s="2" t="s">
        <v>49</v>
      </c>
      <c r="AD14" s="96" t="s">
        <v>62</v>
      </c>
      <c r="AF14" s="45"/>
      <c r="AG14" s="75"/>
      <c r="AH14" s="75"/>
      <c r="AI14" s="94"/>
      <c r="AJ14" s="54"/>
    </row>
    <row r="15" spans="2:36" ht="15.75" thickBot="1" x14ac:dyDescent="0.3">
      <c r="B15" s="21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22"/>
      <c r="V15" s="91" t="str">
        <f t="shared" si="1"/>
        <v/>
      </c>
      <c r="W15" s="17" t="str">
        <f t="shared" si="2"/>
        <v/>
      </c>
      <c r="X15" s="17" t="str">
        <f t="shared" si="3"/>
        <v/>
      </c>
      <c r="Y15" s="17" t="str">
        <f t="shared" si="4"/>
        <v/>
      </c>
      <c r="Z15" s="77" t="str">
        <f t="shared" si="0"/>
        <v/>
      </c>
      <c r="AA15" s="53" t="str">
        <f t="shared" si="5"/>
        <v/>
      </c>
      <c r="AF15" s="303" t="s">
        <v>63</v>
      </c>
      <c r="AG15" s="304"/>
      <c r="AH15" s="304"/>
      <c r="AI15" s="93">
        <f>SUM(AI4:AI14)</f>
        <v>0</v>
      </c>
      <c r="AJ15" s="46"/>
    </row>
    <row r="16" spans="2:36" x14ac:dyDescent="0.25">
      <c r="B16" s="21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22"/>
      <c r="V16" s="91" t="str">
        <f t="shared" si="1"/>
        <v/>
      </c>
      <c r="W16" s="17" t="str">
        <f t="shared" si="2"/>
        <v/>
      </c>
      <c r="X16" s="17" t="str">
        <f t="shared" si="3"/>
        <v/>
      </c>
      <c r="Y16" s="17" t="str">
        <f t="shared" si="4"/>
        <v/>
      </c>
      <c r="Z16" s="77" t="str">
        <f t="shared" si="0"/>
        <v/>
      </c>
      <c r="AA16" s="53" t="str">
        <f t="shared" si="5"/>
        <v/>
      </c>
    </row>
    <row r="17" spans="2:36" ht="15.75" thickBot="1" x14ac:dyDescent="0.3">
      <c r="B17" s="21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22"/>
      <c r="V17" s="91" t="str">
        <f t="shared" si="1"/>
        <v/>
      </c>
      <c r="W17" s="17" t="str">
        <f t="shared" si="2"/>
        <v/>
      </c>
      <c r="X17" s="17" t="str">
        <f t="shared" si="3"/>
        <v/>
      </c>
      <c r="Y17" s="17" t="str">
        <f t="shared" si="4"/>
        <v/>
      </c>
      <c r="Z17" s="77" t="str">
        <f t="shared" si="0"/>
        <v/>
      </c>
      <c r="AA17" s="53" t="str">
        <f t="shared" si="5"/>
        <v/>
      </c>
      <c r="AF17" t="s">
        <v>8</v>
      </c>
      <c r="AG17" s="6">
        <f>Dashboard!U32</f>
        <v>10</v>
      </c>
    </row>
    <row r="18" spans="2:36" ht="15.75" thickBot="1" x14ac:dyDescent="0.3">
      <c r="B18" s="21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22"/>
      <c r="V18" s="91" t="str">
        <f t="shared" si="1"/>
        <v/>
      </c>
      <c r="W18" s="17" t="str">
        <f t="shared" si="2"/>
        <v/>
      </c>
      <c r="X18" s="17" t="str">
        <f t="shared" si="3"/>
        <v/>
      </c>
      <c r="Y18" s="17" t="str">
        <f t="shared" si="4"/>
        <v/>
      </c>
      <c r="Z18" s="77" t="str">
        <f t="shared" si="0"/>
        <v/>
      </c>
      <c r="AA18" s="53" t="str">
        <f t="shared" si="5"/>
        <v/>
      </c>
      <c r="AF18" s="26" t="s">
        <v>59</v>
      </c>
      <c r="AG18" s="79" t="s">
        <v>35</v>
      </c>
      <c r="AH18" s="79" t="s">
        <v>7</v>
      </c>
      <c r="AI18" s="79" t="s">
        <v>60</v>
      </c>
      <c r="AJ18" s="27" t="s">
        <v>16</v>
      </c>
    </row>
    <row r="19" spans="2:36" x14ac:dyDescent="0.25">
      <c r="B19" s="21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22"/>
      <c r="V19" s="91" t="str">
        <f t="shared" si="1"/>
        <v/>
      </c>
      <c r="W19" s="17" t="str">
        <f t="shared" si="2"/>
        <v/>
      </c>
      <c r="X19" s="17" t="str">
        <f t="shared" si="3"/>
        <v/>
      </c>
      <c r="Y19" s="17" t="str">
        <f t="shared" si="4"/>
        <v/>
      </c>
      <c r="Z19" s="77" t="str">
        <f t="shared" si="0"/>
        <v/>
      </c>
      <c r="AA19" s="53" t="str">
        <f t="shared" si="5"/>
        <v/>
      </c>
      <c r="AF19" s="18" t="str" cm="1">
        <f t="array" ref="AF19">_xlfn._xlws.FILTER($W$4:$AA$100,$V$4:$V$100=AG17,"")</f>
        <v/>
      </c>
      <c r="AG19" s="19"/>
      <c r="AH19" s="19"/>
      <c r="AI19" s="82"/>
      <c r="AJ19" s="52"/>
    </row>
    <row r="20" spans="2:36" x14ac:dyDescent="0.25">
      <c r="B20" s="21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22"/>
      <c r="V20" s="91" t="str">
        <f t="shared" si="1"/>
        <v/>
      </c>
      <c r="W20" s="17" t="str">
        <f t="shared" si="2"/>
        <v/>
      </c>
      <c r="X20" s="17" t="str">
        <f t="shared" si="3"/>
        <v/>
      </c>
      <c r="Y20" s="17" t="str">
        <f t="shared" si="4"/>
        <v/>
      </c>
      <c r="Z20" s="77" t="str">
        <f t="shared" si="0"/>
        <v/>
      </c>
      <c r="AA20" s="53" t="str">
        <f t="shared" si="5"/>
        <v/>
      </c>
      <c r="AF20" s="21"/>
      <c r="AG20" s="17"/>
      <c r="AH20" s="17"/>
      <c r="AI20" s="77"/>
      <c r="AJ20" s="53"/>
    </row>
    <row r="21" spans="2:36" x14ac:dyDescent="0.25">
      <c r="B21" s="21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22"/>
      <c r="V21" s="91" t="str">
        <f t="shared" si="1"/>
        <v/>
      </c>
      <c r="W21" s="17" t="str">
        <f t="shared" si="2"/>
        <v/>
      </c>
      <c r="X21" s="17" t="str">
        <f t="shared" si="3"/>
        <v/>
      </c>
      <c r="Y21" s="17" t="str">
        <f t="shared" si="4"/>
        <v/>
      </c>
      <c r="Z21" s="77" t="str">
        <f t="shared" si="0"/>
        <v/>
      </c>
      <c r="AA21" s="53" t="str">
        <f t="shared" si="5"/>
        <v/>
      </c>
      <c r="AF21" s="21"/>
      <c r="AG21" s="17"/>
      <c r="AH21" s="17"/>
      <c r="AI21" s="77"/>
      <c r="AJ21" s="53"/>
    </row>
    <row r="22" spans="2:36" x14ac:dyDescent="0.25">
      <c r="B22" s="21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22"/>
      <c r="V22" s="91" t="str">
        <f t="shared" si="1"/>
        <v/>
      </c>
      <c r="W22" s="17" t="str">
        <f t="shared" si="2"/>
        <v/>
      </c>
      <c r="X22" s="17" t="str">
        <f t="shared" si="3"/>
        <v/>
      </c>
      <c r="Y22" s="17" t="str">
        <f t="shared" si="4"/>
        <v/>
      </c>
      <c r="Z22" s="77" t="str">
        <f t="shared" si="0"/>
        <v/>
      </c>
      <c r="AA22" s="53" t="str">
        <f t="shared" si="5"/>
        <v/>
      </c>
      <c r="AF22" s="21"/>
      <c r="AG22" s="17"/>
      <c r="AH22" s="17"/>
      <c r="AI22" s="77"/>
      <c r="AJ22" s="53"/>
    </row>
    <row r="23" spans="2:36" x14ac:dyDescent="0.25">
      <c r="B23" s="21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22"/>
      <c r="V23" s="91" t="str">
        <f t="shared" si="1"/>
        <v/>
      </c>
      <c r="W23" s="17" t="str">
        <f t="shared" si="2"/>
        <v/>
      </c>
      <c r="X23" s="17" t="str">
        <f t="shared" si="3"/>
        <v/>
      </c>
      <c r="Y23" s="17" t="str">
        <f t="shared" si="4"/>
        <v/>
      </c>
      <c r="Z23" s="77" t="str">
        <f t="shared" si="0"/>
        <v/>
      </c>
      <c r="AA23" s="53" t="str">
        <f t="shared" si="5"/>
        <v/>
      </c>
      <c r="AF23" s="21"/>
      <c r="AG23" s="17"/>
      <c r="AH23" s="17"/>
      <c r="AI23" s="77"/>
      <c r="AJ23" s="53"/>
    </row>
    <row r="24" spans="2:36" x14ac:dyDescent="0.25">
      <c r="B24" s="21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22"/>
      <c r="V24" s="91" t="str">
        <f t="shared" si="1"/>
        <v/>
      </c>
      <c r="W24" s="17" t="str">
        <f t="shared" si="2"/>
        <v/>
      </c>
      <c r="X24" s="17" t="str">
        <f t="shared" si="3"/>
        <v/>
      </c>
      <c r="Y24" s="17" t="str">
        <f t="shared" si="4"/>
        <v/>
      </c>
      <c r="Z24" s="77" t="str">
        <f t="shared" si="0"/>
        <v/>
      </c>
      <c r="AA24" s="53" t="str">
        <f t="shared" si="5"/>
        <v/>
      </c>
      <c r="AF24" s="21"/>
      <c r="AG24" s="17"/>
      <c r="AH24" s="17"/>
      <c r="AI24" s="77"/>
      <c r="AJ24" s="53"/>
    </row>
    <row r="25" spans="2:36" x14ac:dyDescent="0.25">
      <c r="B25" s="21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22"/>
      <c r="V25" s="91" t="str">
        <f t="shared" si="1"/>
        <v/>
      </c>
      <c r="W25" s="17" t="str">
        <f t="shared" si="2"/>
        <v/>
      </c>
      <c r="X25" s="17" t="str">
        <f t="shared" si="3"/>
        <v/>
      </c>
      <c r="Y25" s="17" t="str">
        <f t="shared" si="4"/>
        <v/>
      </c>
      <c r="Z25" s="77" t="str">
        <f t="shared" si="0"/>
        <v/>
      </c>
      <c r="AA25" s="53" t="str">
        <f t="shared" si="5"/>
        <v/>
      </c>
      <c r="AF25" s="21"/>
      <c r="AG25" s="17"/>
      <c r="AH25" s="17"/>
      <c r="AI25" s="77"/>
      <c r="AJ25" s="53"/>
    </row>
    <row r="26" spans="2:36" x14ac:dyDescent="0.25">
      <c r="B26" s="21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22"/>
      <c r="V26" s="91" t="str">
        <f t="shared" si="1"/>
        <v/>
      </c>
      <c r="W26" s="17" t="str">
        <f t="shared" si="2"/>
        <v/>
      </c>
      <c r="X26" s="17" t="str">
        <f t="shared" si="3"/>
        <v/>
      </c>
      <c r="Y26" s="17" t="str">
        <f t="shared" si="4"/>
        <v/>
      </c>
      <c r="Z26" s="77" t="str">
        <f t="shared" si="0"/>
        <v/>
      </c>
      <c r="AA26" s="53" t="str">
        <f t="shared" si="5"/>
        <v/>
      </c>
      <c r="AF26" s="21"/>
      <c r="AG26" s="17"/>
      <c r="AH26" s="17"/>
      <c r="AI26" s="77"/>
      <c r="AJ26" s="53"/>
    </row>
    <row r="27" spans="2:36" x14ac:dyDescent="0.25">
      <c r="B27" s="21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22"/>
      <c r="V27" s="91" t="str">
        <f t="shared" si="1"/>
        <v/>
      </c>
      <c r="W27" s="17" t="str">
        <f t="shared" si="2"/>
        <v/>
      </c>
      <c r="X27" s="17" t="str">
        <f t="shared" si="3"/>
        <v/>
      </c>
      <c r="Y27" s="17" t="str">
        <f t="shared" si="4"/>
        <v/>
      </c>
      <c r="Z27" s="77" t="str">
        <f t="shared" si="0"/>
        <v/>
      </c>
      <c r="AA27" s="53" t="str">
        <f t="shared" si="5"/>
        <v/>
      </c>
      <c r="AF27" s="21"/>
      <c r="AG27" s="17"/>
      <c r="AH27" s="17"/>
      <c r="AI27" s="77"/>
      <c r="AJ27" s="53"/>
    </row>
    <row r="28" spans="2:36" x14ac:dyDescent="0.25">
      <c r="B28" s="21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22"/>
      <c r="V28" s="91" t="str">
        <f t="shared" si="1"/>
        <v/>
      </c>
      <c r="W28" s="17" t="str">
        <f t="shared" si="2"/>
        <v/>
      </c>
      <c r="X28" s="17" t="str">
        <f t="shared" si="3"/>
        <v/>
      </c>
      <c r="Y28" s="17" t="str">
        <f t="shared" si="4"/>
        <v/>
      </c>
      <c r="Z28" s="77" t="str">
        <f t="shared" si="0"/>
        <v/>
      </c>
      <c r="AA28" s="53" t="str">
        <f t="shared" si="5"/>
        <v/>
      </c>
      <c r="AF28" s="21"/>
      <c r="AG28" s="17"/>
      <c r="AH28" s="17"/>
      <c r="AI28" s="77"/>
      <c r="AJ28" s="53"/>
    </row>
    <row r="29" spans="2:36" ht="15.75" thickBot="1" x14ac:dyDescent="0.3">
      <c r="B29" s="21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22"/>
      <c r="V29" s="91" t="str">
        <f t="shared" si="1"/>
        <v/>
      </c>
      <c r="W29" s="17" t="str">
        <f t="shared" si="2"/>
        <v/>
      </c>
      <c r="X29" s="17" t="str">
        <f t="shared" si="3"/>
        <v/>
      </c>
      <c r="Y29" s="17" t="str">
        <f t="shared" si="4"/>
        <v/>
      </c>
      <c r="Z29" s="77" t="str">
        <f t="shared" si="0"/>
        <v/>
      </c>
      <c r="AA29" s="53" t="str">
        <f t="shared" si="5"/>
        <v/>
      </c>
      <c r="AF29" s="45"/>
      <c r="AG29" s="75"/>
      <c r="AH29" s="75"/>
      <c r="AI29" s="94"/>
      <c r="AJ29" s="54"/>
    </row>
    <row r="30" spans="2:36" ht="15.75" thickBot="1" x14ac:dyDescent="0.3">
      <c r="B30" s="21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22"/>
      <c r="V30" s="91" t="str">
        <f t="shared" si="1"/>
        <v/>
      </c>
      <c r="W30" s="17" t="str">
        <f t="shared" si="2"/>
        <v/>
      </c>
      <c r="X30" s="17" t="str">
        <f t="shared" si="3"/>
        <v/>
      </c>
      <c r="Y30" s="17" t="str">
        <f t="shared" si="4"/>
        <v/>
      </c>
      <c r="Z30" s="77" t="str">
        <f t="shared" si="0"/>
        <v/>
      </c>
      <c r="AA30" s="53" t="str">
        <f t="shared" si="5"/>
        <v/>
      </c>
      <c r="AF30" s="303" t="s">
        <v>63</v>
      </c>
      <c r="AG30" s="304"/>
      <c r="AH30" s="304"/>
      <c r="AI30" s="93">
        <f>SUM(AI19:AI29)</f>
        <v>0</v>
      </c>
      <c r="AJ30" s="46"/>
    </row>
    <row r="31" spans="2:36" x14ac:dyDescent="0.25">
      <c r="B31" s="21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22"/>
      <c r="V31" s="91" t="str">
        <f t="shared" si="1"/>
        <v/>
      </c>
      <c r="W31" s="17" t="str">
        <f t="shared" si="2"/>
        <v/>
      </c>
      <c r="X31" s="17" t="str">
        <f t="shared" si="3"/>
        <v/>
      </c>
      <c r="Y31" s="17" t="str">
        <f t="shared" si="4"/>
        <v/>
      </c>
      <c r="Z31" s="77" t="str">
        <f t="shared" si="0"/>
        <v/>
      </c>
      <c r="AA31" s="53" t="str">
        <f t="shared" si="5"/>
        <v/>
      </c>
    </row>
    <row r="32" spans="2:36" ht="15.75" thickBot="1" x14ac:dyDescent="0.3">
      <c r="B32" s="21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22"/>
      <c r="V32" s="91" t="str">
        <f t="shared" si="1"/>
        <v/>
      </c>
      <c r="W32" s="17" t="str">
        <f t="shared" si="2"/>
        <v/>
      </c>
      <c r="X32" s="17" t="str">
        <f t="shared" si="3"/>
        <v/>
      </c>
      <c r="Y32" s="17" t="str">
        <f t="shared" si="4"/>
        <v/>
      </c>
      <c r="Z32" s="77" t="str">
        <f t="shared" si="0"/>
        <v/>
      </c>
      <c r="AA32" s="53" t="str">
        <f t="shared" si="5"/>
        <v/>
      </c>
      <c r="AF32" t="s">
        <v>8</v>
      </c>
      <c r="AG32" s="6">
        <f>Dashboard!AN32</f>
        <v>11</v>
      </c>
    </row>
    <row r="33" spans="2:36" ht="15.75" thickBot="1" x14ac:dyDescent="0.3">
      <c r="B33" s="21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22"/>
      <c r="V33" s="91" t="str">
        <f t="shared" si="1"/>
        <v/>
      </c>
      <c r="W33" s="17" t="str">
        <f t="shared" si="2"/>
        <v/>
      </c>
      <c r="X33" s="17" t="str">
        <f t="shared" si="3"/>
        <v/>
      </c>
      <c r="Y33" s="17" t="str">
        <f t="shared" si="4"/>
        <v/>
      </c>
      <c r="Z33" s="77" t="str">
        <f t="shared" si="0"/>
        <v/>
      </c>
      <c r="AA33" s="53" t="str">
        <f t="shared" si="5"/>
        <v/>
      </c>
      <c r="AF33" s="26" t="s">
        <v>59</v>
      </c>
      <c r="AG33" s="79" t="s">
        <v>35</v>
      </c>
      <c r="AH33" s="79" t="s">
        <v>7</v>
      </c>
      <c r="AI33" s="79" t="s">
        <v>60</v>
      </c>
      <c r="AJ33" s="27" t="s">
        <v>16</v>
      </c>
    </row>
    <row r="34" spans="2:36" x14ac:dyDescent="0.25">
      <c r="B34" s="21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22"/>
      <c r="V34" s="91" t="str">
        <f t="shared" si="1"/>
        <v/>
      </c>
      <c r="W34" s="17" t="str">
        <f t="shared" si="2"/>
        <v/>
      </c>
      <c r="X34" s="17" t="str">
        <f t="shared" si="3"/>
        <v/>
      </c>
      <c r="Y34" s="17" t="str">
        <f t="shared" si="4"/>
        <v/>
      </c>
      <c r="Z34" s="77" t="str">
        <f t="shared" si="0"/>
        <v/>
      </c>
      <c r="AA34" s="53" t="str">
        <f t="shared" si="5"/>
        <v/>
      </c>
      <c r="AF34" s="18" t="str" cm="1">
        <f t="array" ref="AF34">_xlfn._xlws.FILTER($W$4:$AA$100,$V$4:$V$100=AG32,"")</f>
        <v/>
      </c>
      <c r="AG34" s="19"/>
      <c r="AH34" s="19"/>
      <c r="AI34" s="82"/>
      <c r="AJ34" s="52"/>
    </row>
    <row r="35" spans="2:36" x14ac:dyDescent="0.25">
      <c r="B35" s="21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22"/>
      <c r="V35" s="91" t="str">
        <f t="shared" si="1"/>
        <v/>
      </c>
      <c r="W35" s="17" t="str">
        <f t="shared" si="2"/>
        <v/>
      </c>
      <c r="X35" s="17" t="str">
        <f t="shared" si="3"/>
        <v/>
      </c>
      <c r="Y35" s="17" t="str">
        <f t="shared" si="4"/>
        <v/>
      </c>
      <c r="Z35" s="77" t="str">
        <f t="shared" si="0"/>
        <v/>
      </c>
      <c r="AA35" s="53" t="str">
        <f t="shared" si="5"/>
        <v/>
      </c>
      <c r="AF35" s="21"/>
      <c r="AG35" s="17"/>
      <c r="AH35" s="17"/>
      <c r="AI35" s="77"/>
      <c r="AJ35" s="53"/>
    </row>
    <row r="36" spans="2:36" x14ac:dyDescent="0.25">
      <c r="B36" s="21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22"/>
      <c r="V36" s="91" t="str">
        <f t="shared" si="1"/>
        <v/>
      </c>
      <c r="W36" s="17" t="str">
        <f t="shared" si="2"/>
        <v/>
      </c>
      <c r="X36" s="17" t="str">
        <f t="shared" si="3"/>
        <v/>
      </c>
      <c r="Y36" s="17" t="str">
        <f t="shared" si="4"/>
        <v/>
      </c>
      <c r="Z36" s="77" t="str">
        <f t="shared" si="0"/>
        <v/>
      </c>
      <c r="AA36" s="53" t="str">
        <f t="shared" si="5"/>
        <v/>
      </c>
      <c r="AF36" s="21"/>
      <c r="AG36" s="17"/>
      <c r="AH36" s="17"/>
      <c r="AI36" s="77"/>
      <c r="AJ36" s="53"/>
    </row>
    <row r="37" spans="2:36" x14ac:dyDescent="0.25">
      <c r="B37" s="21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22"/>
      <c r="V37" s="91" t="str">
        <f t="shared" si="1"/>
        <v/>
      </c>
      <c r="W37" s="17" t="str">
        <f t="shared" si="2"/>
        <v/>
      </c>
      <c r="X37" s="17" t="str">
        <f t="shared" si="3"/>
        <v/>
      </c>
      <c r="Y37" s="17" t="str">
        <f t="shared" si="4"/>
        <v/>
      </c>
      <c r="Z37" s="77" t="str">
        <f t="shared" si="0"/>
        <v/>
      </c>
      <c r="AA37" s="53" t="str">
        <f t="shared" si="5"/>
        <v/>
      </c>
      <c r="AF37" s="21"/>
      <c r="AG37" s="17"/>
      <c r="AH37" s="17"/>
      <c r="AI37" s="77"/>
      <c r="AJ37" s="53"/>
    </row>
    <row r="38" spans="2:36" x14ac:dyDescent="0.25">
      <c r="B38" s="21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22"/>
      <c r="V38" s="91" t="str">
        <f t="shared" si="1"/>
        <v/>
      </c>
      <c r="W38" s="17" t="str">
        <f t="shared" si="2"/>
        <v/>
      </c>
      <c r="X38" s="17" t="str">
        <f t="shared" si="3"/>
        <v/>
      </c>
      <c r="Y38" s="17" t="str">
        <f t="shared" si="4"/>
        <v/>
      </c>
      <c r="Z38" s="77" t="str">
        <f t="shared" si="0"/>
        <v/>
      </c>
      <c r="AA38" s="53" t="str">
        <f t="shared" si="5"/>
        <v/>
      </c>
      <c r="AF38" s="21"/>
      <c r="AG38" s="17"/>
      <c r="AH38" s="17"/>
      <c r="AI38" s="77"/>
      <c r="AJ38" s="53"/>
    </row>
    <row r="39" spans="2:36" x14ac:dyDescent="0.25">
      <c r="B39" s="21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22"/>
      <c r="V39" s="91" t="str">
        <f t="shared" si="1"/>
        <v/>
      </c>
      <c r="W39" s="17" t="str">
        <f t="shared" si="2"/>
        <v/>
      </c>
      <c r="X39" s="17" t="str">
        <f t="shared" si="3"/>
        <v/>
      </c>
      <c r="Y39" s="17" t="str">
        <f t="shared" si="4"/>
        <v/>
      </c>
      <c r="Z39" s="17" t="str">
        <f t="shared" si="0"/>
        <v/>
      </c>
      <c r="AA39" s="53" t="str">
        <f t="shared" si="5"/>
        <v/>
      </c>
      <c r="AF39" s="21"/>
      <c r="AG39" s="17"/>
      <c r="AH39" s="17"/>
      <c r="AI39" s="77"/>
      <c r="AJ39" s="53"/>
    </row>
    <row r="40" spans="2:36" x14ac:dyDescent="0.25">
      <c r="B40" s="21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22"/>
      <c r="V40" s="91" t="str">
        <f t="shared" si="1"/>
        <v/>
      </c>
      <c r="W40" s="17" t="str">
        <f t="shared" si="2"/>
        <v/>
      </c>
      <c r="X40" s="17" t="str">
        <f t="shared" si="3"/>
        <v/>
      </c>
      <c r="Y40" s="17" t="str">
        <f t="shared" si="4"/>
        <v/>
      </c>
      <c r="Z40" s="17" t="str">
        <f t="shared" si="0"/>
        <v/>
      </c>
      <c r="AA40" s="53" t="str">
        <f t="shared" si="5"/>
        <v/>
      </c>
      <c r="AF40" s="21"/>
      <c r="AG40" s="17"/>
      <c r="AH40" s="17"/>
      <c r="AI40" s="77"/>
      <c r="AJ40" s="53"/>
    </row>
    <row r="41" spans="2:36" x14ac:dyDescent="0.25">
      <c r="B41" s="21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22"/>
      <c r="V41" s="91" t="str">
        <f t="shared" si="1"/>
        <v/>
      </c>
      <c r="W41" s="17" t="str">
        <f t="shared" si="2"/>
        <v/>
      </c>
      <c r="X41" s="17" t="str">
        <f t="shared" si="3"/>
        <v/>
      </c>
      <c r="Y41" s="17" t="str">
        <f t="shared" si="4"/>
        <v/>
      </c>
      <c r="Z41" s="17" t="str">
        <f t="shared" si="0"/>
        <v/>
      </c>
      <c r="AA41" s="53" t="str">
        <f t="shared" si="5"/>
        <v/>
      </c>
      <c r="AF41" s="21"/>
      <c r="AG41" s="17"/>
      <c r="AH41" s="17"/>
      <c r="AI41" s="77"/>
      <c r="AJ41" s="53"/>
    </row>
    <row r="42" spans="2:36" x14ac:dyDescent="0.25">
      <c r="B42" s="21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22"/>
      <c r="V42" s="91" t="str">
        <f t="shared" si="1"/>
        <v/>
      </c>
      <c r="W42" s="17" t="str">
        <f t="shared" si="2"/>
        <v/>
      </c>
      <c r="X42" s="17" t="str">
        <f t="shared" si="3"/>
        <v/>
      </c>
      <c r="Y42" s="17" t="str">
        <f t="shared" si="4"/>
        <v/>
      </c>
      <c r="Z42" s="17" t="str">
        <f t="shared" si="0"/>
        <v/>
      </c>
      <c r="AA42" s="53" t="str">
        <f t="shared" si="5"/>
        <v/>
      </c>
      <c r="AF42" s="21"/>
      <c r="AG42" s="17"/>
      <c r="AH42" s="17"/>
      <c r="AI42" s="77"/>
      <c r="AJ42" s="53"/>
    </row>
    <row r="43" spans="2:36" x14ac:dyDescent="0.25">
      <c r="B43" s="21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22"/>
      <c r="V43" s="91" t="str">
        <f t="shared" si="1"/>
        <v/>
      </c>
      <c r="W43" s="17" t="str">
        <f t="shared" si="2"/>
        <v/>
      </c>
      <c r="X43" s="17" t="str">
        <f t="shared" si="3"/>
        <v/>
      </c>
      <c r="Y43" s="17" t="str">
        <f t="shared" si="4"/>
        <v/>
      </c>
      <c r="Z43" s="17" t="str">
        <f t="shared" si="0"/>
        <v/>
      </c>
      <c r="AA43" s="53" t="str">
        <f t="shared" si="5"/>
        <v/>
      </c>
      <c r="AF43" s="21"/>
      <c r="AG43" s="17"/>
      <c r="AH43" s="17"/>
      <c r="AI43" s="77"/>
      <c r="AJ43" s="53"/>
    </row>
    <row r="44" spans="2:36" ht="15.75" thickBot="1" x14ac:dyDescent="0.3">
      <c r="B44" s="21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22"/>
      <c r="V44" s="91" t="str">
        <f t="shared" si="1"/>
        <v/>
      </c>
      <c r="W44" s="17" t="str">
        <f t="shared" si="2"/>
        <v/>
      </c>
      <c r="X44" s="17" t="str">
        <f t="shared" si="3"/>
        <v/>
      </c>
      <c r="Y44" s="17" t="str">
        <f t="shared" si="4"/>
        <v/>
      </c>
      <c r="Z44" s="17" t="str">
        <f t="shared" si="0"/>
        <v/>
      </c>
      <c r="AA44" s="53" t="str">
        <f t="shared" si="5"/>
        <v/>
      </c>
      <c r="AF44" s="45"/>
      <c r="AG44" s="75"/>
      <c r="AH44" s="75"/>
      <c r="AI44" s="94"/>
      <c r="AJ44" s="54"/>
    </row>
    <row r="45" spans="2:36" ht="15.75" thickBot="1" x14ac:dyDescent="0.3">
      <c r="B45" s="21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22"/>
      <c r="V45" s="91" t="str">
        <f t="shared" si="1"/>
        <v/>
      </c>
      <c r="W45" s="17" t="str">
        <f t="shared" si="2"/>
        <v/>
      </c>
      <c r="X45" s="17" t="str">
        <f t="shared" si="3"/>
        <v/>
      </c>
      <c r="Y45" s="17" t="str">
        <f t="shared" si="4"/>
        <v/>
      </c>
      <c r="Z45" s="17" t="str">
        <f t="shared" si="0"/>
        <v/>
      </c>
      <c r="AA45" s="53" t="str">
        <f t="shared" si="5"/>
        <v/>
      </c>
      <c r="AF45" s="303" t="s">
        <v>63</v>
      </c>
      <c r="AG45" s="304"/>
      <c r="AH45" s="304"/>
      <c r="AI45" s="93">
        <f>SUM(AI34:AI44)</f>
        <v>0</v>
      </c>
      <c r="AJ45" s="46"/>
    </row>
    <row r="46" spans="2:36" x14ac:dyDescent="0.25">
      <c r="B46" s="21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22"/>
      <c r="V46" s="91" t="str">
        <f t="shared" si="1"/>
        <v/>
      </c>
      <c r="W46" s="17" t="str">
        <f t="shared" si="2"/>
        <v/>
      </c>
      <c r="X46" s="17" t="str">
        <f t="shared" si="3"/>
        <v/>
      </c>
      <c r="Y46" s="17" t="str">
        <f t="shared" si="4"/>
        <v/>
      </c>
      <c r="Z46" s="17" t="str">
        <f t="shared" si="0"/>
        <v/>
      </c>
      <c r="AA46" s="53" t="str">
        <f t="shared" si="5"/>
        <v/>
      </c>
    </row>
    <row r="47" spans="2:36" x14ac:dyDescent="0.25">
      <c r="B47" s="21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22"/>
      <c r="V47" s="91" t="str">
        <f t="shared" si="1"/>
        <v/>
      </c>
      <c r="W47" s="17" t="str">
        <f t="shared" si="2"/>
        <v/>
      </c>
      <c r="X47" s="17" t="str">
        <f t="shared" si="3"/>
        <v/>
      </c>
      <c r="Y47" s="17" t="str">
        <f t="shared" si="4"/>
        <v/>
      </c>
      <c r="Z47" s="17" t="str">
        <f t="shared" si="0"/>
        <v/>
      </c>
      <c r="AA47" s="53" t="str">
        <f t="shared" si="5"/>
        <v/>
      </c>
    </row>
    <row r="48" spans="2:36" x14ac:dyDescent="0.25">
      <c r="B48" s="21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22"/>
      <c r="V48" s="91" t="str">
        <f t="shared" si="1"/>
        <v/>
      </c>
      <c r="W48" s="17" t="str">
        <f t="shared" si="2"/>
        <v/>
      </c>
      <c r="X48" s="17" t="str">
        <f t="shared" si="3"/>
        <v/>
      </c>
      <c r="Y48" s="17" t="str">
        <f t="shared" si="4"/>
        <v/>
      </c>
      <c r="Z48" s="17" t="str">
        <f t="shared" si="0"/>
        <v/>
      </c>
      <c r="AA48" s="53" t="str">
        <f t="shared" si="5"/>
        <v/>
      </c>
    </row>
    <row r="49" spans="2:27" x14ac:dyDescent="0.25">
      <c r="B49" s="21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22"/>
      <c r="V49" s="91" t="str">
        <f t="shared" si="1"/>
        <v/>
      </c>
      <c r="W49" s="17" t="str">
        <f t="shared" si="2"/>
        <v/>
      </c>
      <c r="X49" s="17" t="str">
        <f t="shared" si="3"/>
        <v/>
      </c>
      <c r="Y49" s="17" t="str">
        <f t="shared" si="4"/>
        <v/>
      </c>
      <c r="Z49" s="17" t="str">
        <f t="shared" si="0"/>
        <v/>
      </c>
      <c r="AA49" s="53" t="str">
        <f t="shared" si="5"/>
        <v/>
      </c>
    </row>
    <row r="50" spans="2:27" x14ac:dyDescent="0.25">
      <c r="B50" s="21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22"/>
      <c r="V50" s="91" t="str">
        <f t="shared" si="1"/>
        <v/>
      </c>
      <c r="W50" s="17" t="str">
        <f t="shared" si="2"/>
        <v/>
      </c>
      <c r="X50" s="17" t="str">
        <f t="shared" si="3"/>
        <v/>
      </c>
      <c r="Y50" s="17" t="str">
        <f t="shared" si="4"/>
        <v/>
      </c>
      <c r="Z50" s="17" t="str">
        <f t="shared" si="0"/>
        <v/>
      </c>
      <c r="AA50" s="53" t="str">
        <f t="shared" si="5"/>
        <v/>
      </c>
    </row>
    <row r="51" spans="2:27" x14ac:dyDescent="0.25">
      <c r="B51" s="21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22"/>
      <c r="V51" s="91" t="str">
        <f t="shared" si="1"/>
        <v/>
      </c>
      <c r="W51" s="17" t="str">
        <f t="shared" si="2"/>
        <v/>
      </c>
      <c r="X51" s="17" t="str">
        <f t="shared" si="3"/>
        <v/>
      </c>
      <c r="Y51" s="17" t="str">
        <f t="shared" si="4"/>
        <v/>
      </c>
      <c r="Z51" s="17" t="str">
        <f t="shared" si="0"/>
        <v/>
      </c>
      <c r="AA51" s="53" t="str">
        <f t="shared" si="5"/>
        <v/>
      </c>
    </row>
    <row r="52" spans="2:27" x14ac:dyDescent="0.25">
      <c r="B52" s="21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22"/>
      <c r="V52" s="91" t="str">
        <f t="shared" si="1"/>
        <v/>
      </c>
      <c r="W52" s="17" t="str">
        <f t="shared" si="2"/>
        <v/>
      </c>
      <c r="X52" s="17" t="str">
        <f t="shared" si="3"/>
        <v/>
      </c>
      <c r="Y52" s="17" t="str">
        <f t="shared" si="4"/>
        <v/>
      </c>
      <c r="Z52" s="17" t="str">
        <f t="shared" si="0"/>
        <v/>
      </c>
      <c r="AA52" s="53" t="str">
        <f t="shared" si="5"/>
        <v/>
      </c>
    </row>
    <row r="53" spans="2:27" x14ac:dyDescent="0.25">
      <c r="B53" s="21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22"/>
      <c r="V53" s="91" t="str">
        <f t="shared" si="1"/>
        <v/>
      </c>
      <c r="W53" s="17" t="str">
        <f t="shared" si="2"/>
        <v/>
      </c>
      <c r="X53" s="17" t="str">
        <f t="shared" si="3"/>
        <v/>
      </c>
      <c r="Y53" s="17" t="str">
        <f t="shared" si="4"/>
        <v/>
      </c>
      <c r="Z53" s="17" t="str">
        <f t="shared" si="0"/>
        <v/>
      </c>
      <c r="AA53" s="53" t="str">
        <f t="shared" si="5"/>
        <v/>
      </c>
    </row>
    <row r="54" spans="2:27" x14ac:dyDescent="0.25">
      <c r="B54" s="21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22"/>
      <c r="V54" s="91" t="str">
        <f t="shared" si="1"/>
        <v/>
      </c>
      <c r="W54" s="17" t="str">
        <f t="shared" si="2"/>
        <v/>
      </c>
      <c r="X54" s="17" t="str">
        <f t="shared" si="3"/>
        <v/>
      </c>
      <c r="Y54" s="17" t="str">
        <f t="shared" si="4"/>
        <v/>
      </c>
      <c r="Z54" s="17" t="str">
        <f t="shared" si="0"/>
        <v/>
      </c>
      <c r="AA54" s="53" t="str">
        <f t="shared" si="5"/>
        <v/>
      </c>
    </row>
    <row r="55" spans="2:27" x14ac:dyDescent="0.25">
      <c r="B55" s="21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22"/>
      <c r="V55" s="91" t="str">
        <f t="shared" si="1"/>
        <v/>
      </c>
      <c r="W55" s="17" t="str">
        <f t="shared" si="2"/>
        <v/>
      </c>
      <c r="X55" s="17" t="str">
        <f t="shared" si="3"/>
        <v/>
      </c>
      <c r="Y55" s="17" t="str">
        <f t="shared" si="4"/>
        <v/>
      </c>
      <c r="Z55" s="17" t="str">
        <f t="shared" si="0"/>
        <v/>
      </c>
      <c r="AA55" s="53" t="str">
        <f t="shared" si="5"/>
        <v/>
      </c>
    </row>
    <row r="56" spans="2:27" x14ac:dyDescent="0.25">
      <c r="B56" s="21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22"/>
      <c r="V56" s="91" t="str">
        <f t="shared" si="1"/>
        <v/>
      </c>
      <c r="W56" s="17" t="str">
        <f t="shared" si="2"/>
        <v/>
      </c>
      <c r="X56" s="17" t="str">
        <f t="shared" si="3"/>
        <v/>
      </c>
      <c r="Y56" s="17" t="str">
        <f t="shared" si="4"/>
        <v/>
      </c>
      <c r="Z56" s="17" t="str">
        <f t="shared" si="0"/>
        <v/>
      </c>
      <c r="AA56" s="53" t="str">
        <f t="shared" si="5"/>
        <v/>
      </c>
    </row>
    <row r="57" spans="2:27" x14ac:dyDescent="0.25">
      <c r="B57" s="21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22"/>
      <c r="V57" s="91" t="str">
        <f t="shared" si="1"/>
        <v/>
      </c>
      <c r="W57" s="17" t="str">
        <f t="shared" si="2"/>
        <v/>
      </c>
      <c r="X57" s="17" t="str">
        <f t="shared" si="3"/>
        <v/>
      </c>
      <c r="Y57" s="17" t="str">
        <f t="shared" si="4"/>
        <v/>
      </c>
      <c r="Z57" s="17" t="str">
        <f t="shared" si="0"/>
        <v/>
      </c>
      <c r="AA57" s="53" t="str">
        <f t="shared" si="5"/>
        <v/>
      </c>
    </row>
    <row r="58" spans="2:27" x14ac:dyDescent="0.25">
      <c r="B58" s="21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22"/>
      <c r="V58" s="91" t="str">
        <f t="shared" si="1"/>
        <v/>
      </c>
      <c r="W58" s="17" t="str">
        <f t="shared" si="2"/>
        <v/>
      </c>
      <c r="X58" s="17" t="str">
        <f t="shared" si="3"/>
        <v/>
      </c>
      <c r="Y58" s="17" t="str">
        <f t="shared" si="4"/>
        <v/>
      </c>
      <c r="Z58" s="17" t="str">
        <f t="shared" si="0"/>
        <v/>
      </c>
      <c r="AA58" s="53" t="str">
        <f t="shared" si="5"/>
        <v/>
      </c>
    </row>
    <row r="59" spans="2:27" x14ac:dyDescent="0.25">
      <c r="B59" s="21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22"/>
      <c r="V59" s="91" t="str">
        <f t="shared" si="1"/>
        <v/>
      </c>
      <c r="W59" s="17" t="str">
        <f t="shared" si="2"/>
        <v/>
      </c>
      <c r="X59" s="17" t="str">
        <f t="shared" si="3"/>
        <v/>
      </c>
      <c r="Y59" s="17" t="str">
        <f t="shared" si="4"/>
        <v/>
      </c>
      <c r="Z59" s="17" t="str">
        <f t="shared" si="0"/>
        <v/>
      </c>
      <c r="AA59" s="53" t="str">
        <f t="shared" si="5"/>
        <v/>
      </c>
    </row>
    <row r="60" spans="2:27" x14ac:dyDescent="0.25">
      <c r="B60" s="21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22"/>
      <c r="V60" s="91" t="str">
        <f t="shared" si="1"/>
        <v/>
      </c>
      <c r="W60" s="17" t="str">
        <f t="shared" si="2"/>
        <v/>
      </c>
      <c r="X60" s="17" t="str">
        <f t="shared" si="3"/>
        <v/>
      </c>
      <c r="Y60" s="17" t="str">
        <f t="shared" si="4"/>
        <v/>
      </c>
      <c r="Z60" s="17" t="str">
        <f t="shared" si="0"/>
        <v/>
      </c>
      <c r="AA60" s="53" t="str">
        <f t="shared" si="5"/>
        <v/>
      </c>
    </row>
    <row r="61" spans="2:27" x14ac:dyDescent="0.25">
      <c r="B61" s="21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22"/>
      <c r="V61" s="91" t="str">
        <f t="shared" si="1"/>
        <v/>
      </c>
      <c r="W61" s="17" t="str">
        <f t="shared" si="2"/>
        <v/>
      </c>
      <c r="X61" s="17" t="str">
        <f t="shared" si="3"/>
        <v/>
      </c>
      <c r="Y61" s="17" t="str">
        <f t="shared" si="4"/>
        <v/>
      </c>
      <c r="Z61" s="17" t="str">
        <f t="shared" si="0"/>
        <v/>
      </c>
      <c r="AA61" s="53" t="str">
        <f t="shared" si="5"/>
        <v/>
      </c>
    </row>
    <row r="62" spans="2:27" x14ac:dyDescent="0.25">
      <c r="B62" s="21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22"/>
      <c r="V62" s="91" t="str">
        <f t="shared" si="1"/>
        <v/>
      </c>
      <c r="W62" s="17" t="str">
        <f t="shared" si="2"/>
        <v/>
      </c>
      <c r="X62" s="17" t="str">
        <f t="shared" si="3"/>
        <v/>
      </c>
      <c r="Y62" s="17" t="str">
        <f t="shared" si="4"/>
        <v/>
      </c>
      <c r="Z62" s="17" t="str">
        <f t="shared" si="0"/>
        <v/>
      </c>
      <c r="AA62" s="53" t="str">
        <f t="shared" si="5"/>
        <v/>
      </c>
    </row>
    <row r="63" spans="2:27" x14ac:dyDescent="0.25">
      <c r="B63" s="21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22"/>
      <c r="V63" s="91" t="str">
        <f t="shared" si="1"/>
        <v/>
      </c>
      <c r="W63" s="17" t="str">
        <f t="shared" si="2"/>
        <v/>
      </c>
      <c r="X63" s="17" t="str">
        <f t="shared" si="3"/>
        <v/>
      </c>
      <c r="Y63" s="17" t="str">
        <f t="shared" si="4"/>
        <v/>
      </c>
      <c r="Z63" s="17" t="str">
        <f t="shared" si="0"/>
        <v/>
      </c>
      <c r="AA63" s="53" t="str">
        <f t="shared" si="5"/>
        <v/>
      </c>
    </row>
    <row r="64" spans="2:27" x14ac:dyDescent="0.25">
      <c r="B64" s="21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22"/>
      <c r="V64" s="91" t="str">
        <f t="shared" si="1"/>
        <v/>
      </c>
      <c r="W64" s="17" t="str">
        <f t="shared" si="2"/>
        <v/>
      </c>
      <c r="X64" s="17" t="str">
        <f t="shared" si="3"/>
        <v/>
      </c>
      <c r="Y64" s="17" t="str">
        <f t="shared" si="4"/>
        <v/>
      </c>
      <c r="Z64" s="17" t="str">
        <f t="shared" si="0"/>
        <v/>
      </c>
      <c r="AA64" s="53" t="str">
        <f t="shared" si="5"/>
        <v/>
      </c>
    </row>
    <row r="65" spans="2:27" x14ac:dyDescent="0.25">
      <c r="B65" s="21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22"/>
      <c r="V65" s="91" t="str">
        <f t="shared" si="1"/>
        <v/>
      </c>
      <c r="W65" s="17" t="str">
        <f t="shared" si="2"/>
        <v/>
      </c>
      <c r="X65" s="17" t="str">
        <f t="shared" si="3"/>
        <v/>
      </c>
      <c r="Y65" s="17" t="str">
        <f t="shared" si="4"/>
        <v/>
      </c>
      <c r="Z65" s="17" t="str">
        <f t="shared" si="0"/>
        <v/>
      </c>
      <c r="AA65" s="53" t="str">
        <f t="shared" si="5"/>
        <v/>
      </c>
    </row>
    <row r="66" spans="2:27" x14ac:dyDescent="0.25">
      <c r="B66" s="21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22"/>
      <c r="V66" s="91" t="str">
        <f t="shared" si="1"/>
        <v/>
      </c>
      <c r="W66" s="17" t="str">
        <f t="shared" si="2"/>
        <v/>
      </c>
      <c r="X66" s="17" t="str">
        <f t="shared" si="3"/>
        <v/>
      </c>
      <c r="Y66" s="17" t="str">
        <f t="shared" si="4"/>
        <v/>
      </c>
      <c r="Z66" s="17" t="str">
        <f t="shared" si="0"/>
        <v/>
      </c>
      <c r="AA66" s="53" t="str">
        <f t="shared" si="5"/>
        <v/>
      </c>
    </row>
    <row r="67" spans="2:27" x14ac:dyDescent="0.25">
      <c r="B67" s="21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22"/>
      <c r="V67" s="91" t="str">
        <f t="shared" si="1"/>
        <v/>
      </c>
      <c r="W67" s="17" t="str">
        <f t="shared" si="2"/>
        <v/>
      </c>
      <c r="X67" s="17" t="str">
        <f t="shared" si="3"/>
        <v/>
      </c>
      <c r="Y67" s="17" t="str">
        <f t="shared" si="4"/>
        <v/>
      </c>
      <c r="Z67" s="17" t="str">
        <f t="shared" si="0"/>
        <v/>
      </c>
      <c r="AA67" s="53" t="str">
        <f t="shared" si="5"/>
        <v/>
      </c>
    </row>
    <row r="68" spans="2:27" x14ac:dyDescent="0.25">
      <c r="B68" s="21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22"/>
      <c r="V68" s="91" t="str">
        <f t="shared" si="1"/>
        <v/>
      </c>
      <c r="W68" s="17" t="str">
        <f t="shared" si="2"/>
        <v/>
      </c>
      <c r="X68" s="17" t="str">
        <f t="shared" si="3"/>
        <v/>
      </c>
      <c r="Y68" s="17" t="str">
        <f t="shared" si="4"/>
        <v/>
      </c>
      <c r="Z68" s="17" t="str">
        <f t="shared" ref="Z68:Z100" si="6">IF(B68="","",IF(G68=$C$2,I68,L68))</f>
        <v/>
      </c>
      <c r="AA68" s="53" t="str">
        <f t="shared" si="5"/>
        <v/>
      </c>
    </row>
    <row r="69" spans="2:27" x14ac:dyDescent="0.25">
      <c r="B69" s="21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22"/>
      <c r="V69" s="91" t="str">
        <f t="shared" ref="V69:V100" si="7">IF(E69="","",E69)</f>
        <v/>
      </c>
      <c r="W69" s="17" t="str">
        <f t="shared" ref="W69:W132" si="8">IF(B69="","",B69)</f>
        <v/>
      </c>
      <c r="X69" s="17" t="str">
        <f t="shared" ref="X69:X100" si="9">IF(B69="","",C69)</f>
        <v/>
      </c>
      <c r="Y69" s="17" t="str">
        <f t="shared" ref="Y69:Y100" si="10">IF(B69="","",D69)</f>
        <v/>
      </c>
      <c r="Z69" s="17" t="str">
        <f t="shared" si="6"/>
        <v/>
      </c>
      <c r="AA69" s="53" t="str">
        <f t="shared" ref="AA69:AA100" si="11">IF(B69="","",VLOOKUP(S69,$AC$3:$AD$14,2,FALSE))</f>
        <v/>
      </c>
    </row>
    <row r="70" spans="2:27" x14ac:dyDescent="0.25">
      <c r="B70" s="21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22"/>
      <c r="V70" s="91" t="str">
        <f t="shared" si="7"/>
        <v/>
      </c>
      <c r="W70" s="17" t="str">
        <f t="shared" si="8"/>
        <v/>
      </c>
      <c r="X70" s="17" t="str">
        <f t="shared" si="9"/>
        <v/>
      </c>
      <c r="Y70" s="17" t="str">
        <f t="shared" si="10"/>
        <v/>
      </c>
      <c r="Z70" s="17" t="str">
        <f t="shared" si="6"/>
        <v/>
      </c>
      <c r="AA70" s="53" t="str">
        <f t="shared" si="11"/>
        <v/>
      </c>
    </row>
    <row r="71" spans="2:27" x14ac:dyDescent="0.25">
      <c r="B71" s="21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22"/>
      <c r="V71" s="91" t="str">
        <f t="shared" si="7"/>
        <v/>
      </c>
      <c r="W71" s="17" t="str">
        <f t="shared" si="8"/>
        <v/>
      </c>
      <c r="X71" s="17" t="str">
        <f t="shared" si="9"/>
        <v/>
      </c>
      <c r="Y71" s="17" t="str">
        <f t="shared" si="10"/>
        <v/>
      </c>
      <c r="Z71" s="17" t="str">
        <f t="shared" si="6"/>
        <v/>
      </c>
      <c r="AA71" s="53" t="str">
        <f t="shared" si="11"/>
        <v/>
      </c>
    </row>
    <row r="72" spans="2:27" x14ac:dyDescent="0.25">
      <c r="B72" s="21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22"/>
      <c r="V72" s="91" t="str">
        <f t="shared" si="7"/>
        <v/>
      </c>
      <c r="W72" s="17" t="str">
        <f t="shared" si="8"/>
        <v/>
      </c>
      <c r="X72" s="17" t="str">
        <f t="shared" si="9"/>
        <v/>
      </c>
      <c r="Y72" s="17" t="str">
        <f t="shared" si="10"/>
        <v/>
      </c>
      <c r="Z72" s="17" t="str">
        <f t="shared" si="6"/>
        <v/>
      </c>
      <c r="AA72" s="53" t="str">
        <f t="shared" si="11"/>
        <v/>
      </c>
    </row>
    <row r="73" spans="2:27" x14ac:dyDescent="0.25">
      <c r="B73" s="21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22"/>
      <c r="V73" s="91" t="str">
        <f t="shared" si="7"/>
        <v/>
      </c>
      <c r="W73" s="17" t="str">
        <f t="shared" si="8"/>
        <v/>
      </c>
      <c r="X73" s="17" t="str">
        <f t="shared" si="9"/>
        <v/>
      </c>
      <c r="Y73" s="17" t="str">
        <f t="shared" si="10"/>
        <v/>
      </c>
      <c r="Z73" s="17" t="str">
        <f t="shared" si="6"/>
        <v/>
      </c>
      <c r="AA73" s="53" t="str">
        <f t="shared" si="11"/>
        <v/>
      </c>
    </row>
    <row r="74" spans="2:27" x14ac:dyDescent="0.25">
      <c r="B74" s="21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22"/>
      <c r="V74" s="91" t="str">
        <f t="shared" si="7"/>
        <v/>
      </c>
      <c r="W74" s="17" t="str">
        <f t="shared" si="8"/>
        <v/>
      </c>
      <c r="X74" s="17" t="str">
        <f t="shared" si="9"/>
        <v/>
      </c>
      <c r="Y74" s="17" t="str">
        <f t="shared" si="10"/>
        <v/>
      </c>
      <c r="Z74" s="17" t="str">
        <f t="shared" si="6"/>
        <v/>
      </c>
      <c r="AA74" s="53" t="str">
        <f t="shared" si="11"/>
        <v/>
      </c>
    </row>
    <row r="75" spans="2:27" x14ac:dyDescent="0.25">
      <c r="B75" s="21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22"/>
      <c r="V75" s="91" t="str">
        <f t="shared" si="7"/>
        <v/>
      </c>
      <c r="W75" s="17" t="str">
        <f t="shared" si="8"/>
        <v/>
      </c>
      <c r="X75" s="17" t="str">
        <f t="shared" si="9"/>
        <v/>
      </c>
      <c r="Y75" s="17" t="str">
        <f t="shared" si="10"/>
        <v/>
      </c>
      <c r="Z75" s="17" t="str">
        <f t="shared" si="6"/>
        <v/>
      </c>
      <c r="AA75" s="53" t="str">
        <f t="shared" si="11"/>
        <v/>
      </c>
    </row>
    <row r="76" spans="2:27" x14ac:dyDescent="0.25">
      <c r="B76" s="21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22"/>
      <c r="V76" s="91" t="str">
        <f t="shared" si="7"/>
        <v/>
      </c>
      <c r="W76" s="17" t="str">
        <f t="shared" si="8"/>
        <v/>
      </c>
      <c r="X76" s="17" t="str">
        <f t="shared" si="9"/>
        <v/>
      </c>
      <c r="Y76" s="17" t="str">
        <f t="shared" si="10"/>
        <v/>
      </c>
      <c r="Z76" s="17" t="str">
        <f t="shared" si="6"/>
        <v/>
      </c>
      <c r="AA76" s="53" t="str">
        <f t="shared" si="11"/>
        <v/>
      </c>
    </row>
    <row r="77" spans="2:27" x14ac:dyDescent="0.25">
      <c r="B77" s="21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22"/>
      <c r="V77" s="91" t="str">
        <f t="shared" si="7"/>
        <v/>
      </c>
      <c r="W77" s="17" t="str">
        <f t="shared" si="8"/>
        <v/>
      </c>
      <c r="X77" s="17" t="str">
        <f t="shared" si="9"/>
        <v/>
      </c>
      <c r="Y77" s="17" t="str">
        <f t="shared" si="10"/>
        <v/>
      </c>
      <c r="Z77" s="17" t="str">
        <f t="shared" si="6"/>
        <v/>
      </c>
      <c r="AA77" s="53" t="str">
        <f t="shared" si="11"/>
        <v/>
      </c>
    </row>
    <row r="78" spans="2:27" x14ac:dyDescent="0.25">
      <c r="B78" s="21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22"/>
      <c r="V78" s="91" t="str">
        <f t="shared" si="7"/>
        <v/>
      </c>
      <c r="W78" s="17" t="str">
        <f t="shared" si="8"/>
        <v/>
      </c>
      <c r="X78" s="17" t="str">
        <f t="shared" si="9"/>
        <v/>
      </c>
      <c r="Y78" s="17" t="str">
        <f t="shared" si="10"/>
        <v/>
      </c>
      <c r="Z78" s="17" t="str">
        <f t="shared" si="6"/>
        <v/>
      </c>
      <c r="AA78" s="53" t="str">
        <f t="shared" si="11"/>
        <v/>
      </c>
    </row>
    <row r="79" spans="2:27" x14ac:dyDescent="0.25">
      <c r="B79" s="21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22"/>
      <c r="V79" s="91" t="str">
        <f t="shared" si="7"/>
        <v/>
      </c>
      <c r="W79" s="17" t="str">
        <f t="shared" si="8"/>
        <v/>
      </c>
      <c r="X79" s="17" t="str">
        <f t="shared" si="9"/>
        <v/>
      </c>
      <c r="Y79" s="17" t="str">
        <f t="shared" si="10"/>
        <v/>
      </c>
      <c r="Z79" s="17" t="str">
        <f t="shared" si="6"/>
        <v/>
      </c>
      <c r="AA79" s="53" t="str">
        <f t="shared" si="11"/>
        <v/>
      </c>
    </row>
    <row r="80" spans="2:27" x14ac:dyDescent="0.25">
      <c r="B80" s="21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22"/>
      <c r="V80" s="91" t="str">
        <f t="shared" si="7"/>
        <v/>
      </c>
      <c r="W80" s="17" t="str">
        <f t="shared" si="8"/>
        <v/>
      </c>
      <c r="X80" s="17" t="str">
        <f t="shared" si="9"/>
        <v/>
      </c>
      <c r="Y80" s="17" t="str">
        <f t="shared" si="10"/>
        <v/>
      </c>
      <c r="Z80" s="17" t="str">
        <f t="shared" si="6"/>
        <v/>
      </c>
      <c r="AA80" s="53" t="str">
        <f t="shared" si="11"/>
        <v/>
      </c>
    </row>
    <row r="81" spans="2:27" x14ac:dyDescent="0.25">
      <c r="B81" s="21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22"/>
      <c r="V81" s="91" t="str">
        <f t="shared" si="7"/>
        <v/>
      </c>
      <c r="W81" s="17" t="str">
        <f t="shared" si="8"/>
        <v/>
      </c>
      <c r="X81" s="17" t="str">
        <f t="shared" si="9"/>
        <v/>
      </c>
      <c r="Y81" s="17" t="str">
        <f t="shared" si="10"/>
        <v/>
      </c>
      <c r="Z81" s="17" t="str">
        <f t="shared" si="6"/>
        <v/>
      </c>
      <c r="AA81" s="53" t="str">
        <f t="shared" si="11"/>
        <v/>
      </c>
    </row>
    <row r="82" spans="2:27" x14ac:dyDescent="0.25">
      <c r="B82" s="21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22"/>
      <c r="V82" s="91" t="str">
        <f t="shared" si="7"/>
        <v/>
      </c>
      <c r="W82" s="17" t="str">
        <f t="shared" si="8"/>
        <v/>
      </c>
      <c r="X82" s="17" t="str">
        <f t="shared" si="9"/>
        <v/>
      </c>
      <c r="Y82" s="17" t="str">
        <f t="shared" si="10"/>
        <v/>
      </c>
      <c r="Z82" s="17" t="str">
        <f t="shared" si="6"/>
        <v/>
      </c>
      <c r="AA82" s="53" t="str">
        <f t="shared" si="11"/>
        <v/>
      </c>
    </row>
    <row r="83" spans="2:27" x14ac:dyDescent="0.25">
      <c r="B83" s="21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22"/>
      <c r="V83" s="91" t="str">
        <f t="shared" si="7"/>
        <v/>
      </c>
      <c r="W83" s="17" t="str">
        <f t="shared" si="8"/>
        <v/>
      </c>
      <c r="X83" s="17" t="str">
        <f t="shared" si="9"/>
        <v/>
      </c>
      <c r="Y83" s="17" t="str">
        <f t="shared" si="10"/>
        <v/>
      </c>
      <c r="Z83" s="17" t="str">
        <f t="shared" si="6"/>
        <v/>
      </c>
      <c r="AA83" s="53" t="str">
        <f t="shared" si="11"/>
        <v/>
      </c>
    </row>
    <row r="84" spans="2:27" x14ac:dyDescent="0.25">
      <c r="B84" s="21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22"/>
      <c r="V84" s="91" t="str">
        <f t="shared" si="7"/>
        <v/>
      </c>
      <c r="W84" s="17" t="str">
        <f t="shared" si="8"/>
        <v/>
      </c>
      <c r="X84" s="17" t="str">
        <f t="shared" si="9"/>
        <v/>
      </c>
      <c r="Y84" s="17" t="str">
        <f t="shared" si="10"/>
        <v/>
      </c>
      <c r="Z84" s="17" t="str">
        <f t="shared" si="6"/>
        <v/>
      </c>
      <c r="AA84" s="53" t="str">
        <f t="shared" si="11"/>
        <v/>
      </c>
    </row>
    <row r="85" spans="2:27" x14ac:dyDescent="0.25">
      <c r="B85" s="21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22"/>
      <c r="V85" s="91" t="str">
        <f t="shared" si="7"/>
        <v/>
      </c>
      <c r="W85" s="17" t="str">
        <f t="shared" si="8"/>
        <v/>
      </c>
      <c r="X85" s="17" t="str">
        <f t="shared" si="9"/>
        <v/>
      </c>
      <c r="Y85" s="17" t="str">
        <f t="shared" si="10"/>
        <v/>
      </c>
      <c r="Z85" s="17" t="str">
        <f t="shared" si="6"/>
        <v/>
      </c>
      <c r="AA85" s="53" t="str">
        <f t="shared" si="11"/>
        <v/>
      </c>
    </row>
    <row r="86" spans="2:27" x14ac:dyDescent="0.25">
      <c r="B86" s="21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22"/>
      <c r="V86" s="91" t="str">
        <f t="shared" si="7"/>
        <v/>
      </c>
      <c r="W86" s="17" t="str">
        <f t="shared" si="8"/>
        <v/>
      </c>
      <c r="X86" s="17" t="str">
        <f t="shared" si="9"/>
        <v/>
      </c>
      <c r="Y86" s="17" t="str">
        <f t="shared" si="10"/>
        <v/>
      </c>
      <c r="Z86" s="17" t="str">
        <f t="shared" si="6"/>
        <v/>
      </c>
      <c r="AA86" s="53" t="str">
        <f t="shared" si="11"/>
        <v/>
      </c>
    </row>
    <row r="87" spans="2:27" x14ac:dyDescent="0.25">
      <c r="B87" s="21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22"/>
      <c r="V87" s="91" t="str">
        <f t="shared" si="7"/>
        <v/>
      </c>
      <c r="W87" s="17" t="str">
        <f t="shared" si="8"/>
        <v/>
      </c>
      <c r="X87" s="17" t="str">
        <f t="shared" si="9"/>
        <v/>
      </c>
      <c r="Y87" s="17" t="str">
        <f t="shared" si="10"/>
        <v/>
      </c>
      <c r="Z87" s="17" t="str">
        <f t="shared" si="6"/>
        <v/>
      </c>
      <c r="AA87" s="53" t="str">
        <f t="shared" si="11"/>
        <v/>
      </c>
    </row>
    <row r="88" spans="2:27" x14ac:dyDescent="0.25">
      <c r="B88" s="21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22"/>
      <c r="V88" s="91" t="str">
        <f t="shared" si="7"/>
        <v/>
      </c>
      <c r="W88" s="17" t="str">
        <f t="shared" si="8"/>
        <v/>
      </c>
      <c r="X88" s="17" t="str">
        <f t="shared" si="9"/>
        <v/>
      </c>
      <c r="Y88" s="17" t="str">
        <f t="shared" si="10"/>
        <v/>
      </c>
      <c r="Z88" s="17" t="str">
        <f t="shared" si="6"/>
        <v/>
      </c>
      <c r="AA88" s="53" t="str">
        <f t="shared" si="11"/>
        <v/>
      </c>
    </row>
    <row r="89" spans="2:27" x14ac:dyDescent="0.25">
      <c r="B89" s="21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22"/>
      <c r="V89" s="91" t="str">
        <f t="shared" si="7"/>
        <v/>
      </c>
      <c r="W89" s="17" t="str">
        <f t="shared" si="8"/>
        <v/>
      </c>
      <c r="X89" s="17" t="str">
        <f t="shared" si="9"/>
        <v/>
      </c>
      <c r="Y89" s="17" t="str">
        <f t="shared" si="10"/>
        <v/>
      </c>
      <c r="Z89" s="17" t="str">
        <f t="shared" si="6"/>
        <v/>
      </c>
      <c r="AA89" s="53" t="str">
        <f t="shared" si="11"/>
        <v/>
      </c>
    </row>
    <row r="90" spans="2:27" x14ac:dyDescent="0.25">
      <c r="B90" s="21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22"/>
      <c r="V90" s="91" t="str">
        <f t="shared" si="7"/>
        <v/>
      </c>
      <c r="W90" s="17" t="str">
        <f t="shared" si="8"/>
        <v/>
      </c>
      <c r="X90" s="17" t="str">
        <f t="shared" si="9"/>
        <v/>
      </c>
      <c r="Y90" s="17" t="str">
        <f t="shared" si="10"/>
        <v/>
      </c>
      <c r="Z90" s="17" t="str">
        <f t="shared" si="6"/>
        <v/>
      </c>
      <c r="AA90" s="53" t="str">
        <f t="shared" si="11"/>
        <v/>
      </c>
    </row>
    <row r="91" spans="2:27" x14ac:dyDescent="0.25">
      <c r="B91" s="21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22"/>
      <c r="V91" s="91" t="str">
        <f t="shared" si="7"/>
        <v/>
      </c>
      <c r="W91" s="17" t="str">
        <f t="shared" si="8"/>
        <v/>
      </c>
      <c r="X91" s="17" t="str">
        <f t="shared" si="9"/>
        <v/>
      </c>
      <c r="Y91" s="17" t="str">
        <f t="shared" si="10"/>
        <v/>
      </c>
      <c r="Z91" s="17" t="str">
        <f t="shared" si="6"/>
        <v/>
      </c>
      <c r="AA91" s="53" t="str">
        <f t="shared" si="11"/>
        <v/>
      </c>
    </row>
    <row r="92" spans="2:27" x14ac:dyDescent="0.25">
      <c r="B92" s="21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22"/>
      <c r="V92" s="91" t="str">
        <f t="shared" si="7"/>
        <v/>
      </c>
      <c r="W92" s="17" t="str">
        <f t="shared" si="8"/>
        <v/>
      </c>
      <c r="X92" s="17" t="str">
        <f t="shared" si="9"/>
        <v/>
      </c>
      <c r="Y92" s="17" t="str">
        <f t="shared" si="10"/>
        <v/>
      </c>
      <c r="Z92" s="17" t="str">
        <f t="shared" si="6"/>
        <v/>
      </c>
      <c r="AA92" s="53" t="str">
        <f t="shared" si="11"/>
        <v/>
      </c>
    </row>
    <row r="93" spans="2:27" x14ac:dyDescent="0.25">
      <c r="B93" s="21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22"/>
      <c r="V93" s="91" t="str">
        <f t="shared" si="7"/>
        <v/>
      </c>
      <c r="W93" s="17" t="str">
        <f t="shared" si="8"/>
        <v/>
      </c>
      <c r="X93" s="17" t="str">
        <f t="shared" si="9"/>
        <v/>
      </c>
      <c r="Y93" s="17" t="str">
        <f t="shared" si="10"/>
        <v/>
      </c>
      <c r="Z93" s="17" t="str">
        <f t="shared" si="6"/>
        <v/>
      </c>
      <c r="AA93" s="53" t="str">
        <f t="shared" si="11"/>
        <v/>
      </c>
    </row>
    <row r="94" spans="2:27" x14ac:dyDescent="0.25">
      <c r="B94" s="21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22"/>
      <c r="V94" s="91" t="str">
        <f t="shared" si="7"/>
        <v/>
      </c>
      <c r="W94" s="17" t="str">
        <f t="shared" si="8"/>
        <v/>
      </c>
      <c r="X94" s="17" t="str">
        <f t="shared" si="9"/>
        <v/>
      </c>
      <c r="Y94" s="17" t="str">
        <f t="shared" si="10"/>
        <v/>
      </c>
      <c r="Z94" s="17" t="str">
        <f t="shared" si="6"/>
        <v/>
      </c>
      <c r="AA94" s="53" t="str">
        <f t="shared" si="11"/>
        <v/>
      </c>
    </row>
    <row r="95" spans="2:27" x14ac:dyDescent="0.25">
      <c r="B95" s="21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22"/>
      <c r="V95" s="91" t="str">
        <f t="shared" si="7"/>
        <v/>
      </c>
      <c r="W95" s="17" t="str">
        <f t="shared" si="8"/>
        <v/>
      </c>
      <c r="X95" s="17" t="str">
        <f t="shared" si="9"/>
        <v/>
      </c>
      <c r="Y95" s="17" t="str">
        <f t="shared" si="10"/>
        <v/>
      </c>
      <c r="Z95" s="17" t="str">
        <f t="shared" si="6"/>
        <v/>
      </c>
      <c r="AA95" s="53" t="str">
        <f t="shared" si="11"/>
        <v/>
      </c>
    </row>
    <row r="96" spans="2:27" x14ac:dyDescent="0.25">
      <c r="B96" s="21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22"/>
      <c r="V96" s="91" t="str">
        <f t="shared" si="7"/>
        <v/>
      </c>
      <c r="W96" s="17" t="str">
        <f t="shared" si="8"/>
        <v/>
      </c>
      <c r="X96" s="17" t="str">
        <f t="shared" si="9"/>
        <v/>
      </c>
      <c r="Y96" s="17" t="str">
        <f t="shared" si="10"/>
        <v/>
      </c>
      <c r="Z96" s="17" t="str">
        <f t="shared" si="6"/>
        <v/>
      </c>
      <c r="AA96" s="53" t="str">
        <f t="shared" si="11"/>
        <v/>
      </c>
    </row>
    <row r="97" spans="2:27" x14ac:dyDescent="0.25">
      <c r="B97" s="21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22"/>
      <c r="V97" s="91" t="str">
        <f t="shared" si="7"/>
        <v/>
      </c>
      <c r="W97" s="17" t="str">
        <f t="shared" si="8"/>
        <v/>
      </c>
      <c r="X97" s="17" t="str">
        <f t="shared" si="9"/>
        <v/>
      </c>
      <c r="Y97" s="17" t="str">
        <f t="shared" si="10"/>
        <v/>
      </c>
      <c r="Z97" s="17" t="str">
        <f t="shared" si="6"/>
        <v/>
      </c>
      <c r="AA97" s="53" t="str">
        <f t="shared" si="11"/>
        <v/>
      </c>
    </row>
    <row r="98" spans="2:27" x14ac:dyDescent="0.25">
      <c r="B98" s="21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22"/>
      <c r="V98" s="91" t="str">
        <f t="shared" si="7"/>
        <v/>
      </c>
      <c r="W98" s="17" t="str">
        <f t="shared" si="8"/>
        <v/>
      </c>
      <c r="X98" s="17" t="str">
        <f t="shared" si="9"/>
        <v/>
      </c>
      <c r="Y98" s="17" t="str">
        <f t="shared" si="10"/>
        <v/>
      </c>
      <c r="Z98" s="17" t="str">
        <f t="shared" si="6"/>
        <v/>
      </c>
      <c r="AA98" s="53" t="str">
        <f t="shared" si="11"/>
        <v/>
      </c>
    </row>
    <row r="99" spans="2:27" x14ac:dyDescent="0.25">
      <c r="B99" s="21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22"/>
      <c r="V99" s="91" t="str">
        <f t="shared" si="7"/>
        <v/>
      </c>
      <c r="W99" s="17" t="str">
        <f t="shared" si="8"/>
        <v/>
      </c>
      <c r="X99" s="17" t="str">
        <f t="shared" si="9"/>
        <v/>
      </c>
      <c r="Y99" s="17" t="str">
        <f t="shared" si="10"/>
        <v/>
      </c>
      <c r="Z99" s="17" t="str">
        <f t="shared" si="6"/>
        <v/>
      </c>
      <c r="AA99" s="53" t="str">
        <f t="shared" si="11"/>
        <v/>
      </c>
    </row>
    <row r="100" spans="2:27" ht="15.75" thickBot="1" x14ac:dyDescent="0.3">
      <c r="B100" s="2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3"/>
      <c r="V100" s="92" t="str">
        <f t="shared" si="7"/>
        <v/>
      </c>
      <c r="W100" s="23" t="str">
        <f t="shared" si="8"/>
        <v/>
      </c>
      <c r="X100" s="23" t="str">
        <f t="shared" si="9"/>
        <v/>
      </c>
      <c r="Y100" s="23" t="str">
        <f t="shared" si="10"/>
        <v/>
      </c>
      <c r="Z100" s="23" t="str">
        <f t="shared" si="6"/>
        <v/>
      </c>
      <c r="AA100" s="40" t="str">
        <f t="shared" si="11"/>
        <v/>
      </c>
    </row>
  </sheetData>
  <mergeCells count="3">
    <mergeCell ref="AF15:AH15"/>
    <mergeCell ref="AF30:AH30"/>
    <mergeCell ref="AF45:AH4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DD8A7-083A-482B-B36C-AF167762ABFC}">
  <dimension ref="B2:R29"/>
  <sheetViews>
    <sheetView workbookViewId="0">
      <selection activeCell="H23" sqref="H23"/>
    </sheetView>
  </sheetViews>
  <sheetFormatPr defaultRowHeight="15" x14ac:dyDescent="0.25"/>
  <cols>
    <col min="1" max="1" width="4.28515625" customWidth="1"/>
    <col min="2" max="2" width="13.85546875" bestFit="1" customWidth="1"/>
    <col min="3" max="3" width="23" bestFit="1" customWidth="1"/>
    <col min="4" max="4" width="15.28515625" bestFit="1" customWidth="1"/>
    <col min="5" max="5" width="6.28515625" bestFit="1" customWidth="1"/>
    <col min="6" max="6" width="13.28515625" bestFit="1" customWidth="1"/>
    <col min="7" max="7" width="4.28515625" customWidth="1"/>
    <col min="8" max="8" width="13.85546875" bestFit="1" customWidth="1"/>
    <col min="9" max="9" width="26.28515625" bestFit="1" customWidth="1"/>
    <col min="10" max="10" width="16.140625" bestFit="1" customWidth="1"/>
    <col min="11" max="11" width="6.28515625" bestFit="1" customWidth="1"/>
    <col min="12" max="12" width="13.28515625" bestFit="1" customWidth="1"/>
    <col min="13" max="13" width="4.28515625" customWidth="1"/>
    <col min="14" max="14" width="13.85546875" bestFit="1" customWidth="1"/>
    <col min="15" max="15" width="28.85546875" bestFit="1" customWidth="1"/>
    <col min="16" max="16" width="10.5703125" bestFit="1" customWidth="1"/>
    <col min="17" max="17" width="6.28515625" bestFit="1" customWidth="1"/>
    <col min="18" max="18" width="13.28515625" bestFit="1" customWidth="1"/>
  </cols>
  <sheetData>
    <row r="2" spans="2:18" ht="15.75" thickBot="1" x14ac:dyDescent="0.3"/>
    <row r="3" spans="2:18" ht="15.75" thickBot="1" x14ac:dyDescent="0.3">
      <c r="B3" s="305" t="s">
        <v>64</v>
      </c>
      <c r="C3" s="306"/>
      <c r="D3" s="306"/>
      <c r="E3" s="306"/>
      <c r="F3" s="307"/>
      <c r="H3" s="305" t="s">
        <v>26</v>
      </c>
      <c r="I3" s="306"/>
      <c r="J3" s="306"/>
      <c r="K3" s="306"/>
      <c r="L3" s="307"/>
      <c r="N3" s="305" t="s">
        <v>32</v>
      </c>
      <c r="O3" s="306"/>
      <c r="P3" s="306"/>
      <c r="Q3" s="306"/>
      <c r="R3" s="307"/>
    </row>
    <row r="4" spans="2:18" ht="15.75" thickBot="1" x14ac:dyDescent="0.3">
      <c r="B4" s="26" t="s">
        <v>50</v>
      </c>
      <c r="C4" s="79" t="s">
        <v>35</v>
      </c>
      <c r="D4" s="79" t="s">
        <v>36</v>
      </c>
      <c r="E4" s="79" t="s">
        <v>37</v>
      </c>
      <c r="F4" s="27" t="s">
        <v>65</v>
      </c>
      <c r="H4" s="28" t="s">
        <v>50</v>
      </c>
      <c r="I4" s="29" t="s">
        <v>35</v>
      </c>
      <c r="J4" s="29" t="s">
        <v>36</v>
      </c>
      <c r="K4" s="29" t="s">
        <v>37</v>
      </c>
      <c r="L4" s="30" t="s">
        <v>65</v>
      </c>
      <c r="N4" s="28" t="s">
        <v>50</v>
      </c>
      <c r="O4" s="29" t="s">
        <v>35</v>
      </c>
      <c r="P4" s="29" t="s">
        <v>36</v>
      </c>
      <c r="Q4" s="29" t="s">
        <v>37</v>
      </c>
      <c r="R4" s="30" t="s">
        <v>65</v>
      </c>
    </row>
    <row r="5" spans="2:18" x14ac:dyDescent="0.25">
      <c r="B5" s="44" t="str">
        <f>IFERROR(IF('Ber. st. 1'!B4=0,"",'Ber. st. 1'!B4),"")</f>
        <v/>
      </c>
      <c r="C5" s="78" t="str">
        <f>IF('Ber. st. 1'!C4=0,"",'Ber. st. 1'!C4)</f>
        <v/>
      </c>
      <c r="D5" s="78" t="str">
        <f>IF('Ber. st. 1'!D4=0,"",'Ber. st. 1'!D4)</f>
        <v/>
      </c>
      <c r="E5" s="80" t="str">
        <f>IF('Ber. st. 1'!E4=0,"",'Ber. st. 1'!E4)</f>
        <v/>
      </c>
      <c r="F5" s="25" t="str">
        <f>IF('Ber. st. 1'!G4=0,"",'Ber. st. 1'!G4)</f>
        <v/>
      </c>
      <c r="H5" s="84" t="str">
        <f>IFERROR(IF('Ber. st. 4'!B4=0,"",'Ber. st. 4'!B4),"")</f>
        <v/>
      </c>
      <c r="I5" s="19" t="str">
        <f>IF('Ber. st. 4'!C4=0,"",'Ber. st. 4'!C4)</f>
        <v/>
      </c>
      <c r="J5" s="19" t="str">
        <f>IF('Ber. st. 4'!D4=0,"",'Ber. st. 4'!D4)</f>
        <v/>
      </c>
      <c r="K5" s="82" t="str">
        <f>IF('Ber. st. 4'!E4=0,"",'Ber. st. 4'!E4)</f>
        <v/>
      </c>
      <c r="L5" s="20" t="str">
        <f>IF('Ber. st. 4'!G4=0,"",'Ber. st. 4'!G4)</f>
        <v/>
      </c>
      <c r="N5" s="84" t="str">
        <f>IFERROR(IF('Ber. st. 7'!B4=0,"",'Ber. st. 7'!B4),"")</f>
        <v/>
      </c>
      <c r="O5" s="19" t="str">
        <f>IF('Ber. st. 7'!C4=0,"",'Ber. st. 7'!C4)</f>
        <v/>
      </c>
      <c r="P5" s="19" t="str">
        <f>IF('Ber. st. 7'!D4=0,"",'Ber. st. 7'!D4)</f>
        <v/>
      </c>
      <c r="Q5" s="82" t="str">
        <f>IF('Ber. st. 7'!E4=0,"",'Ber. st. 7'!E4)</f>
        <v/>
      </c>
      <c r="R5" s="20" t="str">
        <f>IF('Ber. st. 7'!G4=0,"",'Ber. st. 7'!G4)</f>
        <v/>
      </c>
    </row>
    <row r="6" spans="2:18" x14ac:dyDescent="0.25">
      <c r="B6" s="43" t="str">
        <f>IFERROR(IF('Ber. st. 1'!B5=0,"",'Ber. st. 1'!B5),"")</f>
        <v/>
      </c>
      <c r="C6" s="17" t="str">
        <f>IF('Ber. st. 1'!C5=0,"",'Ber. st. 1'!C5)</f>
        <v/>
      </c>
      <c r="D6" s="17" t="str">
        <f>IF('Ber. st. 1'!D5=0,"",'Ber. st. 1'!D5)</f>
        <v/>
      </c>
      <c r="E6" s="77" t="str">
        <f>IF('Ber. st. 1'!E5=0,"",'Ber. st. 1'!E5)</f>
        <v/>
      </c>
      <c r="F6" s="22" t="str">
        <f>IF('Ber. st. 1'!G5=0,"",'Ber. st. 1'!G5)</f>
        <v/>
      </c>
      <c r="H6" s="43" t="str">
        <f>IFERROR(IF('Ber. st. 4'!B5=0,"",'Ber. st. 4'!B5),"")</f>
        <v/>
      </c>
      <c r="I6" s="17" t="str">
        <f>IF('Ber. st. 4'!C5=0,"",'Ber. st. 4'!C5)</f>
        <v/>
      </c>
      <c r="J6" s="17" t="str">
        <f>IF('Ber. st. 4'!D5=0,"",'Ber. st. 4'!D5)</f>
        <v/>
      </c>
      <c r="K6" s="77" t="str">
        <f>IF('Ber. st. 4'!E5=0,"",'Ber. st. 4'!E5)</f>
        <v/>
      </c>
      <c r="L6" s="22" t="str">
        <f>IF('Ber. st. 4'!G5=0,"",'Ber. st. 4'!G5)</f>
        <v/>
      </c>
      <c r="N6" s="43" t="str">
        <f>IFERROR(IF('Ber. st. 7'!B5=0,"",'Ber. st. 7'!B5),"")</f>
        <v/>
      </c>
      <c r="O6" s="17" t="str">
        <f>IF('Ber. st. 7'!C5=0,"",'Ber. st. 7'!C5)</f>
        <v/>
      </c>
      <c r="P6" s="17" t="str">
        <f>IF('Ber. st. 7'!D5=0,"",'Ber. st. 7'!D5)</f>
        <v/>
      </c>
      <c r="Q6" s="77" t="str">
        <f>IF('Ber. st. 7'!E5=0,"",'Ber. st. 7'!E5)</f>
        <v/>
      </c>
      <c r="R6" s="22" t="str">
        <f>IF('Ber. st. 7'!G5=0,"",'Ber. st. 7'!G5)</f>
        <v/>
      </c>
    </row>
    <row r="7" spans="2:18" x14ac:dyDescent="0.25">
      <c r="B7" s="43" t="str">
        <f>IFERROR(IF('Ber. st. 1'!B6=0,"",'Ber. st. 1'!B6),"")</f>
        <v/>
      </c>
      <c r="C7" s="17" t="str">
        <f>IF('Ber. st. 1'!C6=0,"",'Ber. st. 1'!C6)</f>
        <v/>
      </c>
      <c r="D7" s="17" t="str">
        <f>IF('Ber. st. 1'!D6=0,"",'Ber. st. 1'!D6)</f>
        <v/>
      </c>
      <c r="E7" s="77" t="str">
        <f>IF('Ber. st. 1'!E6=0,"",'Ber. st. 1'!E6)</f>
        <v/>
      </c>
      <c r="F7" s="22" t="str">
        <f>IF('Ber. st. 1'!G6=0,"",'Ber. st. 1'!G6)</f>
        <v/>
      </c>
      <c r="H7" s="43" t="str">
        <f>IFERROR(IF('Ber. st. 4'!B6=0,"",'Ber. st. 4'!B6),"")</f>
        <v/>
      </c>
      <c r="I7" s="17" t="str">
        <f>IF('Ber. st. 4'!C6=0,"",'Ber. st. 4'!C6)</f>
        <v/>
      </c>
      <c r="J7" s="17" t="str">
        <f>IF('Ber. st. 4'!D6=0,"",'Ber. st. 4'!D6)</f>
        <v/>
      </c>
      <c r="K7" s="77" t="str">
        <f>IF('Ber. st. 4'!E6=0,"",'Ber. st. 4'!E6)</f>
        <v/>
      </c>
      <c r="L7" s="22" t="str">
        <f>IF('Ber. st. 4'!G6=0,"",'Ber. st. 4'!G6)</f>
        <v/>
      </c>
      <c r="N7" s="43" t="str">
        <f>IFERROR(IF('Ber. st. 7'!B6=0,"",'Ber. st. 7'!B6),"")</f>
        <v/>
      </c>
      <c r="O7" s="17" t="str">
        <f>IF('Ber. st. 7'!C6=0,"",'Ber. st. 7'!C6)</f>
        <v/>
      </c>
      <c r="P7" s="17" t="str">
        <f>IF('Ber. st. 7'!D6=0,"",'Ber. st. 7'!D6)</f>
        <v/>
      </c>
      <c r="Q7" s="77" t="str">
        <f>IF('Ber. st. 7'!E6=0,"",'Ber. st. 7'!E6)</f>
        <v/>
      </c>
      <c r="R7" s="22" t="str">
        <f>IF('Ber. st. 7'!G6=0,"",'Ber. st. 7'!G6)</f>
        <v/>
      </c>
    </row>
    <row r="8" spans="2:18" x14ac:dyDescent="0.25">
      <c r="B8" s="43" t="str">
        <f>IFERROR(IF('Ber. st. 1'!B7=0,"",'Ber. st. 1'!B7),"")</f>
        <v/>
      </c>
      <c r="C8" s="17" t="str">
        <f>IF('Ber. st. 1'!C7=0,"",'Ber. st. 1'!C7)</f>
        <v/>
      </c>
      <c r="D8" s="17" t="str">
        <f>IF('Ber. st. 1'!D7=0,"",'Ber. st. 1'!D7)</f>
        <v/>
      </c>
      <c r="E8" s="77" t="str">
        <f>IF('Ber. st. 1'!E7=0,"",'Ber. st. 1'!E7)</f>
        <v/>
      </c>
      <c r="F8" s="22" t="str">
        <f>IF('Ber. st. 1'!G7=0,"",'Ber. st. 1'!G7)</f>
        <v/>
      </c>
      <c r="H8" s="43" t="str">
        <f>IFERROR(IF('Ber. st. 4'!B7=0,"",'Ber. st. 4'!B7),"")</f>
        <v/>
      </c>
      <c r="I8" s="17" t="str">
        <f>IF('Ber. st. 4'!C7=0,"",'Ber. st. 4'!C7)</f>
        <v/>
      </c>
      <c r="J8" s="17" t="str">
        <f>IF('Ber. st. 4'!D7=0,"",'Ber. st. 4'!D7)</f>
        <v/>
      </c>
      <c r="K8" s="77" t="str">
        <f>IF('Ber. st. 4'!E7=0,"",'Ber. st. 4'!E7)</f>
        <v/>
      </c>
      <c r="L8" s="22" t="str">
        <f>IF('Ber. st. 4'!G7=0,"",'Ber. st. 4'!G7)</f>
        <v/>
      </c>
      <c r="N8" s="43" t="str">
        <f>IFERROR(IF('Ber. st. 7'!B7=0,"",'Ber. st. 7'!B7),"")</f>
        <v/>
      </c>
      <c r="O8" s="17" t="str">
        <f>IF('Ber. st. 7'!C7=0,"",'Ber. st. 7'!C7)</f>
        <v/>
      </c>
      <c r="P8" s="17" t="str">
        <f>IF('Ber. st. 7'!D7=0,"",'Ber. st. 7'!D7)</f>
        <v/>
      </c>
      <c r="Q8" s="77" t="str">
        <f>IF('Ber. st. 7'!E7=0,"",'Ber. st. 7'!E7)</f>
        <v/>
      </c>
      <c r="R8" s="22" t="str">
        <f>IF('Ber. st. 7'!G7=0,"",'Ber. st. 7'!G7)</f>
        <v/>
      </c>
    </row>
    <row r="9" spans="2:18" x14ac:dyDescent="0.25">
      <c r="B9" s="43" t="str">
        <f>IFERROR(IF('Ber. st. 1'!B8=0,"",'Ber. st. 1'!B8),"")</f>
        <v/>
      </c>
      <c r="C9" s="17" t="str">
        <f>IF('Ber. st. 1'!C8=0,"",'Ber. st. 1'!C8)</f>
        <v/>
      </c>
      <c r="D9" s="17" t="str">
        <f>IF('Ber. st. 1'!D8=0,"",'Ber. st. 1'!D8)</f>
        <v/>
      </c>
      <c r="E9" s="77" t="str">
        <f>IF('Ber. st. 1'!E8=0,"",'Ber. st. 1'!E8)</f>
        <v/>
      </c>
      <c r="F9" s="22" t="str">
        <f>IF('Ber. st. 1'!G8=0,"",'Ber. st. 1'!G8)</f>
        <v/>
      </c>
      <c r="H9" s="43" t="str">
        <f>IFERROR(IF('Ber. st. 4'!B8=0,"",'Ber. st. 4'!B8),"")</f>
        <v/>
      </c>
      <c r="I9" s="17" t="str">
        <f>IF('Ber. st. 4'!C8=0,"",'Ber. st. 4'!C8)</f>
        <v/>
      </c>
      <c r="J9" s="17" t="str">
        <f>IF('Ber. st. 4'!D8=0,"",'Ber. st. 4'!D8)</f>
        <v/>
      </c>
      <c r="K9" s="77" t="str">
        <f>IF('Ber. st. 4'!E8=0,"",'Ber. st. 4'!E8)</f>
        <v/>
      </c>
      <c r="L9" s="22" t="str">
        <f>IF('Ber. st. 4'!G8=0,"",'Ber. st. 4'!G8)</f>
        <v/>
      </c>
      <c r="N9" s="43" t="str">
        <f>IFERROR(IF('Ber. st. 7'!B8=0,"",'Ber. st. 7'!B8),"")</f>
        <v/>
      </c>
      <c r="O9" s="17" t="str">
        <f>IF('Ber. st. 7'!C8=0,"",'Ber. st. 7'!C8)</f>
        <v/>
      </c>
      <c r="P9" s="17" t="str">
        <f>IF('Ber. st. 7'!D8=0,"",'Ber. st. 7'!D8)</f>
        <v/>
      </c>
      <c r="Q9" s="77" t="str">
        <f>IF('Ber. st. 7'!E8=0,"",'Ber. st. 7'!E8)</f>
        <v/>
      </c>
      <c r="R9" s="22" t="str">
        <f>IF('Ber. st. 7'!G8=0,"",'Ber. st. 7'!G8)</f>
        <v/>
      </c>
    </row>
    <row r="10" spans="2:18" x14ac:dyDescent="0.25">
      <c r="B10" s="43" t="str">
        <f>IFERROR(IF('Ber. st. 1'!B9=0,"",'Ber. st. 1'!B9),"")</f>
        <v/>
      </c>
      <c r="C10" s="17" t="str">
        <f>IF('Ber. st. 1'!C9=0,"",'Ber. st. 1'!C9)</f>
        <v/>
      </c>
      <c r="D10" s="17" t="str">
        <f>IF('Ber. st. 1'!D9=0,"",'Ber. st. 1'!D9)</f>
        <v/>
      </c>
      <c r="E10" s="77" t="str">
        <f>IF('Ber. st. 1'!E9=0,"",'Ber. st. 1'!E9)</f>
        <v/>
      </c>
      <c r="F10" s="22" t="str">
        <f>IF('Ber. st. 1'!G9=0,"",'Ber. st. 1'!G9)</f>
        <v/>
      </c>
      <c r="H10" s="43" t="str">
        <f>IFERROR(IF('Ber. st. 4'!B9=0,"",'Ber. st. 4'!B9),"")</f>
        <v/>
      </c>
      <c r="I10" s="17" t="str">
        <f>IF('Ber. st. 4'!C9=0,"",'Ber. st. 4'!C9)</f>
        <v/>
      </c>
      <c r="J10" s="17" t="str">
        <f>IF('Ber. st. 4'!D9=0,"",'Ber. st. 4'!D9)</f>
        <v/>
      </c>
      <c r="K10" s="77" t="str">
        <f>IF('Ber. st. 4'!E9=0,"",'Ber. st. 4'!E9)</f>
        <v/>
      </c>
      <c r="L10" s="22" t="str">
        <f>IF('Ber. st. 4'!G9=0,"",'Ber. st. 4'!G9)</f>
        <v/>
      </c>
      <c r="N10" s="43" t="str">
        <f>IFERROR(IF('Ber. st. 7'!B9=0,"",'Ber. st. 7'!B9),"")</f>
        <v/>
      </c>
      <c r="O10" s="17" t="str">
        <f>IF('Ber. st. 7'!C9=0,"",'Ber. st. 7'!C9)</f>
        <v/>
      </c>
      <c r="P10" s="17" t="str">
        <f>IF('Ber. st. 7'!D9=0,"",'Ber. st. 7'!D9)</f>
        <v/>
      </c>
      <c r="Q10" s="77" t="str">
        <f>IF('Ber. st. 7'!E9=0,"",'Ber. st. 7'!E9)</f>
        <v/>
      </c>
      <c r="R10" s="22" t="str">
        <f>IF('Ber. st. 7'!G9=0,"",'Ber. st. 7'!G9)</f>
        <v/>
      </c>
    </row>
    <row r="11" spans="2:18" ht="15.75" thickBot="1" x14ac:dyDescent="0.3">
      <c r="B11" s="83" t="str">
        <f>IFERROR(IF('Ber. st. 1'!B10=0,"",'Ber. st. 1'!B10),"")</f>
        <v/>
      </c>
      <c r="C11" s="23" t="str">
        <f>IF('Ber. st. 1'!C10=0,"",'Ber. st. 1'!C10)</f>
        <v/>
      </c>
      <c r="D11" s="23" t="str">
        <f>IF('Ber. st. 1'!D10=0,"",'Ber. st. 1'!D10)</f>
        <v/>
      </c>
      <c r="E11" s="81" t="str">
        <f>IF('Ber. st. 1'!E10=0,"",'Ber. st. 1'!E10)</f>
        <v/>
      </c>
      <c r="F11" s="3" t="str">
        <f>IF('Ber. st. 1'!G10=0,"",'Ber. st. 1'!G10)</f>
        <v/>
      </c>
      <c r="H11" s="83" t="str">
        <f>IFERROR(IF('Ber. st. 4'!B10=0,"",'Ber. st. 4'!B10),"")</f>
        <v/>
      </c>
      <c r="I11" s="23" t="str">
        <f>IF('Ber. st. 4'!C10=0,"",'Ber. st. 4'!C10)</f>
        <v/>
      </c>
      <c r="J11" s="23" t="str">
        <f>IF('Ber. st. 4'!D10=0,"",'Ber. st. 4'!D10)</f>
        <v/>
      </c>
      <c r="K11" s="81" t="str">
        <f>IF('Ber. st. 4'!E10=0,"",'Ber. st. 4'!E10)</f>
        <v/>
      </c>
      <c r="L11" s="3" t="str">
        <f>IF('Ber. st. 4'!G10=0,"",'Ber. st. 4'!G10)</f>
        <v/>
      </c>
      <c r="N11" s="83" t="str">
        <f>IFERROR(IF('Ber. st. 7'!B10=0,"",'Ber. st. 7'!B10),"")</f>
        <v/>
      </c>
      <c r="O11" s="23" t="str">
        <f>IF('Ber. st. 7'!C10=0,"",'Ber. st. 7'!C10)</f>
        <v/>
      </c>
      <c r="P11" s="23" t="str">
        <f>IF('Ber. st. 7'!D10=0,"",'Ber. st. 7'!D10)</f>
        <v/>
      </c>
      <c r="Q11" s="81" t="str">
        <f>IF('Ber. st. 7'!E10=0,"",'Ber. st. 7'!E10)</f>
        <v/>
      </c>
      <c r="R11" s="3" t="str">
        <f>IF('Ber. st. 7'!G10=0,"",'Ber. st. 7'!G10)</f>
        <v/>
      </c>
    </row>
    <row r="12" spans="2:18" ht="15.75" thickBot="1" x14ac:dyDescent="0.3"/>
    <row r="13" spans="2:18" ht="15.75" thickBot="1" x14ac:dyDescent="0.3">
      <c r="B13" s="305" t="s">
        <v>39</v>
      </c>
      <c r="C13" s="306"/>
      <c r="D13" s="306"/>
      <c r="E13" s="306"/>
      <c r="F13" s="307"/>
      <c r="H13" s="305" t="s">
        <v>40</v>
      </c>
      <c r="I13" s="306"/>
      <c r="J13" s="306"/>
      <c r="K13" s="306"/>
      <c r="L13" s="307"/>
      <c r="N13" s="305" t="s">
        <v>41</v>
      </c>
      <c r="O13" s="306"/>
      <c r="P13" s="306"/>
      <c r="Q13" s="306"/>
      <c r="R13" s="307"/>
    </row>
    <row r="14" spans="2:18" ht="15.75" thickBot="1" x14ac:dyDescent="0.3">
      <c r="B14" s="28" t="s">
        <v>50</v>
      </c>
      <c r="C14" s="29" t="s">
        <v>35</v>
      </c>
      <c r="D14" s="29" t="s">
        <v>36</v>
      </c>
      <c r="E14" s="29" t="s">
        <v>37</v>
      </c>
      <c r="F14" s="30" t="s">
        <v>65</v>
      </c>
      <c r="H14" s="28" t="s">
        <v>50</v>
      </c>
      <c r="I14" s="29" t="s">
        <v>35</v>
      </c>
      <c r="J14" s="29" t="s">
        <v>36</v>
      </c>
      <c r="K14" s="29" t="s">
        <v>37</v>
      </c>
      <c r="L14" s="30" t="s">
        <v>65</v>
      </c>
      <c r="N14" s="28" t="s">
        <v>50</v>
      </c>
      <c r="O14" s="29" t="s">
        <v>35</v>
      </c>
      <c r="P14" s="29" t="s">
        <v>36</v>
      </c>
      <c r="Q14" s="29" t="s">
        <v>37</v>
      </c>
      <c r="R14" s="30" t="s">
        <v>65</v>
      </c>
    </row>
    <row r="15" spans="2:18" x14ac:dyDescent="0.25">
      <c r="B15" s="84" t="str">
        <f>IFERROR(IF('Ber. st. 2'!B4=0,"",'Ber. st. 2'!B4),"")</f>
        <v/>
      </c>
      <c r="C15" s="19" t="str">
        <f>IF('Ber. st. 2'!C4=0,"",'Ber. st. 2'!C4)</f>
        <v/>
      </c>
      <c r="D15" s="19" t="str">
        <f>IF('Ber. st. 2'!D4=0,"",'Ber. st. 2'!D4)</f>
        <v/>
      </c>
      <c r="E15" s="82" t="str">
        <f>IF('Ber. st. 2'!E4=0,"",'Ber. st. 2'!E4)</f>
        <v/>
      </c>
      <c r="F15" s="20" t="str">
        <f>IF('Ber. st. 2'!G4=0,"",'Ber. st. 2'!G4)</f>
        <v/>
      </c>
      <c r="H15" s="84" t="str">
        <f>IFERROR(IF('Ber. st. 5'!B4=0,"",'Ber. st. 5'!B4),"")</f>
        <v/>
      </c>
      <c r="I15" s="19" t="str">
        <f>IF('Ber. st. 5'!C4=0,"",'Ber. st. 5'!C4)</f>
        <v/>
      </c>
      <c r="J15" s="19" t="str">
        <f>IF('Ber. st. 5'!D4=0,"",'Ber. st. 5'!D4)</f>
        <v/>
      </c>
      <c r="K15" s="82" t="str">
        <f>IF('Ber. st. 5'!E4=0,"",'Ber. st. 5'!E4)</f>
        <v/>
      </c>
      <c r="L15" s="20" t="str">
        <f>IF('Ber. st. 5'!G4=0,"",'Ber. st. 5'!G4)</f>
        <v/>
      </c>
      <c r="N15" s="84" t="str">
        <f>IFERROR(IF('Ber. st. 8'!B4=0,"",'Ber. st. 8'!B4),"")</f>
        <v/>
      </c>
      <c r="O15" s="19" t="str">
        <f>IF('Ber. st. 8'!C4=0,"",'Ber. st. 8'!C4)</f>
        <v/>
      </c>
      <c r="P15" s="19" t="str">
        <f>IF('Ber. st. 8'!D4=0,"",'Ber. st. 8'!D4)</f>
        <v/>
      </c>
      <c r="Q15" s="82" t="str">
        <f>IF('Ber. st. 8'!E4=0,"",'Ber. st. 8'!E4)</f>
        <v/>
      </c>
      <c r="R15" s="20" t="str">
        <f>IF('Ber. st. 8'!G4=0,"",'Ber. st. 8'!G4)</f>
        <v/>
      </c>
    </row>
    <row r="16" spans="2:18" x14ac:dyDescent="0.25">
      <c r="B16" s="43" t="str">
        <f>IFERROR(IF('Ber. st. 2'!B5=0,"",'Ber. st. 2'!B5),"")</f>
        <v/>
      </c>
      <c r="C16" s="17" t="str">
        <f>IF('Ber. st. 2'!C5=0,"",'Ber. st. 2'!C5)</f>
        <v/>
      </c>
      <c r="D16" s="17" t="str">
        <f>IF('Ber. st. 2'!D5=0,"",'Ber. st. 2'!D5)</f>
        <v/>
      </c>
      <c r="E16" s="77" t="str">
        <f>IF('Ber. st. 2'!E5=0,"",'Ber. st. 2'!E5)</f>
        <v/>
      </c>
      <c r="F16" s="22" t="str">
        <f>IF('Ber. st. 2'!G5=0,"",'Ber. st. 2'!G5)</f>
        <v/>
      </c>
      <c r="H16" s="43" t="str">
        <f>IFERROR(IF('Ber. st. 5'!B5=0,"",'Ber. st. 5'!B5),"")</f>
        <v/>
      </c>
      <c r="I16" s="17" t="str">
        <f>IF('Ber. st. 5'!C5=0,"",'Ber. st. 5'!C5)</f>
        <v/>
      </c>
      <c r="J16" s="17" t="str">
        <f>IF('Ber. st. 5'!D5=0,"",'Ber. st. 5'!D5)</f>
        <v/>
      </c>
      <c r="K16" s="77" t="str">
        <f>IF('Ber. st. 5'!E5=0,"",'Ber. st. 5'!E5)</f>
        <v/>
      </c>
      <c r="L16" s="22" t="str">
        <f>IF('Ber. st. 5'!G5=0,"",'Ber. st. 5'!G5)</f>
        <v/>
      </c>
      <c r="N16" s="43" t="str">
        <f>IFERROR(IF('Ber. st. 8'!B5=0,"",'Ber. st. 8'!B5),"")</f>
        <v/>
      </c>
      <c r="O16" s="17" t="str">
        <f>IF('Ber. st. 8'!C5=0,"",'Ber. st. 8'!C5)</f>
        <v/>
      </c>
      <c r="P16" s="17" t="str">
        <f>IF('Ber. st. 8'!D5=0,"",'Ber. st. 8'!D5)</f>
        <v/>
      </c>
      <c r="Q16" s="77" t="str">
        <f>IF('Ber. st. 8'!E5=0,"",'Ber. st. 8'!E5)</f>
        <v/>
      </c>
      <c r="R16" s="22" t="str">
        <f>IF('Ber. st. 8'!G5=0,"",'Ber. st. 8'!G5)</f>
        <v/>
      </c>
    </row>
    <row r="17" spans="2:18" x14ac:dyDescent="0.25">
      <c r="B17" s="43" t="str">
        <f>IFERROR(IF('Ber. st. 2'!B6=0,"",'Ber. st. 2'!B6),"")</f>
        <v/>
      </c>
      <c r="C17" s="17" t="str">
        <f>IF('Ber. st. 2'!C6=0,"",'Ber. st. 2'!C6)</f>
        <v/>
      </c>
      <c r="D17" s="17" t="str">
        <f>IF('Ber. st. 2'!D6=0,"",'Ber. st. 2'!D6)</f>
        <v/>
      </c>
      <c r="E17" s="77" t="str">
        <f>IF('Ber. st. 2'!E6=0,"",'Ber. st. 2'!E6)</f>
        <v/>
      </c>
      <c r="F17" s="22" t="str">
        <f>IF('Ber. st. 2'!G6=0,"",'Ber. st. 2'!G6)</f>
        <v/>
      </c>
      <c r="H17" s="43" t="str">
        <f>IFERROR(IF('Ber. st. 5'!B6=0,"",'Ber. st. 5'!B6),"")</f>
        <v/>
      </c>
      <c r="I17" s="17" t="str">
        <f>IF('Ber. st. 5'!C6=0,"",'Ber. st. 5'!C6)</f>
        <v/>
      </c>
      <c r="J17" s="17" t="str">
        <f>IF('Ber. st. 5'!D6=0,"",'Ber. st. 5'!D6)</f>
        <v/>
      </c>
      <c r="K17" s="77" t="str">
        <f>IF('Ber. st. 5'!E6=0,"",'Ber. st. 5'!E6)</f>
        <v/>
      </c>
      <c r="L17" s="22" t="str">
        <f>IF('Ber. st. 5'!G6=0,"",'Ber. st. 5'!G6)</f>
        <v/>
      </c>
      <c r="N17" s="43" t="str">
        <f>IFERROR(IF('Ber. st. 8'!B6=0,"",'Ber. st. 8'!B6),"")</f>
        <v/>
      </c>
      <c r="O17" s="17" t="str">
        <f>IF('Ber. st. 8'!C6=0,"",'Ber. st. 8'!C6)</f>
        <v/>
      </c>
      <c r="P17" s="17" t="str">
        <f>IF('Ber. st. 8'!D6=0,"",'Ber. st. 8'!D6)</f>
        <v/>
      </c>
      <c r="Q17" s="77" t="str">
        <f>IF('Ber. st. 8'!E6=0,"",'Ber. st. 8'!E6)</f>
        <v/>
      </c>
      <c r="R17" s="22" t="str">
        <f>IF('Ber. st. 8'!G6=0,"",'Ber. st. 8'!G6)</f>
        <v/>
      </c>
    </row>
    <row r="18" spans="2:18" x14ac:dyDescent="0.25">
      <c r="B18" s="43" t="str">
        <f>IFERROR(IF('Ber. st. 2'!B7=0,"",'Ber. st. 2'!B7),"")</f>
        <v/>
      </c>
      <c r="C18" s="17" t="str">
        <f>IF('Ber. st. 2'!C7=0,"",'Ber. st. 2'!C7)</f>
        <v/>
      </c>
      <c r="D18" s="17" t="str">
        <f>IF('Ber. st. 2'!D7=0,"",'Ber. st. 2'!D7)</f>
        <v/>
      </c>
      <c r="E18" s="77" t="str">
        <f>IF('Ber. st. 2'!E7=0,"",'Ber. st. 2'!E7)</f>
        <v/>
      </c>
      <c r="F18" s="22" t="str">
        <f>IF('Ber. st. 2'!G7=0,"",'Ber. st. 2'!G7)</f>
        <v/>
      </c>
      <c r="H18" s="43" t="str">
        <f>IFERROR(IF('Ber. st. 5'!B7=0,"",'Ber. st. 5'!B7),"")</f>
        <v/>
      </c>
      <c r="I18" s="17" t="str">
        <f>IF('Ber. st. 5'!C7=0,"",'Ber. st. 5'!C7)</f>
        <v/>
      </c>
      <c r="J18" s="17" t="str">
        <f>IF('Ber. st. 5'!D7=0,"",'Ber. st. 5'!D7)</f>
        <v/>
      </c>
      <c r="K18" s="77" t="str">
        <f>IF('Ber. st. 5'!E7=0,"",'Ber. st. 5'!E7)</f>
        <v/>
      </c>
      <c r="L18" s="22" t="str">
        <f>IF('Ber. st. 5'!G7=0,"",'Ber. st. 5'!G7)</f>
        <v/>
      </c>
      <c r="N18" s="43" t="str">
        <f>IFERROR(IF('Ber. st. 8'!B7=0,"",'Ber. st. 8'!B7),"")</f>
        <v/>
      </c>
      <c r="O18" s="17" t="str">
        <f>IF('Ber. st. 8'!C7=0,"",'Ber. st. 8'!C7)</f>
        <v/>
      </c>
      <c r="P18" s="17" t="str">
        <f>IF('Ber. st. 8'!D7=0,"",'Ber. st. 8'!D7)</f>
        <v/>
      </c>
      <c r="Q18" s="77" t="str">
        <f>IF('Ber. st. 8'!E7=0,"",'Ber. st. 8'!E7)</f>
        <v/>
      </c>
      <c r="R18" s="22" t="str">
        <f>IF('Ber. st. 8'!G7=0,"",'Ber. st. 8'!G7)</f>
        <v/>
      </c>
    </row>
    <row r="19" spans="2:18" ht="15.75" thickBot="1" x14ac:dyDescent="0.3">
      <c r="B19" s="83" t="str">
        <f>IFERROR(IF('Ber. st. 2'!B8=0,"",'Ber. st. 2'!B8),"")</f>
        <v/>
      </c>
      <c r="C19" s="23" t="str">
        <f>IF('Ber. st. 2'!C8=0,"",'Ber. st. 2'!C8)</f>
        <v/>
      </c>
      <c r="D19" s="23" t="str">
        <f>IF('Ber. st. 2'!D8=0,"",'Ber. st. 2'!D8)</f>
        <v/>
      </c>
      <c r="E19" s="81" t="str">
        <f>IF('Ber. st. 2'!E8=0,"",'Ber. st. 2'!E8)</f>
        <v/>
      </c>
      <c r="F19" s="3" t="str">
        <f>IF('Ber. st. 2'!G8=0,"",'Ber. st. 2'!G8)</f>
        <v/>
      </c>
      <c r="H19" s="83" t="str">
        <f>IFERROR(IF('Ber. st. 5'!B8=0,"",'Ber. st. 5'!B8),"")</f>
        <v/>
      </c>
      <c r="I19" s="23" t="str">
        <f>IF('Ber. st. 5'!C8=0,"",'Ber. st. 5'!C8)</f>
        <v/>
      </c>
      <c r="J19" s="23" t="str">
        <f>IF('Ber. st. 5'!D8=0,"",'Ber. st. 5'!D8)</f>
        <v/>
      </c>
      <c r="K19" s="81" t="str">
        <f>IF('Ber. st. 5'!E8=0,"",'Ber. st. 5'!E8)</f>
        <v/>
      </c>
      <c r="L19" s="3" t="str">
        <f>IF('Ber. st. 5'!G8=0,"",'Ber. st. 5'!G8)</f>
        <v/>
      </c>
      <c r="N19" s="83" t="str">
        <f>IFERROR(IF('Ber. st. 8'!B8=0,"",'Ber. st. 8'!B8),"")</f>
        <v/>
      </c>
      <c r="O19" s="23" t="str">
        <f>IF('Ber. st. 8'!C8=0,"",'Ber. st. 8'!C8)</f>
        <v/>
      </c>
      <c r="P19" s="23" t="str">
        <f>IF('Ber. st. 8'!D8=0,"",'Ber. st. 8'!D8)</f>
        <v/>
      </c>
      <c r="Q19" s="81" t="str">
        <f>IF('Ber. st. 8'!E8=0,"",'Ber. st. 8'!E8)</f>
        <v/>
      </c>
      <c r="R19" s="3" t="str">
        <f>IF('Ber. st. 8'!G8=0,"",'Ber. st. 8'!G8)</f>
        <v/>
      </c>
    </row>
    <row r="20" spans="2:18" ht="15.75" thickBot="1" x14ac:dyDescent="0.3"/>
    <row r="21" spans="2:18" ht="15.75" thickBot="1" x14ac:dyDescent="0.3">
      <c r="B21" s="305" t="s">
        <v>28</v>
      </c>
      <c r="C21" s="306"/>
      <c r="D21" s="306"/>
      <c r="E21" s="306"/>
      <c r="F21" s="307"/>
      <c r="H21" s="305" t="s">
        <v>27</v>
      </c>
      <c r="I21" s="306"/>
      <c r="J21" s="306"/>
      <c r="K21" s="306"/>
      <c r="L21" s="307"/>
      <c r="N21" s="305" t="s">
        <v>43</v>
      </c>
      <c r="O21" s="306"/>
      <c r="P21" s="306"/>
      <c r="Q21" s="306"/>
      <c r="R21" s="307"/>
    </row>
    <row r="22" spans="2:18" ht="15.75" thickBot="1" x14ac:dyDescent="0.3">
      <c r="B22" s="28" t="s">
        <v>50</v>
      </c>
      <c r="C22" s="29" t="s">
        <v>35</v>
      </c>
      <c r="D22" s="29" t="s">
        <v>36</v>
      </c>
      <c r="E22" s="29" t="s">
        <v>37</v>
      </c>
      <c r="F22" s="30" t="s">
        <v>65</v>
      </c>
      <c r="H22" s="28" t="s">
        <v>50</v>
      </c>
      <c r="I22" s="29" t="s">
        <v>35</v>
      </c>
      <c r="J22" s="29" t="s">
        <v>36</v>
      </c>
      <c r="K22" s="29" t="s">
        <v>37</v>
      </c>
      <c r="L22" s="30" t="s">
        <v>65</v>
      </c>
      <c r="N22" s="28" t="s">
        <v>50</v>
      </c>
      <c r="O22" s="29" t="s">
        <v>35</v>
      </c>
      <c r="P22" s="29" t="s">
        <v>36</v>
      </c>
      <c r="Q22" s="29" t="s">
        <v>37</v>
      </c>
      <c r="R22" s="30" t="s">
        <v>65</v>
      </c>
    </row>
    <row r="23" spans="2:18" x14ac:dyDescent="0.25">
      <c r="B23" s="84" t="str">
        <f>IFERROR(IF('Ber. st. 3'!B4=0,"",'Ber. st. 3'!B4),"")</f>
        <v/>
      </c>
      <c r="C23" s="19" t="str">
        <f>IF('Ber. st. 3'!C4=0,"",'Ber. st. 3'!C4)</f>
        <v/>
      </c>
      <c r="D23" s="19" t="str">
        <f>IF('Ber. st. 3'!D4=0,"",'Ber. st. 3'!D4)</f>
        <v/>
      </c>
      <c r="E23" s="82" t="str">
        <f>IF('Ber. st. 3'!E4=0,"",'Ber. st. 3'!E4)</f>
        <v/>
      </c>
      <c r="F23" s="20" t="str">
        <f>IF('Ber. st. 3'!G4=0,"",'Ber. st. 3'!G4)</f>
        <v/>
      </c>
      <c r="H23" s="84" t="str">
        <f>IFERROR(IF('Ber. st. 6'!B4=0,"",'Ber. st. 6'!B4),"")</f>
        <v/>
      </c>
      <c r="I23" s="19" t="str">
        <f>IF('Ber. st. 6'!C4=0,"",'Ber. st. 6'!C4)</f>
        <v/>
      </c>
      <c r="J23" s="19" t="str">
        <f>IF('Ber. st. 6'!D4=0,"",'Ber. st. 6'!D4)</f>
        <v/>
      </c>
      <c r="K23" s="82" t="str">
        <f>IF('Ber. st. 6'!E4=0,"",'Ber. st. 6'!E4)</f>
        <v/>
      </c>
      <c r="L23" s="20" t="str">
        <f>IF('Ber. st. 6'!G4=0,"",'Ber. st. 6'!G4)</f>
        <v/>
      </c>
      <c r="N23" s="84" t="str">
        <f>IFERROR(IF('Ber. st. 9'!B4=0,"",'Ber. st. 9'!B4),"")</f>
        <v/>
      </c>
      <c r="O23" s="19" t="str">
        <f>IF('Ber. st. 9'!C4=0,"",'Ber. st. 9'!C4)</f>
        <v/>
      </c>
      <c r="P23" s="19" t="str">
        <f>IF('Ber. st. 9'!D4=0,"",'Ber. st. 9'!D4)</f>
        <v/>
      </c>
      <c r="Q23" s="82" t="str">
        <f>IF('Ber. st. 9'!E4=0,"",'Ber. st. 9'!E4)</f>
        <v/>
      </c>
      <c r="R23" s="20" t="str">
        <f>IF('Ber. st. 9'!G4=0,"",'Ber. st. 9'!G4)</f>
        <v/>
      </c>
    </row>
    <row r="24" spans="2:18" x14ac:dyDescent="0.25">
      <c r="B24" s="43" t="str">
        <f>IFERROR(IF('Ber. st. 3'!B5=0,"",'Ber. st. 3'!B5),"")</f>
        <v/>
      </c>
      <c r="C24" s="17" t="str">
        <f>IF('Ber. st. 3'!C5=0,"",'Ber. st. 3'!C5)</f>
        <v/>
      </c>
      <c r="D24" s="17" t="str">
        <f>IF('Ber. st. 3'!D5=0,"",'Ber. st. 3'!D5)</f>
        <v/>
      </c>
      <c r="E24" s="77" t="str">
        <f>IF('Ber. st. 3'!E5=0,"",'Ber. st. 3'!E5)</f>
        <v/>
      </c>
      <c r="F24" s="22" t="str">
        <f>IF('Ber. st. 3'!G5=0,"",'Ber. st. 3'!G5)</f>
        <v/>
      </c>
      <c r="H24" s="43" t="str">
        <f>IFERROR(IF('Ber. st. 6'!B5=0,"",'Ber. st. 6'!B5),"")</f>
        <v/>
      </c>
      <c r="I24" s="17" t="str">
        <f>IF('Ber. st. 6'!C5=0,"",'Ber. st. 6'!C5)</f>
        <v/>
      </c>
      <c r="J24" s="17" t="str">
        <f>IF('Ber. st. 6'!D5=0,"",'Ber. st. 6'!D5)</f>
        <v/>
      </c>
      <c r="K24" s="77" t="str">
        <f>IF('Ber. st. 6'!E5=0,"",'Ber. st. 6'!E5)</f>
        <v/>
      </c>
      <c r="L24" s="22" t="str">
        <f>IF('Ber. st. 6'!G5=0,"",'Ber. st. 6'!G5)</f>
        <v/>
      </c>
      <c r="N24" s="21" t="str">
        <f>IFERROR(IF('Ber. st. 9'!B5=0,"",'Ber. st. 9'!B5),"")</f>
        <v/>
      </c>
      <c r="O24" s="17" t="str">
        <f>IF('Ber. st. 9'!C5=0,"",'Ber. st. 9'!C5)</f>
        <v/>
      </c>
      <c r="P24" s="17" t="str">
        <f>IF('Ber. st. 9'!D5=0,"",'Ber. st. 9'!D5)</f>
        <v/>
      </c>
      <c r="Q24" s="77" t="str">
        <f>IF('Ber. st. 9'!E5=0,"",'Ber. st. 9'!E5)</f>
        <v/>
      </c>
      <c r="R24" s="22" t="str">
        <f>IF('Ber. st. 9'!G5=0,"",'Ber. st. 9'!G5)</f>
        <v/>
      </c>
    </row>
    <row r="25" spans="2:18" x14ac:dyDescent="0.25">
      <c r="B25" s="43" t="str">
        <f>IFERROR(IF('Ber. st. 3'!B6=0,"",'Ber. st. 3'!B6),"")</f>
        <v/>
      </c>
      <c r="C25" s="17" t="str">
        <f>IF('Ber. st. 3'!C6=0,"",'Ber. st. 3'!C6)</f>
        <v/>
      </c>
      <c r="D25" s="17" t="str">
        <f>IF('Ber. st. 3'!D6=0,"",'Ber. st. 3'!D6)</f>
        <v/>
      </c>
      <c r="E25" s="77" t="str">
        <f>IF('Ber. st. 3'!E6=0,"",'Ber. st. 3'!E6)</f>
        <v/>
      </c>
      <c r="F25" s="22" t="str">
        <f>IF('Ber. st. 3'!G6=0,"",'Ber. st. 3'!G6)</f>
        <v/>
      </c>
      <c r="H25" s="43" t="str">
        <f>IFERROR(IF('Ber. st. 6'!B6=0,"",'Ber. st. 6'!B6),"")</f>
        <v/>
      </c>
      <c r="I25" s="17" t="str">
        <f>IF('Ber. st. 6'!C6=0,"",'Ber. st. 6'!C6)</f>
        <v/>
      </c>
      <c r="J25" s="17" t="str">
        <f>IF('Ber. st. 6'!D6=0,"",'Ber. st. 6'!D6)</f>
        <v/>
      </c>
      <c r="K25" s="77" t="str">
        <f>IF('Ber. st. 6'!E6=0,"",'Ber. st. 6'!E6)</f>
        <v/>
      </c>
      <c r="L25" s="22" t="str">
        <f>IF('Ber. st. 6'!G6=0,"",'Ber. st. 6'!G6)</f>
        <v/>
      </c>
      <c r="N25" s="21" t="str">
        <f>IFERROR(IF('Ber. st. 9'!B6=0,"",'Ber. st. 9'!B6),"")</f>
        <v/>
      </c>
      <c r="O25" s="17" t="str">
        <f>IF('Ber. st. 9'!C6=0,"",'Ber. st. 9'!C6)</f>
        <v/>
      </c>
      <c r="P25" s="17" t="str">
        <f>IF('Ber. st. 9'!D6=0,"",'Ber. st. 9'!D6)</f>
        <v/>
      </c>
      <c r="Q25" s="77" t="str">
        <f>IF('Ber. st. 9'!E6=0,"",'Ber. st. 9'!E6)</f>
        <v/>
      </c>
      <c r="R25" s="22" t="str">
        <f>IF('Ber. st. 9'!G6=0,"",'Ber. st. 9'!G6)</f>
        <v/>
      </c>
    </row>
    <row r="26" spans="2:18" x14ac:dyDescent="0.25">
      <c r="B26" s="43" t="str">
        <f>IFERROR(IF('Ber. st. 3'!B7=0,"",'Ber. st. 3'!B7),"")</f>
        <v/>
      </c>
      <c r="C26" s="17" t="str">
        <f>IF('Ber. st. 3'!C7=0,"",'Ber. st. 3'!C7)</f>
        <v/>
      </c>
      <c r="D26" s="17" t="str">
        <f>IF('Ber. st. 3'!D7=0,"",'Ber. st. 3'!D7)</f>
        <v/>
      </c>
      <c r="E26" s="77" t="str">
        <f>IF('Ber. st. 3'!E7=0,"",'Ber. st. 3'!E7)</f>
        <v/>
      </c>
      <c r="F26" s="22" t="str">
        <f>IF('Ber. st. 3'!G7=0,"",'Ber. st. 3'!G7)</f>
        <v/>
      </c>
      <c r="H26" s="43" t="str">
        <f>IFERROR(IF('Ber. st. 6'!B7=0,"",'Ber. st. 6'!B7),"")</f>
        <v/>
      </c>
      <c r="I26" s="17" t="str">
        <f>IF('Ber. st. 6'!C7=0,"",'Ber. st. 6'!C7)</f>
        <v/>
      </c>
      <c r="J26" s="17" t="str">
        <f>IF('Ber. st. 6'!D7=0,"",'Ber. st. 6'!D7)</f>
        <v/>
      </c>
      <c r="K26" s="77" t="str">
        <f>IF('Ber. st. 6'!E7=0,"",'Ber. st. 6'!E7)</f>
        <v/>
      </c>
      <c r="L26" s="22" t="str">
        <f>IF('Ber. st. 6'!G7=0,"",'Ber. st. 6'!G7)</f>
        <v/>
      </c>
      <c r="N26" s="21" t="str">
        <f>IFERROR(IF('Ber. st. 9'!B7=0,"",'Ber. st. 9'!B7),"")</f>
        <v/>
      </c>
      <c r="O26" s="17" t="str">
        <f>IF('Ber. st. 9'!C7=0,"",'Ber. st. 9'!C7)</f>
        <v/>
      </c>
      <c r="P26" s="17" t="str">
        <f>IF('Ber. st. 9'!D7=0,"",'Ber. st. 9'!D7)</f>
        <v/>
      </c>
      <c r="Q26" s="77" t="str">
        <f>IF('Ber. st. 9'!E7=0,"",'Ber. st. 9'!E7)</f>
        <v/>
      </c>
      <c r="R26" s="22" t="str">
        <f>IF('Ber. st. 9'!G7=0,"",'Ber. st. 9'!G7)</f>
        <v/>
      </c>
    </row>
    <row r="27" spans="2:18" x14ac:dyDescent="0.25">
      <c r="B27" s="43" t="str">
        <f>IFERROR(IF('Ber. st. 3'!B8=0,"",'Ber. st. 3'!B8),"")</f>
        <v/>
      </c>
      <c r="C27" s="17" t="str">
        <f>IF('Ber. st. 3'!C8=0,"",'Ber. st. 3'!C8)</f>
        <v/>
      </c>
      <c r="D27" s="17" t="str">
        <f>IF('Ber. st. 3'!D8=0,"",'Ber. st. 3'!D8)</f>
        <v/>
      </c>
      <c r="E27" s="77" t="str">
        <f>IF('Ber. st. 3'!E8=0,"",'Ber. st. 3'!E8)</f>
        <v/>
      </c>
      <c r="F27" s="22" t="str">
        <f>IF('Ber. st. 3'!G8=0,"",'Ber. st. 3'!G8)</f>
        <v/>
      </c>
      <c r="H27" s="43" t="str">
        <f>IFERROR(IF('Ber. st. 6'!B8=0,"",'Ber. st. 6'!B8),"")</f>
        <v/>
      </c>
      <c r="I27" s="17" t="str">
        <f>IF('Ber. st. 6'!C8=0,"",'Ber. st. 6'!C8)</f>
        <v/>
      </c>
      <c r="J27" s="17" t="str">
        <f>IF('Ber. st. 6'!D8=0,"",'Ber. st. 6'!D8)</f>
        <v/>
      </c>
      <c r="K27" s="77" t="str">
        <f>IF('Ber. st. 6'!E8=0,"",'Ber. st. 6'!E8)</f>
        <v/>
      </c>
      <c r="L27" s="22" t="str">
        <f>IF('Ber. st. 6'!G8=0,"",'Ber. st. 6'!G8)</f>
        <v/>
      </c>
      <c r="N27" s="21" t="str">
        <f>IFERROR(IF('Ber. st. 9'!B8=0,"",'Ber. st. 9'!B8),"")</f>
        <v/>
      </c>
      <c r="O27" s="17" t="str">
        <f>IF('Ber. st. 9'!C8=0,"",'Ber. st. 9'!C8)</f>
        <v/>
      </c>
      <c r="P27" s="17" t="str">
        <f>IF('Ber. st. 9'!D8=0,"",'Ber. st. 9'!D8)</f>
        <v/>
      </c>
      <c r="Q27" s="77" t="str">
        <f>IF('Ber. st. 9'!E8=0,"",'Ber. st. 9'!E8)</f>
        <v/>
      </c>
      <c r="R27" s="22" t="str">
        <f>IF('Ber. st. 9'!G8=0,"",'Ber. st. 9'!G8)</f>
        <v/>
      </c>
    </row>
    <row r="28" spans="2:18" x14ac:dyDescent="0.25">
      <c r="B28" s="43" t="str">
        <f>IFERROR(IF('Ber. st. 3'!B9=0,"",'Ber. st. 3'!B9),"")</f>
        <v/>
      </c>
      <c r="C28" s="17" t="str">
        <f>IF('Ber. st. 3'!C9=0,"",'Ber. st. 3'!C9)</f>
        <v/>
      </c>
      <c r="D28" s="17" t="str">
        <f>IF('Ber. st. 3'!D9=0,"",'Ber. st. 3'!D9)</f>
        <v/>
      </c>
      <c r="E28" s="77" t="str">
        <f>IF('Ber. st. 3'!E9=0,"",'Ber. st. 3'!E9)</f>
        <v/>
      </c>
      <c r="F28" s="22" t="str">
        <f>IF('Ber. st. 3'!G9=0,"",'Ber. st. 3'!G9)</f>
        <v/>
      </c>
      <c r="H28" s="43" t="str">
        <f>IFERROR(IF('Ber. st. 6'!B9=0,"",'Ber. st. 6'!B9),"")</f>
        <v/>
      </c>
      <c r="I28" s="17" t="str">
        <f>IF('Ber. st. 6'!C9=0,"",'Ber. st. 6'!C9)</f>
        <v/>
      </c>
      <c r="J28" s="17" t="str">
        <f>IF('Ber. st. 6'!D9=0,"",'Ber. st. 6'!D9)</f>
        <v/>
      </c>
      <c r="K28" s="77" t="str">
        <f>IF('Ber. st. 6'!E9=0,"",'Ber. st. 6'!E9)</f>
        <v/>
      </c>
      <c r="L28" s="22" t="str">
        <f>IF('Ber. st. 6'!G9=0,"",'Ber. st. 6'!G9)</f>
        <v/>
      </c>
      <c r="N28" s="21" t="str">
        <f>IFERROR(IF('Ber. st. 9'!B9=0,"",'Ber. st. 9'!B9),"")</f>
        <v/>
      </c>
      <c r="O28" s="17" t="str">
        <f>IF('Ber. st. 9'!C9=0,"",'Ber. st. 9'!C9)</f>
        <v/>
      </c>
      <c r="P28" s="17" t="str">
        <f>IF('Ber. st. 9'!D9=0,"",'Ber. st. 9'!D9)</f>
        <v/>
      </c>
      <c r="Q28" s="77" t="str">
        <f>IF('Ber. st. 9'!E9=0,"",'Ber. st. 9'!E9)</f>
        <v/>
      </c>
      <c r="R28" s="22" t="str">
        <f>IF('Ber. st. 9'!G9=0,"",'Ber. st. 9'!G9)</f>
        <v/>
      </c>
    </row>
    <row r="29" spans="2:18" ht="15.75" thickBot="1" x14ac:dyDescent="0.3">
      <c r="B29" s="83" t="str">
        <f>IFERROR(IF('Ber. st. 3'!B10=0,"",'Ber. st. 3'!B10),"")</f>
        <v/>
      </c>
      <c r="C29" s="23" t="str">
        <f>IF('Ber. st. 3'!C10=0,"",'Ber. st. 3'!C10)</f>
        <v/>
      </c>
      <c r="D29" s="23" t="str">
        <f>IF('Ber. st. 3'!D10=0,"",'Ber. st. 3'!D10)</f>
        <v/>
      </c>
      <c r="E29" s="81" t="str">
        <f>IF('Ber. st. 3'!E10=0,"",'Ber. st. 3'!E10)</f>
        <v/>
      </c>
      <c r="F29" s="3" t="str">
        <f>IF('Ber. st. 3'!G10=0,"",'Ber. st. 3'!G10)</f>
        <v/>
      </c>
      <c r="H29" s="83" t="str">
        <f>IFERROR(IF('Ber. st. 6'!B10=0,"",'Ber. st. 6'!B10),"")</f>
        <v/>
      </c>
      <c r="I29" s="23" t="str">
        <f>IF('Ber. st. 6'!C10=0,"",'Ber. st. 6'!C10)</f>
        <v/>
      </c>
      <c r="J29" s="23" t="str">
        <f>IF('Ber. st. 6'!D10=0,"",'Ber. st. 6'!D10)</f>
        <v/>
      </c>
      <c r="K29" s="81" t="str">
        <f>IF('Ber. st. 6'!E10=0,"",'Ber. st. 6'!E10)</f>
        <v/>
      </c>
      <c r="L29" s="3" t="str">
        <f>IF('Ber. st. 6'!G10=0,"",'Ber. st. 6'!G10)</f>
        <v/>
      </c>
      <c r="N29" s="2" t="str">
        <f>IFERROR(IF('Ber. st. 9'!B10=0,"",'Ber. st. 9'!B10),"")</f>
        <v/>
      </c>
      <c r="O29" s="23" t="str">
        <f>IF('Ber. st. 9'!C10=0,"",'Ber. st. 9'!C10)</f>
        <v/>
      </c>
      <c r="P29" s="23" t="str">
        <f>IF('Ber. st. 9'!D10=0,"",'Ber. st. 9'!D10)</f>
        <v/>
      </c>
      <c r="Q29" s="81" t="str">
        <f>IF('Ber. st. 9'!E10=0,"",'Ber. st. 9'!E10)</f>
        <v/>
      </c>
      <c r="R29" s="3" t="str">
        <f>IF('Ber. st. 9'!G10=0,"",'Ber. st. 9'!G10)</f>
        <v/>
      </c>
    </row>
  </sheetData>
  <mergeCells count="9">
    <mergeCell ref="N3:R3"/>
    <mergeCell ref="N13:R13"/>
    <mergeCell ref="N21:R21"/>
    <mergeCell ref="B3:F3"/>
    <mergeCell ref="B13:F13"/>
    <mergeCell ref="B21:F21"/>
    <mergeCell ref="H3:L3"/>
    <mergeCell ref="H13:L13"/>
    <mergeCell ref="H21:L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24</vt:i4>
      </vt:variant>
    </vt:vector>
  </HeadingPairs>
  <TitlesOfParts>
    <vt:vector size="24" baseType="lpstr">
      <vt:lpstr>Invulblad</vt:lpstr>
      <vt:lpstr>Dashboard</vt:lpstr>
      <vt:lpstr>Uitbesteed</vt:lpstr>
      <vt:lpstr>Invulmogelijkheden</vt:lpstr>
      <vt:lpstr>Ber. st. 1</vt:lpstr>
      <vt:lpstr>Ber. st. 2</vt:lpstr>
      <vt:lpstr>Ber. st. 3</vt:lpstr>
      <vt:lpstr>Ber. st. 4</vt:lpstr>
      <vt:lpstr>Ber. st. 5</vt:lpstr>
      <vt:lpstr>Ber. st. 6</vt:lpstr>
      <vt:lpstr>Ber. st. 7</vt:lpstr>
      <vt:lpstr>Ber. st. 8</vt:lpstr>
      <vt:lpstr>Ber. st. 9</vt:lpstr>
      <vt:lpstr>Ber. Uitbesteed</vt:lpstr>
      <vt:lpstr>Ber. Hulpmateriaal</vt:lpstr>
      <vt:lpstr>Ber. Planning Totaal</vt:lpstr>
      <vt:lpstr>Ber. Planning Tomasz</vt:lpstr>
      <vt:lpstr>Ber. Planning Ed</vt:lpstr>
      <vt:lpstr>Ber. Planning Tomasz F</vt:lpstr>
      <vt:lpstr>Ber. Planning Mark</vt:lpstr>
      <vt:lpstr>Ber. Planning Zoltan</vt:lpstr>
      <vt:lpstr>Ber. Planning Voorbewerk.</vt:lpstr>
      <vt:lpstr>Ber. Planning Overig</vt:lpstr>
      <vt:lpstr>Ber. Goed ingevuld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</dc:creator>
  <cp:keywords/>
  <dc:description/>
  <cp:lastModifiedBy>Daan van den Akker</cp:lastModifiedBy>
  <cp:revision/>
  <dcterms:created xsi:type="dcterms:W3CDTF">2022-03-07T08:33:19Z</dcterms:created>
  <dcterms:modified xsi:type="dcterms:W3CDTF">2025-11-13T07:34:47Z</dcterms:modified>
  <cp:category/>
  <cp:contentStatus/>
</cp:coreProperties>
</file>